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comments3.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comments4.xml" ContentType="application/vnd.openxmlformats-officedocument.spreadsheetml.comments+xml"/>
  <Override PartName="/xl/threadedComments/threadedComment2.xml" ContentType="application/vnd.ms-excel.threadedcomments+xml"/>
  <Override PartName="/xl/tables/table4.xml" ContentType="application/vnd.openxmlformats-officedocument.spreadsheetml.table+xml"/>
  <Override PartName="/xl/comments5.xml" ContentType="application/vnd.openxmlformats-officedocument.spreadsheetml.comments+xml"/>
  <Override PartName="/xl/drawings/drawing1.xml" ContentType="application/vnd.openxmlformats-officedocument.drawing+xml"/>
  <Override PartName="/xl/comments6.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hidePivotFieldList="1" defaultThemeVersion="166925"/>
  <mc:AlternateContent xmlns:mc="http://schemas.openxmlformats.org/markup-compatibility/2006">
    <mc:Choice Requires="x15">
      <x15ac:absPath xmlns:x15ac="http://schemas.microsoft.com/office/spreadsheetml/2010/11/ac" url="C:\Python\FRS_Tool-master\"/>
    </mc:Choice>
  </mc:AlternateContent>
  <xr:revisionPtr revIDLastSave="0" documentId="13_ncr:1_{68618A92-3F52-4301-A317-AF0E1C4DF296}" xr6:coauthVersionLast="47" xr6:coauthVersionMax="47" xr10:uidLastSave="{00000000-0000-0000-0000-000000000000}"/>
  <bookViews>
    <workbookView xWindow="-120" yWindow="-120" windowWidth="51840" windowHeight="21120" tabRatio="883" firstSheet="10" activeTab="18" xr2:uid="{295F3796-3A79-47C3-9F25-B08C084EA000}"/>
  </bookViews>
  <sheets>
    <sheet name="Tracker" sheetId="53" r:id="rId1"/>
    <sheet name="Organization Settings" sheetId="8" r:id="rId2"/>
    <sheet name="Locations" sheetId="40" r:id="rId3"/>
    <sheet name="Telephony Config" sheetId="19" r:id="rId4"/>
    <sheet name="Users" sheetId="3" r:id="rId5"/>
    <sheet name="Phones Prod" sheetId="20" r:id="rId6"/>
    <sheet name="Phones Dev" sheetId="49" r:id="rId7"/>
    <sheet name="Role Modifications" sheetId="33" r:id="rId8"/>
    <sheet name="Custom Roles" sheetId="34" r:id="rId9"/>
    <sheet name="DID-TFN Log" sheetId="30" r:id="rId10"/>
    <sheet name="Groups" sheetId="7" r:id="rId11"/>
    <sheet name="Groups for VM - Nebula" sheetId="51" r:id="rId12"/>
    <sheet name="Groups for VM - Supernova" sheetId="52" r:id="rId13"/>
    <sheet name="Groups - Skill Expressions" sheetId="42" r:id="rId14"/>
    <sheet name="External Contacts" sheetId="17" r:id="rId15"/>
    <sheet name="Queues" sheetId="39" r:id="rId16"/>
    <sheet name="BullseyeQueues" sheetId="55" r:id="rId17"/>
    <sheet name="BullseyeQueuesCSV" sheetId="54" r:id="rId18"/>
    <sheet name="CGRQueues" sheetId="56" r:id="rId19"/>
    <sheet name="Wrap-Up Codes" sheetId="25" r:id="rId20"/>
    <sheet name="Canned Responses" sheetId="27" r:id="rId21"/>
    <sheet name="Prompts" sheetId="29" r:id="rId22"/>
    <sheet name="Email Domains" sheetId="35" r:id="rId23"/>
    <sheet name="Email Addresses" sheetId="36" r:id="rId24"/>
    <sheet name="QM Evaluation Form" sheetId="5" r:id="rId25"/>
    <sheet name="Workbook Versioning" sheetId="11" r:id="rId26"/>
  </sheets>
  <definedNames>
    <definedName name="_xlnm._FilterDatabase" localSheetId="14" hidden="1">'External Contacts'!$A$1:$F$482</definedName>
    <definedName name="_xlnm._FilterDatabase" localSheetId="12" hidden="1">'Groups for VM - Supernova'!$A$3:$P$3</definedName>
    <definedName name="_xlnm._FilterDatabase" localSheetId="2" hidden="1">Locations!$A$1:$K$7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54" l="1"/>
  <c r="C3" i="54"/>
  <c r="A2" i="54"/>
  <c r="A3" i="54"/>
  <c r="A4" i="54"/>
  <c r="H2" i="54"/>
  <c r="C2" i="54"/>
  <c r="F3" i="54"/>
  <c r="F4" i="54"/>
  <c r="F2" i="54"/>
  <c r="I3" i="54"/>
  <c r="I4" i="54"/>
  <c r="I2" i="54"/>
  <c r="H4" i="54"/>
  <c r="H3" i="54"/>
  <c r="D3" i="54"/>
  <c r="D4" i="54"/>
  <c r="D2" i="54"/>
  <c r="J3" i="54"/>
  <c r="K3" i="54"/>
  <c r="L3" i="54"/>
  <c r="M3" i="54"/>
  <c r="N3" i="54"/>
  <c r="O3" i="54"/>
  <c r="J4" i="54"/>
  <c r="K4" i="54"/>
  <c r="L4" i="54"/>
  <c r="M4" i="54"/>
  <c r="N4" i="54"/>
  <c r="O4" i="54"/>
  <c r="O2" i="54"/>
  <c r="N2" i="54"/>
  <c r="M2" i="54"/>
  <c r="L2" i="54"/>
  <c r="K2" i="54"/>
  <c r="J2" i="54"/>
  <c r="B3" i="54"/>
  <c r="B4" i="54"/>
  <c r="B2" i="5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Chandra Oakland</author>
  </authors>
  <commentList>
    <comment ref="I2" authorId="0" shapeId="0" xr:uid="{2E3B76ED-1CF2-4060-8660-5F0092EB1AC5}">
      <text>
        <r>
          <rPr>
            <b/>
            <sz val="9"/>
            <color indexed="81"/>
            <rFont val="Tahoma"/>
            <family val="2"/>
          </rPr>
          <t xml:space="preserve">Emergency Number
</t>
        </r>
        <r>
          <rPr>
            <sz val="9"/>
            <color indexed="81"/>
            <rFont val="Tahoma"/>
            <family val="2"/>
          </rPr>
          <t xml:space="preserve">This number must be a DID number with an outbound caller ID that will be associated with the project's physical location for any calls made from the Org to a 911 or Emergency line.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tc={217E87FB-0A69-48A0-BD2C-5118265490F7}</author>
  </authors>
  <commentList>
    <comment ref="E12" authorId="0" shapeId="0" xr:uid="{217E87FB-0A69-48A0-BD2C-5118265490F7}">
      <text>
        <t>[Threaded comment]
Your version of Excel allows you to read this threaded comment; however, any edits to it will get removed if the file is opened in a newer version of Excel. Learn more: https://go.microsoft.com/fwlink/?linkid=870924
Comment:
    Need to be all three?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Chandra Oakland</author>
  </authors>
  <commentList>
    <comment ref="A1" authorId="0" shapeId="0" xr:uid="{CBA07FB5-4529-4FAB-B982-AA52FBB92856}">
      <text>
        <r>
          <rPr>
            <b/>
            <sz val="9"/>
            <color indexed="81"/>
            <rFont val="Tahoma"/>
            <family val="2"/>
          </rPr>
          <t>name</t>
        </r>
        <r>
          <rPr>
            <sz val="9"/>
            <color indexed="81"/>
            <rFont val="Tahoma"/>
            <family val="2"/>
          </rPr>
          <t xml:space="preserve">
Firstname Lastname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tc={6A4FDD11-EA0B-4838-AE44-FDD7DC8D227E}</author>
  </authors>
  <commentList>
    <comment ref="O31" authorId="0" shapeId="0" xr:uid="{6A4FDD11-EA0B-4838-AE44-FDD7DC8D227E}">
      <text>
        <t xml:space="preserve">[Threaded comment]
Your version of Excel allows you to read this threaded comment; however, any edits to it will get removed if the file is opened in a newer version of Excel. Learn more: https://go.microsoft.com/fwlink/?linkid=870924
Comment:
    some users are in Wave7 and not available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Chandra Oakland</author>
  </authors>
  <commentList>
    <comment ref="I1" authorId="0" shapeId="0" xr:uid="{56487CC4-3F24-48A7-A0CF-F3A578A9F5D4}">
      <text>
        <r>
          <rPr>
            <b/>
            <sz val="9"/>
            <color indexed="81"/>
            <rFont val="Tahoma"/>
            <family val="2"/>
          </rPr>
          <t>Wrap-up
Optional:</t>
        </r>
        <r>
          <rPr>
            <sz val="9"/>
            <color indexed="81"/>
            <rFont val="Tahoma"/>
            <family val="2"/>
          </rPr>
          <t xml:space="preserve"> This option allows the agent to opt out of selecting a wrap-up code after a call. This feature is useful if your organization does not use wrap-up codes and your agents do not need after call work time.
</t>
        </r>
        <r>
          <rPr>
            <b/>
            <sz val="9"/>
            <color indexed="81"/>
            <rFont val="Tahoma"/>
            <family val="2"/>
          </rPr>
          <t>Mandatory, Discretionary:</t>
        </r>
        <r>
          <rPr>
            <sz val="9"/>
            <color indexed="81"/>
            <rFont val="Tahoma"/>
            <family val="2"/>
          </rPr>
          <t xml:space="preserve"> For this option, the agent chooses how long to remain in ACW status. In this case, they will set their status back to available when they complete after call work.
</t>
        </r>
        <r>
          <rPr>
            <b/>
            <sz val="9"/>
            <color indexed="81"/>
            <rFont val="Tahoma"/>
            <family val="2"/>
          </rPr>
          <t>Mandatory, Time-boxed:</t>
        </r>
        <r>
          <rPr>
            <sz val="9"/>
            <color indexed="81"/>
            <rFont val="Tahoma"/>
            <family val="2"/>
          </rPr>
          <t xml:space="preserve"> Set the maximum amount of time that an agent may remain in the ACW state to complete after call work. If they finish after call work early, they can change status to receive new interactions or automatically become available at the end of the time specified.
</t>
        </r>
        <r>
          <rPr>
            <b/>
            <sz val="9"/>
            <color indexed="81"/>
            <rFont val="Tahoma"/>
            <family val="2"/>
          </rPr>
          <t>Mandatory, Time-boxed no early exit:</t>
        </r>
        <r>
          <rPr>
            <sz val="9"/>
            <color indexed="81"/>
            <rFont val="Tahoma"/>
            <family val="2"/>
          </rPr>
          <t xml:space="preserve"> In this case, the agent will not be able to set themselves back to available if they complete after call work early. They remain in ACW status and automatically return to available status at the end of the time-out period. This feature is useful to give the agent a "cool down" period between interactions.
</t>
        </r>
      </text>
    </comment>
    <comment ref="M1" authorId="0" shapeId="0" xr:uid="{0B2B381C-7371-4526-8824-F58A0BDE6300}">
      <text>
        <r>
          <rPr>
            <b/>
            <sz val="9"/>
            <color indexed="81"/>
            <rFont val="Tahoma"/>
            <family val="2"/>
          </rPr>
          <t>Evaluation Method
Best Available Skills</t>
        </r>
        <r>
          <rPr>
            <sz val="9"/>
            <color indexed="81"/>
            <rFont val="Tahoma"/>
            <family val="2"/>
          </rPr>
          <t xml:space="preserve"> ACD considers the 100 agents with the longest time since last interaction.  Of those agents, ACD finds those with all of the required skills and the highest average skill proficiency (as it is possible for multiple agents to have the same average skill proficiency).  From those, ACD selects the agent with the longest time since last interaction.
</t>
        </r>
        <r>
          <rPr>
            <b/>
            <sz val="9"/>
            <color indexed="81"/>
            <rFont val="Tahoma"/>
            <family val="2"/>
          </rPr>
          <t>All Skills Matching</t>
        </r>
        <r>
          <rPr>
            <sz val="9"/>
            <color indexed="81"/>
            <rFont val="Tahoma"/>
            <family val="2"/>
          </rPr>
          <t xml:space="preserve"> ACD selects the agent who has all of the required skills with the longest time since last interaction.
</t>
        </r>
        <r>
          <rPr>
            <b/>
            <sz val="9"/>
            <color indexed="81"/>
            <rFont val="Tahoma"/>
            <family val="2"/>
          </rPr>
          <t>Disregard Skills</t>
        </r>
        <r>
          <rPr>
            <sz val="9"/>
            <color indexed="81"/>
            <rFont val="Tahoma"/>
            <family val="2"/>
          </rPr>
          <t xml:space="preserve">, Next Agent ACD selects the agent with the longest time since last interaction.  Skills are not considered.
</t>
        </r>
      </text>
    </comment>
    <comment ref="T1" authorId="0" shapeId="0" xr:uid="{58F853C3-80EE-4B8F-B325-62DE20D95EF3}">
      <text>
        <r>
          <rPr>
            <b/>
            <sz val="9"/>
            <color indexed="81"/>
            <rFont val="Tahoma"/>
            <family val="2"/>
          </rPr>
          <t xml:space="preserve">Queue time out
</t>
        </r>
        <r>
          <rPr>
            <sz val="9"/>
            <color indexed="81"/>
            <rFont val="Tahoma"/>
            <family val="2"/>
          </rPr>
          <t xml:space="preserve">When an alert times out, the agent's status changes to Not Responding and the system returns the call to the queue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Chandra Oakland</author>
  </authors>
  <commentList>
    <comment ref="A4" authorId="0" shapeId="0" xr:uid="{D27EAC0E-F39E-464C-B937-AF874541F13B}">
      <text>
        <r>
          <rPr>
            <sz val="9"/>
            <color indexed="81"/>
            <rFont val="Tahoma"/>
            <family val="2"/>
          </rPr>
          <t xml:space="preserve">Insert as needed for question group breaks. 
</t>
        </r>
      </text>
    </comment>
    <comment ref="B4" authorId="0" shapeId="0" xr:uid="{A15F9212-47F9-4F39-B272-B5554890E6D9}">
      <text>
        <r>
          <rPr>
            <sz val="9"/>
            <color indexed="81"/>
            <rFont val="Tahoma"/>
            <family val="2"/>
          </rPr>
          <t xml:space="preserve">Evaluation form question groups have weights. These weights multiply the total of all question scores for each group. The weights do not indicate how much of the overall score the group is worth. By default, Genesys Cloud balances the weights equally when you add question groups, but you can set different weights for each group. The groups’ weights must equal 100%. 
</t>
        </r>
      </text>
    </comment>
    <comment ref="C6" authorId="0" shapeId="0" xr:uid="{0BCDF971-F490-41CC-9BFC-BCD7225589B0}">
      <text>
        <r>
          <rPr>
            <sz val="9"/>
            <color indexed="81"/>
            <rFont val="Tahoma"/>
            <family val="2"/>
          </rPr>
          <t xml:space="preserve">Possible answers to quesitons seperated by a comma. 
</t>
        </r>
      </text>
    </comment>
    <comment ref="D6" authorId="0" shapeId="0" xr:uid="{3D705AFA-C018-4C2E-A8C2-642C64F154FD}">
      <text>
        <r>
          <rPr>
            <sz val="9"/>
            <color indexed="81"/>
            <rFont val="Tahoma"/>
            <family val="2"/>
          </rPr>
          <t xml:space="preserve">When checked, respondents can skip all questions in this group by checking an “N/A” box on the form. These possible points are removed from the total possible points. </t>
        </r>
      </text>
    </comment>
    <comment ref="E6" authorId="0" shapeId="0" xr:uid="{F9C8B9E4-8D6D-439F-B732-38B1D83DD8A6}">
      <text>
        <r>
          <rPr>
            <sz val="9"/>
            <color indexed="81"/>
            <rFont val="Tahoma"/>
            <family val="2"/>
          </rPr>
          <t xml:space="preserve">Defines whether or not the question should be conditional to the answer to a previous question. 
</t>
        </r>
      </text>
    </comment>
    <comment ref="F6" authorId="0" shapeId="0" xr:uid="{07330421-4403-4941-9B71-24F305FF509B}">
      <text>
        <r>
          <rPr>
            <sz val="9"/>
            <color indexed="81"/>
            <rFont val="Tahoma"/>
            <family val="2"/>
          </rPr>
          <t xml:space="preserve">Conditional question requirements information. 
</t>
        </r>
      </text>
    </comment>
    <comment ref="H6" authorId="0" shapeId="0" xr:uid="{469ACDC0-EF05-49B0-B346-0EE3517C997E}">
      <text>
        <r>
          <rPr>
            <sz val="9"/>
            <color indexed="81"/>
            <rFont val="Tahoma"/>
            <family val="2"/>
          </rPr>
          <t xml:space="preserve">In Quality Management, critical question is an evaluation form question type used to prioritize questions that are critical to the success of an interaction. Using these questions, Genesys Cloud calculates a critical score, which reflects an agent’s compliance with the critical questions. Critical questions must be scored “Yes” or “No.”
</t>
        </r>
      </text>
    </comment>
    <comment ref="I6" authorId="0" shapeId="0" xr:uid="{C02D53CA-42DA-4CDC-8BAE-BA7804CD114A}">
      <text>
        <r>
          <rPr>
            <sz val="9"/>
            <color indexed="81"/>
            <rFont val="Tahoma"/>
            <family val="2"/>
          </rPr>
          <t xml:space="preserve">In Quality Management, fatal question is an evaluation form question type, which, if scored “No,” results in an evaluation form score of zero. Fatal questions are also critical questions and must have “Yes” or “No” scores. </t>
        </r>
      </text>
    </comment>
    <comment ref="A12" authorId="0" shapeId="0" xr:uid="{CA28D691-7666-4F59-8915-CF20CBAE9551}">
      <text>
        <r>
          <rPr>
            <sz val="9"/>
            <color indexed="81"/>
            <rFont val="Tahoma"/>
            <family val="2"/>
          </rPr>
          <t xml:space="preserve">Insert as needed for question group breaks. 
</t>
        </r>
      </text>
    </comment>
    <comment ref="B12" authorId="0" shapeId="0" xr:uid="{344763FB-3B39-4AF0-8378-008FF298CFF6}">
      <text>
        <r>
          <rPr>
            <sz val="9"/>
            <color indexed="81"/>
            <rFont val="Tahoma"/>
            <family val="2"/>
          </rPr>
          <t xml:space="preserve">Evaluation form question groups have weights. These weights multiply the total of all question scores for each group. The weights do not indicate how much of the overall score the group is worth. By default, Genesys Cloud balances the weights equally when you add question groups, but you can set different weights for each group. The groups’ weights must equal 100%. 
</t>
        </r>
      </text>
    </comment>
    <comment ref="C14" authorId="0" shapeId="0" xr:uid="{FF1CD13B-37F1-491E-9C4D-4288F769465F}">
      <text>
        <r>
          <rPr>
            <sz val="9"/>
            <color indexed="81"/>
            <rFont val="Tahoma"/>
            <family val="2"/>
          </rPr>
          <t xml:space="preserve">Possible answers to quesitons seperated by a comma. 
</t>
        </r>
      </text>
    </comment>
    <comment ref="D14" authorId="0" shapeId="0" xr:uid="{51CACC49-0C69-4566-BA77-52F367A3A873}">
      <text>
        <r>
          <rPr>
            <sz val="9"/>
            <color indexed="81"/>
            <rFont val="Tahoma"/>
            <family val="2"/>
          </rPr>
          <t xml:space="preserve">When checked, respondents can skip all questions in this group by checking an “N/A” box on the form. These possible points are removed from the total possible points. </t>
        </r>
      </text>
    </comment>
    <comment ref="E14" authorId="0" shapeId="0" xr:uid="{79AEB8A6-E5A2-4CEF-9828-4B88ED3E1A44}">
      <text>
        <r>
          <rPr>
            <sz val="9"/>
            <color indexed="81"/>
            <rFont val="Tahoma"/>
            <family val="2"/>
          </rPr>
          <t xml:space="preserve">Defines whether or not the question should be conditional to the answer to a previous question. 
</t>
        </r>
      </text>
    </comment>
    <comment ref="F14" authorId="0" shapeId="0" xr:uid="{60024C39-944D-42AE-83F6-1BEC88CA3E59}">
      <text>
        <r>
          <rPr>
            <sz val="9"/>
            <color indexed="81"/>
            <rFont val="Tahoma"/>
            <family val="2"/>
          </rPr>
          <t xml:space="preserve">Conditional question requirements information. 
</t>
        </r>
      </text>
    </comment>
    <comment ref="H14" authorId="0" shapeId="0" xr:uid="{8317FED3-0687-482F-8767-5F5FAB5CF4CC}">
      <text>
        <r>
          <rPr>
            <sz val="9"/>
            <color indexed="81"/>
            <rFont val="Tahoma"/>
            <family val="2"/>
          </rPr>
          <t xml:space="preserve">In Quality Management, critical question is an evaluation form question type used to prioritize questions that are critical to the success of an interaction. Using these questions, Genesys Cloud calculates a critical score, which reflects an agent’s compliance with the critical questions. Critical questions must be scored “Yes” or “No.”
</t>
        </r>
      </text>
    </comment>
    <comment ref="I14" authorId="0" shapeId="0" xr:uid="{63661396-95CF-466B-847B-AB569B59F8C6}">
      <text>
        <r>
          <rPr>
            <sz val="9"/>
            <color indexed="81"/>
            <rFont val="Tahoma"/>
            <family val="2"/>
          </rPr>
          <t xml:space="preserve">In Quality Management, fatal question is an evaluation form question type, which, if scored “No,” results in an evaluation form score of zero. Fatal questions are also critical questions and must have “Yes” or “No” scores. </t>
        </r>
      </text>
    </comment>
  </commentList>
</comments>
</file>

<file path=xl/sharedStrings.xml><?xml version="1.0" encoding="utf-8"?>
<sst xmlns="http://schemas.openxmlformats.org/spreadsheetml/2006/main" count="7905" uniqueCount="2140">
  <si>
    <t>Tab</t>
  </si>
  <si>
    <t>Wave 0 status (Generic)</t>
  </si>
  <si>
    <t>Wave 1 status (Generic)</t>
  </si>
  <si>
    <t>Wave 3 status (Generic)</t>
  </si>
  <si>
    <t>Wave 4 status (DTC-IEX)</t>
  </si>
  <si>
    <t>Wave 5 status (EB &amp; DG)</t>
  </si>
  <si>
    <t>Wave 6 status (Disability)</t>
  </si>
  <si>
    <t>Wave 7 status (BA &amp; EBH)</t>
  </si>
  <si>
    <t>Wave 8 status (DI Claims)</t>
  </si>
  <si>
    <t>Wave 2 status (IM)</t>
  </si>
  <si>
    <t>Due Date</t>
  </si>
  <si>
    <t>Notes</t>
  </si>
  <si>
    <t>Organization Settings</t>
  </si>
  <si>
    <t>DONE FOR ALL</t>
  </si>
  <si>
    <t>Locations</t>
  </si>
  <si>
    <t>DONE</t>
  </si>
  <si>
    <t>DONE for all</t>
  </si>
  <si>
    <t>Telephony Config</t>
  </si>
  <si>
    <t>All done unless Amelia_Hugo_1_UAT is needed</t>
  </si>
  <si>
    <t>Mike</t>
  </si>
  <si>
    <t>Users</t>
  </si>
  <si>
    <t>n/a</t>
  </si>
  <si>
    <t>Tracked in alternate spreadsheet</t>
  </si>
  <si>
    <t>Phones Prod</t>
  </si>
  <si>
    <t>Custom Roles</t>
  </si>
  <si>
    <t>remaining custom roles will be imported with users for each wave</t>
  </si>
  <si>
    <t>William, James TTech, Josh from Verint / Robert GLIC</t>
  </si>
  <si>
    <t>DID-TFN Log</t>
  </si>
  <si>
    <t>by go live 10/16</t>
  </si>
  <si>
    <t>by go live 10/9</t>
  </si>
  <si>
    <t>by go live 10/23</t>
  </si>
  <si>
    <t>by go live 10/30</t>
  </si>
  <si>
    <t>Groups for VM - Nebula</t>
  </si>
  <si>
    <t>Groups for VM - Supernova</t>
  </si>
  <si>
    <t>DONE manually</t>
  </si>
  <si>
    <t>Groups - Skill Expressions</t>
  </si>
  <si>
    <t>External Contacts</t>
  </si>
  <si>
    <t>Queues</t>
  </si>
  <si>
    <t>Schedules</t>
  </si>
  <si>
    <t>Schedule Groups</t>
  </si>
  <si>
    <t>Call Routing</t>
  </si>
  <si>
    <t>DONE 8/21</t>
  </si>
  <si>
    <t>Skills &amp; Languages</t>
  </si>
  <si>
    <t>Analytics</t>
  </si>
  <si>
    <t>TO BE HANDLED VIA A3S</t>
  </si>
  <si>
    <t>Agent Utilization</t>
  </si>
  <si>
    <t>Agent Scripts</t>
  </si>
  <si>
    <t>Status Codes</t>
  </si>
  <si>
    <t>Divisions</t>
  </si>
  <si>
    <t>Interaction Flows</t>
  </si>
  <si>
    <t>Flow Outcomes</t>
  </si>
  <si>
    <t>Flow Milestones</t>
  </si>
  <si>
    <t>ANI BLOCK LIST</t>
  </si>
  <si>
    <t>Data Tables</t>
  </si>
  <si>
    <t>Data Actions</t>
  </si>
  <si>
    <t>doing when move to prod</t>
  </si>
  <si>
    <t>Integrations</t>
  </si>
  <si>
    <t>Recording Policy</t>
  </si>
  <si>
    <t>Needs to be re-configured</t>
  </si>
  <si>
    <t>has info needed</t>
  </si>
  <si>
    <t>UAT IT start</t>
  </si>
  <si>
    <t>UAT Business start</t>
  </si>
  <si>
    <t>Go live date</t>
  </si>
  <si>
    <t>Org Settings</t>
  </si>
  <si>
    <t>About organization settings - Genesys Cloud Resource Center (mypurecloud.com)</t>
  </si>
  <si>
    <t>Setting Name</t>
  </si>
  <si>
    <t>Description</t>
  </si>
  <si>
    <t>Setting</t>
  </si>
  <si>
    <t>Company Name</t>
  </si>
  <si>
    <t>Specifies the full name of your organization. Edit the Company Name to change the organization name displayed on the Login screen, on the browser tab, and on each user’s Mini Cards. </t>
  </si>
  <si>
    <t>Short Name</t>
  </si>
  <si>
    <t>Specifies the short name of your organization. Use this name to log in to the organization. You cannot edit the short name.</t>
  </si>
  <si>
    <t>Organization ID</t>
  </si>
  <si>
    <t>Specifies an ID number that is unique to each organization. A Genesys Cloud Support representative may ask for this number when troubleshooting an issue.</t>
  </si>
  <si>
    <t>GLOBAL SETTINGS</t>
  </si>
  <si>
    <t>Location Detection Available (On / Off)</t>
  </si>
  <si>
    <t>When ON, users' geolocation is displayed if they choose to share their current location. OFF, geolocation is disabled for everyone.</t>
  </si>
  <si>
    <t>On</t>
  </si>
  <si>
    <t>Default Language</t>
  </si>
  <si>
    <t>The language used for notification emails such as new user invites and password resets.</t>
  </si>
  <si>
    <t>English</t>
  </si>
  <si>
    <t>Default Country Code</t>
  </si>
  <si>
    <t>The default country code that is used when adding certain phone numbers.</t>
  </si>
  <si>
    <t>United States</t>
  </si>
  <si>
    <t>Issue Reporting Email Address</t>
  </si>
  <si>
    <t>Distribution email address for "Report an Issue" submission. Only one email address can be specified.  Otherwise, emails will go to all users with "admin" role.</t>
  </si>
  <si>
    <t>ONBOARDING PEOPLE</t>
  </si>
  <si>
    <t>Auto Invite (On / Off)</t>
  </si>
  <si>
    <t>Send email invites automatically when users are added.</t>
  </si>
  <si>
    <t>off</t>
  </si>
  <si>
    <t>Open Admission (On / Off)</t>
  </si>
  <si>
    <t>People with the email domains below can add themselves to this organization. Note - disabling will invalidate your organization's sign up link. If it is re-enabled, it will create a new link.</t>
  </si>
  <si>
    <t>Allowed Email Domain(s)</t>
  </si>
  <si>
    <t>Enter a list of domains (one per line); only people with these email domains will be allowed to sign up with this link.</t>
  </si>
  <si>
    <t>TELEPHONY</t>
  </si>
  <si>
    <t>Free Seating (On / Off)</t>
  </si>
  <si>
    <t>Toggle whether offline agents' assigned stations are freely available for use.</t>
  </si>
  <si>
    <t>Voicemail PIN (On / Off)</t>
  </si>
  <si>
    <t>Toggle whether a PIN is always required for accessing voicemail, even from phones associated with the given mailbox.</t>
  </si>
  <si>
    <t>Timeout Seconds</t>
  </si>
  <si>
    <t>The number of seconds to alert the user before the call rolls over to voicemail.</t>
  </si>
  <si>
    <t>Maximum Voicemail Length</t>
  </si>
  <si>
    <t>Set the maximum allowed length of a voicemail in whole minutes.</t>
  </si>
  <si>
    <t>Default TTS Engine</t>
  </si>
  <si>
    <t>Default TTS Engine used for flows and other cases</t>
  </si>
  <si>
    <t xml:space="preserve">Genesys TTS </t>
  </si>
  <si>
    <t>Language Overides</t>
  </si>
  <si>
    <t>Change TTS Engine based on interaction's language</t>
  </si>
  <si>
    <t>CONTACT CENTER</t>
  </si>
  <si>
    <t>Enforce Widget Deployments (On / Off)</t>
  </si>
  <si>
    <t>When on, chat is only allowed via widget deployments. When off, chats can use the legacy web chat configuration.
WARNING: Only turn on this toggle after you have successfully implemented and verified widget deployments.</t>
  </si>
  <si>
    <t>Strip Skills on Blind Transfer (On / Off)</t>
  </si>
  <si>
    <t>When on, all skills, except language(s), will be removed from the ACD interaction when blind transferred across queues.</t>
  </si>
  <si>
    <t>Routing Includes Agent Presence (On / Off)</t>
  </si>
  <si>
    <t>When enabled, all queue routing methods will use changes in agent presence to reset the ACD routing score. This will result in interactions being delivered to the agent who has been sitting in idle/available the longest intra-day. By default, interactions are routing based on the 'time since last interaction'.</t>
  </si>
  <si>
    <t>Renew Presence on Reconnect</t>
  </si>
  <si>
    <t>When enabled, presence status will be renewed when reconnecting to Genesys Cloud.</t>
  </si>
  <si>
    <t>Enforce Communication Level After Call Work (ACW)</t>
  </si>
  <si>
    <t>When enabled, After Call Work ( ACW ) will be set at the communication level (vs. the participant level) to deliver better analytics and future enhancements. Additionally, supervisors will be able to utilize all queue-level ACW settings across all media types (including timeout and agent-requested options).</t>
  </si>
  <si>
    <t>Route Email to multiple destinations</t>
  </si>
  <si>
    <t>Allow for inbound email to be routed simultaneously to multiple queues/flows based on the email addresses in the to, cc, and bcc fields.</t>
  </si>
  <si>
    <t>Security &amp; Compliance</t>
  </si>
  <si>
    <t>Sensitive Data Redaction for Payment Cards</t>
  </si>
  <si>
    <t>On a best effort basis, automatically redact Payment Card Industry (PCI) entities from recordings and transcripts. This capability is only available if speech or text analytics is enabled for the interaction. Note that users with elevated permissions can still access the original recording if needed</t>
  </si>
  <si>
    <t>Sensitive Data Redaction for Personal Information</t>
  </si>
  <si>
    <t>On a best effort basis, automatically redact personal information entities from recordings and transcripts. This capability is only available if speech or text analytics is enabled for the interaction. Note that users with elevated permissions can still access the original recording if needed.</t>
  </si>
  <si>
    <t>Disable Chat File Uploads (On / Off)</t>
  </si>
  <si>
    <t>When on, users cannot attach a file to the body of a chat. This setting applies to both internal chat and web chat.</t>
  </si>
  <si>
    <t>Chat Message Retention Days (On / Off)</t>
  </si>
  <si>
    <t>The number of days, between 10 and 3650, to retain chat messages.</t>
  </si>
  <si>
    <t>Maximum Interaction Data Retention Time</t>
  </si>
  <si>
    <t>Sets an organization-wide policy for the maximum retention of interaction data and recordings. The number of days after which all interactions and recordings will be deleted.</t>
  </si>
  <si>
    <t>HIPAA (On / Off)</t>
  </si>
  <si>
    <t>This setting is required for compliance with the Health Insurance Portability and Accountability Act (HIPAA</t>
  </si>
  <si>
    <t>PCI DSS (On / Off)</t>
  </si>
  <si>
    <t>This setting is required for compliance with the Payment Card Industry Data Security Standard (PCI DSS) for handling payment cardholder data.</t>
  </si>
  <si>
    <t>Voicemail Notifications</t>
  </si>
  <si>
    <t>Allow email notifications for Voicemail</t>
  </si>
  <si>
    <t>Allow PII in Email Notifications</t>
  </si>
  <si>
    <t>For HIPAA compliant organizations PII will not be allowed in email notifications</t>
  </si>
  <si>
    <t>Voicemail Transcription</t>
  </si>
  <si>
    <t>Enable Voicemail Transcriptions for your organization.</t>
  </si>
  <si>
    <t>Off</t>
  </si>
  <si>
    <t>Fax Notifications</t>
  </si>
  <si>
    <t>Allow email notifications for Fax</t>
  </si>
  <si>
    <t>Restrict Genesys Cloud Embedding  (On / Off)</t>
  </si>
  <si>
    <t>When ON, Genesys Cloud applications are restricted to where they can be embedded. OFF, Genesys Cloud applications can be embedded anywhere.</t>
  </si>
  <si>
    <t>Allowed Embeddable Domain(s)</t>
  </si>
  <si>
    <t>Enter a list of domains (one per line); only these domains will be allowed to embed Genesys Cloud applications. If no list is supplied only Genesys Cloud can embed itself.</t>
  </si>
  <si>
    <t>Allowed IP Addresses</t>
  </si>
  <si>
    <t>Enter a list of CIDRs (one per line); only requests from IP addresses within these networks will be allowed to access Genesys Cloud. If no list is supplied, all IP addresses will be allowed.</t>
  </si>
  <si>
    <t>Enforce Scopes</t>
  </si>
  <si>
    <t>When on, your organization will require approval for OAuth scopes requested by third-party applications.</t>
  </si>
  <si>
    <t>Division-Aware Role Management</t>
  </si>
  <si>
    <t>Enable Inactivity Timeout</t>
  </si>
  <si>
    <t>Require users to authenticate after a period of inactivity.</t>
  </si>
  <si>
    <t>Timeout Minutes 5 - 480 Minutes</t>
  </si>
  <si>
    <t>Role Backfill</t>
  </si>
  <si>
    <t>When ON, Genesys Cloud will auto-assign new permissions to default roles when new features are released. When OFF, an administrative user must manually assign new permissions to default roles to enable new features.</t>
  </si>
  <si>
    <t>Pasword Requirements - Non SSO</t>
  </si>
  <si>
    <t>Minimum Length</t>
  </si>
  <si>
    <t>Minimum Letters</t>
  </si>
  <si>
    <t>Minimum Lower-Case Letters</t>
  </si>
  <si>
    <t>Minimum Upper-Case Letters</t>
  </si>
  <si>
    <t>Minimum Numerals</t>
  </si>
  <si>
    <t>Minimum Special Characters</t>
  </si>
  <si>
    <t>Password Expiration</t>
  </si>
  <si>
    <t>90 days</t>
  </si>
  <si>
    <t>Minimum Age</t>
  </si>
  <si>
    <t>0 days</t>
  </si>
  <si>
    <t>Disable GC Logon (On /Off)</t>
  </si>
  <si>
    <t>When ON, users will not be able to login with Genesys Cloud credentials and requires at least one single sign-on integration to be configured.</t>
  </si>
  <si>
    <t>Use Pop-out Authentication for Embedded Iframes</t>
  </si>
  <si>
    <t>Genesys Cloud embeds smaller applications utilizing iframes within the main application interface. Some of these embedded applications are required to authenticate in order to function. If using an SSO provider that does not allow authentication to take place within an iframe, set this to "ON". Otherwise, leave as "OFF". Note – setting to "ON" will require users to allow popups in their browser settings for your Genesys Cloud application domain.</t>
  </si>
  <si>
    <t>SSO Configuration</t>
  </si>
  <si>
    <t>Provider</t>
  </si>
  <si>
    <t>Ping Federate</t>
  </si>
  <si>
    <t>Location Information</t>
  </si>
  <si>
    <t>Add a location - Genesys Cloud Resource Center (mypurecloud.com)</t>
  </si>
  <si>
    <t>Address verified in org?</t>
  </si>
  <si>
    <t>Location Name</t>
  </si>
  <si>
    <t>Street Address</t>
  </si>
  <si>
    <t>Street Address 2</t>
  </si>
  <si>
    <t>City</t>
  </si>
  <si>
    <t>State</t>
  </si>
  <si>
    <t>Zip Code</t>
  </si>
  <si>
    <t>Country</t>
  </si>
  <si>
    <t>Emergency Number</t>
  </si>
  <si>
    <t>Bethlehem</t>
  </si>
  <si>
    <t>6255 Sterners Way</t>
  </si>
  <si>
    <t>PA</t>
  </si>
  <si>
    <t>Wave 1</t>
  </si>
  <si>
    <t>Yes</t>
  </si>
  <si>
    <t>Remote - NA</t>
  </si>
  <si>
    <t>10 Hudson Yards 30th AVE</t>
  </si>
  <si>
    <t>New York</t>
  </si>
  <si>
    <t>NY</t>
  </si>
  <si>
    <t>India BPO - Chennai</t>
  </si>
  <si>
    <t>#4 Rajiv Gandhi Salai</t>
  </si>
  <si>
    <t>#0506, D Block, Tidel Park</t>
  </si>
  <si>
    <t>Taramani</t>
  </si>
  <si>
    <t>Chennai</t>
  </si>
  <si>
    <t>India</t>
  </si>
  <si>
    <t>Not 100% sure the components are in the right column</t>
  </si>
  <si>
    <t>No</t>
  </si>
  <si>
    <t>India BPO - Gurgaon</t>
  </si>
  <si>
    <t>Candor InfoSec Tikri Sector 48</t>
  </si>
  <si>
    <t>Complex Floor 7-9, Tower 1</t>
  </si>
  <si>
    <t>Vill – Tikri, Sector – 48</t>
  </si>
  <si>
    <t>Gurgaon</t>
  </si>
  <si>
    <t>Foundever - Philippines</t>
  </si>
  <si>
    <t xml:space="preserve"> Benedicto St Commerce St, corner B. </t>
  </si>
  <si>
    <t>Cebu City, Cebu</t>
  </si>
  <si>
    <t>Philippines</t>
  </si>
  <si>
    <t>Foundever - El Sal</t>
  </si>
  <si>
    <t>PQ5Q+5XX, Blvr. De Los Heroes, San Salvador 1101, El Salvador</t>
  </si>
  <si>
    <t>Telephony Information</t>
  </si>
  <si>
    <t>Number Plans</t>
  </si>
  <si>
    <t>Org</t>
  </si>
  <si>
    <t>Site Name</t>
  </si>
  <si>
    <t>Location</t>
  </si>
  <si>
    <t>Add. Number Plans</t>
  </si>
  <si>
    <t>Add. Outbound Route</t>
  </si>
  <si>
    <t>Built</t>
  </si>
  <si>
    <t>Name</t>
  </si>
  <si>
    <t>Match Type</t>
  </si>
  <si>
    <t>Match Criteria</t>
  </si>
  <si>
    <t>Classification</t>
  </si>
  <si>
    <t>Built Dev</t>
  </si>
  <si>
    <t>Built PROD</t>
  </si>
  <si>
    <t>glic-supernova</t>
  </si>
  <si>
    <t>Hugo Prod, BYOC</t>
  </si>
  <si>
    <t>Needs BYOC Route, default route</t>
  </si>
  <si>
    <t>Hugo Dev</t>
  </si>
  <si>
    <t>e.164 Number List</t>
  </si>
  <si>
    <t>+16101951100 - 1104</t>
  </si>
  <si>
    <t>N/A</t>
  </si>
  <si>
    <t>(n/a becuse tracked on site progress)</t>
  </si>
  <si>
    <t>Holmdel</t>
  </si>
  <si>
    <t>Hugo UAT</t>
  </si>
  <si>
    <t>+16101952100 - 2104</t>
  </si>
  <si>
    <t>Hudson Yards</t>
  </si>
  <si>
    <t>Hugo Prod</t>
  </si>
  <si>
    <t>+16101953100 - 3104</t>
  </si>
  <si>
    <t>Pittsfield</t>
  </si>
  <si>
    <t>BYOC</t>
  </si>
  <si>
    <t>+16101990000 - 9999</t>
  </si>
  <si>
    <t>Outbound Routes</t>
  </si>
  <si>
    <t>Needs BYOC Route</t>
  </si>
  <si>
    <t>Needs Hugo route, default route</t>
  </si>
  <si>
    <t>glic-nebula</t>
  </si>
  <si>
    <t>Testing Site</t>
  </si>
  <si>
    <t>Testing Location</t>
  </si>
  <si>
    <t>Hugo Dev, Hugo UAT</t>
  </si>
  <si>
    <t>Hugo DEV, Hugo UAT</t>
  </si>
  <si>
    <t>PureCloud Voice - AWS</t>
  </si>
  <si>
    <t>Default PCV Location</t>
  </si>
  <si>
    <t>Base Phone Settings</t>
  </si>
  <si>
    <t>Relevent Information</t>
  </si>
  <si>
    <t>Built DEV</t>
  </si>
  <si>
    <t>Built Prod</t>
  </si>
  <si>
    <t>All</t>
  </si>
  <si>
    <t>WebRTC Base</t>
  </si>
  <si>
    <t>Trunk Config</t>
  </si>
  <si>
    <t>Type</t>
  </si>
  <si>
    <t>Enable SIP REFER</t>
  </si>
  <si>
    <t>Protocol</t>
  </si>
  <si>
    <t>Inbound - Number Plan Site</t>
  </si>
  <si>
    <t>Inbound - SIP Term ID</t>
  </si>
  <si>
    <t>Outbound - SIP Term ID</t>
  </si>
  <si>
    <t>SIP Servers or Proxies</t>
  </si>
  <si>
    <t>Caller ID # and Name</t>
  </si>
  <si>
    <t>Caller ID Prioritization</t>
  </si>
  <si>
    <t>Suppress User</t>
  </si>
  <si>
    <t>SIP Access Control</t>
  </si>
  <si>
    <t>Recording</t>
  </si>
  <si>
    <t>Additional Notes</t>
  </si>
  <si>
    <t>GDDOVSBCAPPP</t>
  </si>
  <si>
    <t>BYOC Generic Carrier</t>
  </si>
  <si>
    <t>TLS</t>
  </si>
  <si>
    <t>gdd-supernova.glic</t>
  </si>
  <si>
    <t>DDC-GenesysCloudCX1.glic.com</t>
  </si>
  <si>
    <t>209.10.184.8:5061</t>
  </si>
  <si>
    <t>Call Source/Site/Trunk</t>
  </si>
  <si>
    <t>Always</t>
  </si>
  <si>
    <t>209.10.184.8</t>
  </si>
  <si>
    <t>GRDOVSBCAPPP</t>
  </si>
  <si>
    <t>grd-supernova.glic</t>
  </si>
  <si>
    <t>DDC-GenesysCloudCX3.glic.com</t>
  </si>
  <si>
    <t>209.10.184.9:5061</t>
  </si>
  <si>
    <t>209.10.184.9</t>
  </si>
  <si>
    <t>Amelia_Hugo_1</t>
  </si>
  <si>
    <t>use1-prod-sbc-25</t>
  </si>
  <si>
    <t>use1-prod-sbc-25.sip.amelia.com</t>
  </si>
  <si>
    <t>use1-prod-sbc-25.sip.amelia.com:5062</t>
  </si>
  <si>
    <t>Trunk</t>
  </si>
  <si>
    <t>54.242.117.115</t>
  </si>
  <si>
    <t>Amelia_Hugo_2</t>
  </si>
  <si>
    <t>use1-prod-sbc-26</t>
  </si>
  <si>
    <t>use1-prod-sbc-26.sip.amelia.com</t>
  </si>
  <si>
    <t>use1-prod-sbc-26.sip.amelia.com:5062</t>
  </si>
  <si>
    <t>3.218.217.246</t>
  </si>
  <si>
    <t>Amelia_Hugo_3</t>
  </si>
  <si>
    <t>use2-prod-sbc-25</t>
  </si>
  <si>
    <t>use2-prod-sbc-25.sip.amelia.com</t>
  </si>
  <si>
    <t>use2-prod-sbc-25.sip.amelia.com:5062</t>
  </si>
  <si>
    <t>18.190.30.8</t>
  </si>
  <si>
    <t>Amelia_Hugo_4</t>
  </si>
  <si>
    <t>use2-prod-sbc-26</t>
  </si>
  <si>
    <t>use2-prod-sbc-26.sip.amelia.com</t>
  </si>
  <si>
    <t>use2-prod-sbc-26.sip.amelia.com:5062</t>
  </si>
  <si>
    <t>3.17.114.33</t>
  </si>
  <si>
    <t>Genesys Cloud Voice</t>
  </si>
  <si>
    <t>DR</t>
  </si>
  <si>
    <t>Dallas</t>
  </si>
  <si>
    <t>Guardian_DR_Dallas</t>
  </si>
  <si>
    <t>Richmond</t>
  </si>
  <si>
    <t>Guardian_DR_Richmond</t>
  </si>
  <si>
    <t>GDDOVSBCAPPQ</t>
  </si>
  <si>
    <t>gdd-nebula.glic</t>
  </si>
  <si>
    <t>DDC-GenesysCloudCX2.glic.com</t>
  </si>
  <si>
    <t>209.10.184.31:5061</t>
  </si>
  <si>
    <t>209.10.184.31</t>
  </si>
  <si>
    <t>GRDOVSBCAPPQ</t>
  </si>
  <si>
    <t>Guardian_DEV_Richmond</t>
  </si>
  <si>
    <t>DDC-GenesysCloudCX4.glic.com</t>
  </si>
  <si>
    <t>209.10.184.32:5061</t>
  </si>
  <si>
    <t>209.10.184.32</t>
  </si>
  <si>
    <t>Amelia_Hugo_1_UAT</t>
  </si>
  <si>
    <t>Amelia_Hugo_1_DEV</t>
  </si>
  <si>
    <t>use2-dev-sbc-25</t>
  </si>
  <si>
    <t>use2-dev-sbc-25.sip.amelia.com</t>
  </si>
  <si>
    <t>use2-dev-sbc-25.sip.amelia.com:5062</t>
  </si>
  <si>
    <t>3.12.191.10</t>
  </si>
  <si>
    <t>Edge Size</t>
  </si>
  <si>
    <t>Edge Count</t>
  </si>
  <si>
    <t>glic-supernova/DR</t>
  </si>
  <si>
    <t>r4.xlarge</t>
  </si>
  <si>
    <t>t3a.medium</t>
  </si>
  <si>
    <t>About telephony - Genesys Cloud Resource Center (mypurecloud.com)</t>
  </si>
  <si>
    <t>name</t>
  </si>
  <si>
    <t>email</t>
  </si>
  <si>
    <t>phone_work</t>
  </si>
  <si>
    <t>extension</t>
  </si>
  <si>
    <t>title</t>
  </si>
  <si>
    <t>department</t>
  </si>
  <si>
    <t>email_manager</t>
  </si>
  <si>
    <t>location_work</t>
  </si>
  <si>
    <t>roles_divisions</t>
  </si>
  <si>
    <t>queues</t>
  </si>
  <si>
    <t>division</t>
  </si>
  <si>
    <t>skills</t>
  </si>
  <si>
    <t>enable auto_answer</t>
  </si>
  <si>
    <t>FirstName LastName</t>
  </si>
  <si>
    <t>Agent@email.com</t>
  </si>
  <si>
    <t>Agent</t>
  </si>
  <si>
    <t>Contact Center</t>
  </si>
  <si>
    <t>manager@email.com</t>
  </si>
  <si>
    <t>Reston, VA</t>
  </si>
  <si>
    <t>role a [division 1; division 2], role b [division 1], User [division 1; division 2], role b [division 1]</t>
  </si>
  <si>
    <t>Queue1, Queue2</t>
  </si>
  <si>
    <t>Global</t>
  </si>
  <si>
    <t>ExampleSkill1:3</t>
  </si>
  <si>
    <t>base</t>
  </si>
  <si>
    <t>site</t>
  </si>
  <si>
    <t>remoteAddress</t>
  </si>
  <si>
    <t>hardwareId</t>
  </si>
  <si>
    <t>keyLabel</t>
  </si>
  <si>
    <t>lineAppearanceId</t>
  </si>
  <si>
    <t>did</t>
  </si>
  <si>
    <t>Import phones - Genesys Cloud Resource Center (mypurecloud.com)</t>
  </si>
  <si>
    <t>Roles</t>
  </si>
  <si>
    <t>Conference Room 2</t>
  </si>
  <si>
    <t>Polycom Trio 8800 BaseSettings</t>
  </si>
  <si>
    <t>Main Office</t>
  </si>
  <si>
    <t>xxxxxxxxxxxx</t>
  </si>
  <si>
    <t>Communicate - User</t>
  </si>
  <si>
    <t>Jon Doe WebRTC</t>
  </si>
  <si>
    <t>WebRTC Base Settings</t>
  </si>
  <si>
    <t>jon.doe@customer.com</t>
  </si>
  <si>
    <t>User</t>
  </si>
  <si>
    <t>Supervisor</t>
  </si>
  <si>
    <t>Quality Administrator</t>
  </si>
  <si>
    <t>Quality Evaluator</t>
  </si>
  <si>
    <t>WFM Admin</t>
  </si>
  <si>
    <t>SOA PAX Reporting</t>
  </si>
  <si>
    <t>Role Modifications</t>
  </si>
  <si>
    <t>Role Name</t>
  </si>
  <si>
    <t>Permission modifications</t>
  </si>
  <si>
    <t>Roles and permissions overview - Genesys Cloud Resource Center (mypurecloud.com)</t>
  </si>
  <si>
    <t>employee</t>
  </si>
  <si>
    <t>Remove ability to join/unjoin queues
Remove ability to pause recording
Remove ability to adhoc record calls</t>
  </si>
  <si>
    <t>Communicate - Admin</t>
  </si>
  <si>
    <t>admin</t>
  </si>
  <si>
    <t>Master Admin</t>
  </si>
  <si>
    <t>Telephony Admin</t>
  </si>
  <si>
    <t>Developer</t>
  </si>
  <si>
    <t>Add ability to assign evaluations to interactions</t>
  </si>
  <si>
    <t>Planner Admin</t>
  </si>
  <si>
    <t>Script Designer</t>
  </si>
  <si>
    <t>Genesys Cloud Voice Admin</t>
  </si>
  <si>
    <t>Performance Management Admin</t>
  </si>
  <si>
    <t>Custom Role Name</t>
  </si>
  <si>
    <t>Permissions Included</t>
  </si>
  <si>
    <t>Notes / updates</t>
  </si>
  <si>
    <t>Products, roles, and permissions list - Genesys Cloud Resource Center (mypurecloud.com)</t>
  </si>
  <si>
    <t>Architect / flow / Edit
Architect / flow / Publish
Architect / flow / View
Architect / systemPrompt / All Permissions
Architect / ui / View
Architect / userPrompt / All Permissions
authorization / grant / All Permissions
authorization / role / View
Directory &gt; User &gt; All Permissions
General / Role Manager
General / User Administration
General / User Manager
Routing / Wrap-up Codes / All Permissions
Telephony / Plugin / All</t>
  </si>
  <si>
    <t>Leader</t>
  </si>
  <si>
    <t>Architect &gt; All Permissions
Bridge &gt; Actions &gt; All Permissions
Directory &gt; Group &gt; All Permissions
Directory &gt; User &gt; All Permissions
Directory &gt; userPassword &gt; All Permissions
externalContacts &gt; All Permissions
General &gt; Person Administration
General &gt; Role Manager
General &gt; User Manager
integrations &gt; All Permissions
Recording &gt; All Permissions
Routing &gt; All Permissions
Single Sign-on All Permissions</t>
  </si>
  <si>
    <t>WFM</t>
  </si>
  <si>
    <t>QM</t>
  </si>
  <si>
    <t>Reviewer</t>
  </si>
  <si>
    <t>Voicemail</t>
  </si>
  <si>
    <t>user &gt; voicemail &gt; Transfer
Voicemail &gt; ACD Voicemail &gt; Delete
Voicemail &gt; ACD Voicemail &gt; View
Voicemail &gt; Voicemail &gt; Receive</t>
  </si>
  <si>
    <t>Agent WFM</t>
  </si>
  <si>
    <t>allows TTEC adapter to track &gt; Verint</t>
  </si>
  <si>
    <t xml:space="preserve">integration &gt; ariaWFMApps &gt; view </t>
  </si>
  <si>
    <t>8/20 Brenda: Robert confirmed via email that this role is needed w/permission provided (permission only applies to this new role)</t>
  </si>
  <si>
    <t>    </t>
  </si>
  <si>
    <t xml:space="preserve">8/27 Robert - Agents who need this role -- 
Wave 4: GLIC Retail, Foundever Retail
Wave 5: GLIC Dental, Foundever Dental
Wave 6: GLIC Group DI, Foundever Group DI
Wave 7: NSC
Wave 8: IM Claims
Wave 2: IMCC
</t>
  </si>
  <si>
    <t>(Assign to Pre-IVR Call Route)</t>
  </si>
  <si>
    <t>(Assign to Flow's Call Route)</t>
  </si>
  <si>
    <t>Flow</t>
  </si>
  <si>
    <t>TFN(s)</t>
  </si>
  <si>
    <t>Dummy DID A</t>
  </si>
  <si>
    <t>Dummy DID B</t>
  </si>
  <si>
    <t>Individual Markets IVR</t>
  </si>
  <si>
    <t>+18004416455, +18008192468, +18002213253, +18885003467, +18003507314</t>
  </si>
  <si>
    <t>Individual Markets - Claimant IVR</t>
  </si>
  <si>
    <t>+18664524542</t>
  </si>
  <si>
    <t>Individual Markets - PAS IVR</t>
  </si>
  <si>
    <t>+18886000003, +18886004667</t>
  </si>
  <si>
    <t>Individual Markets - PAIA IVR</t>
  </si>
  <si>
    <t>Dental IVR</t>
  </si>
  <si>
    <t>Direct to Consumer IEX IVR</t>
  </si>
  <si>
    <t>+18666599900, +18445615600, +18882434578</t>
  </si>
  <si>
    <t>Employee Benefits IVR</t>
  </si>
  <si>
    <t>Employee Benefits Hotline IVR</t>
  </si>
  <si>
    <t>HB Recuritment IVR</t>
  </si>
  <si>
    <t>Generic Menu IVR</t>
  </si>
  <si>
    <t>Password Reset IVR</t>
  </si>
  <si>
    <t>+18664409326, +18664408924</t>
  </si>
  <si>
    <t>Group Disability IVR</t>
  </si>
  <si>
    <t>Broker Admin IVR</t>
  </si>
  <si>
    <t>postivr_routing</t>
  </si>
  <si>
    <t>DID Range Purpose</t>
  </si>
  <si>
    <t>DID Range</t>
  </si>
  <si>
    <t>+15551110000 - +15551110099</t>
  </si>
  <si>
    <t>+15552220000 - +15552220099</t>
  </si>
  <si>
    <t>In Use TFNs</t>
  </si>
  <si>
    <t>Many/discontiguous (~130)</t>
  </si>
  <si>
    <t>see Go live tracker - configured night of go live</t>
  </si>
  <si>
    <t>Out of Use TFNs</t>
  </si>
  <si>
    <t>Many/discontiguous (~470)</t>
  </si>
  <si>
    <t>Transfer numbers</t>
  </si>
  <si>
    <t>Many/discontiguous 1610199xxxx</t>
  </si>
  <si>
    <t>Extension Range Purpose</t>
  </si>
  <si>
    <t>Extension Range</t>
  </si>
  <si>
    <t>External inbound to users</t>
  </si>
  <si>
    <t>Get from user sheet</t>
  </si>
  <si>
    <t>Group for Voicemail</t>
  </si>
  <si>
    <t>8000-8999</t>
  </si>
  <si>
    <t>User extensions</t>
  </si>
  <si>
    <t>30000-30500</t>
  </si>
  <si>
    <t>Manage DID and toll-free number ranges - Genesys Cloud Resource Center (mypurecloud.com)</t>
  </si>
  <si>
    <t>Manage DID and toll-free number assignments - Genesys Cloud Resource Center (mypurecloud.com)</t>
  </si>
  <si>
    <t>Group Config</t>
  </si>
  <si>
    <t>About groups - Genesys Cloud Resource Center (mypurecloud.com)</t>
  </si>
  <si>
    <t>Group Name</t>
  </si>
  <si>
    <t>Admin Team</t>
  </si>
  <si>
    <t>About setting up groups (admins) - Genesys Cloud Resource Center (mypurecloud.com)</t>
  </si>
  <si>
    <t>Official / Social</t>
  </si>
  <si>
    <r>
      <t>Visibility
Public:</t>
    </r>
    <r>
      <rPr>
        <sz val="10"/>
        <color rgb="FF4E5054"/>
        <rFont val="Calibri"/>
        <family val="2"/>
        <scheme val="minor"/>
      </rPr>
      <t xml:space="preserve"> </t>
    </r>
    <r>
      <rPr>
        <i/>
        <sz val="10"/>
        <color rgb="FF4E5054"/>
        <rFont val="Calibri"/>
        <family val="2"/>
        <scheme val="minor"/>
      </rPr>
      <t xml:space="preserve">Anyone can find the group. </t>
    </r>
    <r>
      <rPr>
        <b/>
        <sz val="10"/>
        <color rgb="FF4E5054"/>
        <rFont val="Calibri"/>
        <family val="2"/>
        <scheme val="minor"/>
      </rPr>
      <t xml:space="preserve">
Members Only:</t>
    </r>
    <r>
      <rPr>
        <i/>
        <sz val="10"/>
        <color rgb="FF4E5054"/>
        <rFont val="Calibri"/>
        <family val="2"/>
        <scheme val="minor"/>
      </rPr>
      <t xml:space="preserve"> Only members of the group can find the group. </t>
    </r>
    <r>
      <rPr>
        <b/>
        <sz val="10"/>
        <color rgb="FF4E5054"/>
        <rFont val="Calibri"/>
        <family val="2"/>
        <scheme val="minor"/>
      </rPr>
      <t xml:space="preserve">
Owners Only:</t>
    </r>
    <r>
      <rPr>
        <sz val="10"/>
        <color rgb="FF4E5054"/>
        <rFont val="Calibri"/>
        <family val="2"/>
        <scheme val="minor"/>
      </rPr>
      <t xml:space="preserve"> </t>
    </r>
    <r>
      <rPr>
        <i/>
        <sz val="10"/>
        <color rgb="FF4E5054"/>
        <rFont val="Calibri"/>
        <family val="2"/>
        <scheme val="minor"/>
      </rPr>
      <t>Only owners and members of the group can find the group.</t>
    </r>
  </si>
  <si>
    <t>Members Only / Owners Only / Public</t>
  </si>
  <si>
    <t>Include Owners</t>
  </si>
  <si>
    <t>yes / no</t>
  </si>
  <si>
    <t>Enable Calls</t>
  </si>
  <si>
    <t>On / Off</t>
  </si>
  <si>
    <t>Group Phone Number / Extension</t>
  </si>
  <si>
    <t>&lt;DID number in E164 format&gt;
&lt;Extension configured on the platform&gt;</t>
  </si>
  <si>
    <r>
      <t xml:space="preserve">Call Route Type
Broadcast: </t>
    </r>
    <r>
      <rPr>
        <i/>
        <sz val="10"/>
        <color rgb="FF4E5054"/>
        <rFont val="Calibri"/>
        <family val="2"/>
        <scheme val="minor"/>
      </rPr>
      <t>15 randomly selected members will be called simultaneously with a maximum of 1,000 members in rotation.</t>
    </r>
    <r>
      <rPr>
        <b/>
        <sz val="10"/>
        <color rgb="FF4E5054"/>
        <rFont val="Calibri"/>
        <family val="2"/>
        <scheme val="minor"/>
      </rPr>
      <t xml:space="preserve">
Sequential: </t>
    </r>
    <r>
      <rPr>
        <i/>
        <sz val="10"/>
        <color rgb="FF4E5054"/>
        <rFont val="Calibri"/>
        <family val="2"/>
        <scheme val="minor"/>
      </rPr>
      <t>Sequential routes will call members in a specified order.</t>
    </r>
    <r>
      <rPr>
        <b/>
        <sz val="10"/>
        <color rgb="FF4E5054"/>
        <rFont val="Calibri"/>
        <family val="2"/>
        <scheme val="minor"/>
      </rPr>
      <t xml:space="preserve">
Rotary: </t>
    </r>
    <r>
      <rPr>
        <i/>
        <sz val="10"/>
        <color rgb="FF4E5054"/>
        <rFont val="Calibri"/>
        <family val="2"/>
        <scheme val="minor"/>
      </rPr>
      <t>Rotary routes will call members based on who has last received a call.</t>
    </r>
  </si>
  <si>
    <t>Broadcast / Sequential / Rotary</t>
  </si>
  <si>
    <t>Rotate Calls</t>
  </si>
  <si>
    <t>Every T seconds</t>
  </si>
  <si>
    <t xml:space="preserve">T = </t>
  </si>
  <si>
    <t>Stop Ringing</t>
  </si>
  <si>
    <t>After N rotations</t>
  </si>
  <si>
    <t xml:space="preserve">N = </t>
  </si>
  <si>
    <t>Overflow</t>
  </si>
  <si>
    <t>Off / On</t>
  </si>
  <si>
    <r>
      <t xml:space="preserve">Overflow / Back-up Contact
</t>
    </r>
    <r>
      <rPr>
        <i/>
        <sz val="10"/>
        <color rgb="FF4E5054"/>
        <rFont val="Calibri"/>
        <family val="2"/>
        <scheme val="minor"/>
      </rPr>
      <t>Note: Overflow calls will always be broadcast.</t>
    </r>
  </si>
  <si>
    <t>Voicemail / Greeting</t>
  </si>
  <si>
    <t>No audio selected or recorded / &lt;Wav file name&gt;</t>
  </si>
  <si>
    <t>Voicemail / Email Notification</t>
  </si>
  <si>
    <r>
      <t xml:space="preserve">Off
On </t>
    </r>
    <r>
      <rPr>
        <i/>
        <sz val="10"/>
        <color rgb="FF4E5054"/>
        <rFont val="Calibri"/>
        <family val="2"/>
        <scheme val="minor"/>
      </rPr>
      <t>(Send email notification to members for group voicemails)</t>
    </r>
  </si>
  <si>
    <t>Members</t>
  </si>
  <si>
    <t>&lt;User 1&gt;</t>
  </si>
  <si>
    <t>Ext:</t>
  </si>
  <si>
    <t>&lt;User 2&gt;</t>
  </si>
  <si>
    <t>&lt;User 3&gt;</t>
  </si>
  <si>
    <t>&lt;User 4&gt;</t>
  </si>
  <si>
    <t>&lt;User 5&gt;</t>
  </si>
  <si>
    <t>Owners</t>
  </si>
  <si>
    <t>About Groups - Genesys Cloud Resource Center (mypurecloud.com)</t>
  </si>
  <si>
    <t>About setting up Groups (admins) - Genesys Cloud Resource Center (mypurecloud.com)</t>
  </si>
  <si>
    <t>Visibility</t>
  </si>
  <si>
    <t>Include owners</t>
  </si>
  <si>
    <t>Call Route Type</t>
  </si>
  <si>
    <t>Overflow / Back-up Contact</t>
  </si>
  <si>
    <t>Broker_VM_Opt_Greater_Atlanta_DN_Group</t>
  </si>
  <si>
    <t>Official</t>
  </si>
  <si>
    <t>Public</t>
  </si>
  <si>
    <t>yes</t>
  </si>
  <si>
    <t>Rotary</t>
  </si>
  <si>
    <t>no</t>
  </si>
  <si>
    <t>Pooja Konda, Anirban Chakravarty, Simonti Sen,QA users</t>
  </si>
  <si>
    <t>Broker_VM_Opt_Greater_Chicago_DN_Group</t>
  </si>
  <si>
    <t>Broker_VM_Opt_Pennsylvania_DN_Group</t>
  </si>
  <si>
    <t>Team_Smith_Gusto_OF_Group</t>
  </si>
  <si>
    <t>Broker_VM_Opt_Texas_DN_Group</t>
  </si>
  <si>
    <t>Team_Jefferies_OF_Group</t>
  </si>
  <si>
    <t>Broker_VM_Opt_No_Cal_DN_Group</t>
  </si>
  <si>
    <t>Team_Smith_OF_Group</t>
  </si>
  <si>
    <t>Broker_VM_Opt_Florida_DN_Group</t>
  </si>
  <si>
    <t>Team_Kober_OF_Group</t>
  </si>
  <si>
    <t>Broker_VM_Opt_Greater_New_York_DN_Group</t>
  </si>
  <si>
    <t>Broker_VM_Opt_Great_Lakes_DN_Group</t>
  </si>
  <si>
    <t>Broker_VM_Opt_New_England_DN_Group</t>
  </si>
  <si>
    <t>Team_Wright_OF_Group</t>
  </si>
  <si>
    <t>Broker_MicroSeg_VM_Opt_DN_Group</t>
  </si>
  <si>
    <t>Broker_VM_Opt_Heartland_DN_Group</t>
  </si>
  <si>
    <t>Team_Hartjes_OF_Group</t>
  </si>
  <si>
    <t>Broker_VM_Opt_DC_Carolinas_DN_Group</t>
  </si>
  <si>
    <t>Broker_VM_Opt_Broker_Sequoia_DN_Group</t>
  </si>
  <si>
    <t>Broker_VM_Opt_Pacific_SW_DN_Group</t>
  </si>
  <si>
    <t>Dental_Closed_Group</t>
  </si>
  <si>
    <t>EDI_VM - This gets handled from PEC DT_Group</t>
  </si>
  <si>
    <t>HW_Deduction_VM_Group</t>
  </si>
  <si>
    <t>National_Conversion_Closed_Group</t>
  </si>
  <si>
    <t>National_Conversion_Exception_Group</t>
  </si>
  <si>
    <t>National_Conversion_Holiday_Group</t>
  </si>
  <si>
    <t>National_Conversion_Unstaffed_Group</t>
  </si>
  <si>
    <t>Premier_Planholder_Group</t>
  </si>
  <si>
    <t>IPSIEX_Closed_CA_Group</t>
  </si>
  <si>
    <t>IL_LifeClaims_Unstaffed_Group</t>
  </si>
  <si>
    <t>DI_DTC_Agency_Assist_Group</t>
  </si>
  <si>
    <t>IM_Agent_Closed_Group</t>
  </si>
  <si>
    <t>IM_Agent_Unstaffed_Group</t>
  </si>
  <si>
    <t>CLM_Unstaffed_Group</t>
  </si>
  <si>
    <t>IL_Elite_Group</t>
  </si>
  <si>
    <t>IL_LifeClaims_Closed_Group</t>
  </si>
  <si>
    <t>IL_LifeClaims_Exception_Group</t>
  </si>
  <si>
    <t>IL_LifeClaims_Holiday_Group</t>
  </si>
  <si>
    <t>eApp_Unstaffed_Group</t>
  </si>
  <si>
    <t>RSTPA_Closed_Group</t>
  </si>
  <si>
    <t>GSA_Trading_Group</t>
  </si>
  <si>
    <t>GSA_Client_Group</t>
  </si>
  <si>
    <t>GSA_Advisor_Group</t>
  </si>
  <si>
    <t>Tricia_VM_Group</t>
  </si>
  <si>
    <t>Suzanne_VM_Group</t>
  </si>
  <si>
    <t>Salt_Lake_City_QX_Unstaffed_Group</t>
  </si>
  <si>
    <t>Salt_Lake_City_QX_Holiday_Group</t>
  </si>
  <si>
    <t>Salt_Lake_City_QX_Closed_Group</t>
  </si>
  <si>
    <t>OPC_Unstaffed_Group</t>
  </si>
  <si>
    <t>OPC_Holiday_Group</t>
  </si>
  <si>
    <t>OPC_Closed_Group</t>
  </si>
  <si>
    <t>Megan_VM_Group</t>
  </si>
  <si>
    <t>MCM_Unstaffed_Group</t>
  </si>
  <si>
    <t>MCM_Holiday_Group</t>
  </si>
  <si>
    <t>MCM_Exception_Group</t>
  </si>
  <si>
    <t>MCM_Closed_Group</t>
  </si>
  <si>
    <t>Mary_VM_Group</t>
  </si>
  <si>
    <t>Marlene_VM_Group</t>
  </si>
  <si>
    <t>Lisa_VM_Group</t>
  </si>
  <si>
    <t>Judy_VM_Group</t>
  </si>
  <si>
    <t>EDI_VM_Group</t>
  </si>
  <si>
    <t>CDC_Closed_Group</t>
  </si>
  <si>
    <t>Brianna_VM_Group</t>
  </si>
  <si>
    <t>BRC_VM_Group</t>
  </si>
  <si>
    <t>BRC_Unstaffed_Group</t>
  </si>
  <si>
    <t>BRC_Holiday_Group</t>
  </si>
  <si>
    <t>BRC_Exception_Group</t>
  </si>
  <si>
    <t>BRC_Closed_Group</t>
  </si>
  <si>
    <t>ASL_Unstaffed_Group</t>
  </si>
  <si>
    <t>ASL_Closed_Group</t>
  </si>
  <si>
    <t>ASL_ClientID_VM_Group</t>
  </si>
  <si>
    <t>ASL_ClientID_1111_VM_Group</t>
  </si>
  <si>
    <t>Altfunded_Unstaffed_Group</t>
  </si>
  <si>
    <t>Altfunded_Closed_Group</t>
  </si>
  <si>
    <t>ACL_Closed_Group</t>
  </si>
  <si>
    <t>Finance_Assist_Group</t>
  </si>
  <si>
    <t>G888_UP_Group</t>
  </si>
  <si>
    <t>ACL_VM_Group</t>
  </si>
  <si>
    <t>AASM_agallio_Group</t>
  </si>
  <si>
    <t>AASM_areed02_Group</t>
  </si>
  <si>
    <t>AASM_amatcza_Group</t>
  </si>
  <si>
    <t>AASM_abritti_Group</t>
  </si>
  <si>
    <t>AASM_arice01_Group</t>
  </si>
  <si>
    <t>AASM_nelgaxn_Group</t>
  </si>
  <si>
    <t>AASM_alouros_Group</t>
  </si>
  <si>
    <t>AASM_chslaxc_Group</t>
  </si>
  <si>
    <t>AASM_mgccalm_Group</t>
  </si>
  <si>
    <t>AASM_w848_Group</t>
  </si>
  <si>
    <t>AASM_mcrubxl_Group</t>
  </si>
  <si>
    <t>AASM_mgcbarf_Group</t>
  </si>
  <si>
    <t>AASM_w724_Group</t>
  </si>
  <si>
    <t>AASM_ngpsb1b_Group</t>
  </si>
  <si>
    <t>AASM_rparish_Group</t>
  </si>
  <si>
    <t>AASM_crbubjf_Group</t>
  </si>
  <si>
    <t>AASM_mufsbrr_Group</t>
  </si>
  <si>
    <t>AASM_bcrager_Group</t>
  </si>
  <si>
    <t>AASM_bcollie_Group</t>
  </si>
  <si>
    <t>AASM_crbsbxc_Group</t>
  </si>
  <si>
    <t>AASM_bmccray_Group</t>
  </si>
  <si>
    <t>AASM_cguehrn_Group</t>
  </si>
  <si>
    <t>AASM_sp548_Group</t>
  </si>
  <si>
    <t>AASM_cfergu1_Group</t>
  </si>
  <si>
    <t>AASM_cbeahn1_Group</t>
  </si>
  <si>
    <t>AASM_nelgcxm_Group</t>
  </si>
  <si>
    <t>AASM_wdgccxe_Group</t>
  </si>
  <si>
    <t>AASM_cbuckli_Group</t>
  </si>
  <si>
    <t>AASM_wdgcc1p_Group</t>
  </si>
  <si>
    <t>AASM_ncrdc1g_Group</t>
  </si>
  <si>
    <t>AASM_mtgucaf_Group</t>
  </si>
  <si>
    <t>AASM_wdgccxt_Group</t>
  </si>
  <si>
    <t>AASM_cjohn19_Group</t>
  </si>
  <si>
    <t>AASM_mgcccls_Group</t>
  </si>
  <si>
    <t>AASM_cmathe3_Group</t>
  </si>
  <si>
    <t>AASM_premcxs_Group</t>
  </si>
  <si>
    <t>AASM_cmayer1_Group</t>
  </si>
  <si>
    <t>AASM_mcrucxe_Group</t>
  </si>
  <si>
    <t>AASM_cmateer_Group</t>
  </si>
  <si>
    <t>AASM_dbartyn_Group</t>
  </si>
  <si>
    <t>AASM_dbriema_Group</t>
  </si>
  <si>
    <t>AASM_ngpbdab_Group</t>
  </si>
  <si>
    <t>AASM_njvcdxy_Group</t>
  </si>
  <si>
    <t>AASM_ewapins_Group</t>
  </si>
  <si>
    <t>AASM_epierce_Group</t>
  </si>
  <si>
    <t>AASM_mufsexz_Group</t>
  </si>
  <si>
    <t>AASM_wdgcfvh_Group</t>
  </si>
  <si>
    <t>AASM_hdelare_Group</t>
  </si>
  <si>
    <t>AASM_ibauer1_Group</t>
  </si>
  <si>
    <t>AASM_mgccjss_Group</t>
  </si>
  <si>
    <t>AASM_crbejxl_Group</t>
  </si>
  <si>
    <t>AASM_mmbsjss_Group</t>
  </si>
  <si>
    <t>AASM_jvanhan_Group</t>
  </si>
  <si>
    <t>AASM_mufsjlr_Group</t>
  </si>
  <si>
    <t>AASM_jsanto1_Group</t>
  </si>
  <si>
    <t>AASM_w720_Group</t>
  </si>
  <si>
    <t>AASM_crbejxw_Group</t>
  </si>
  <si>
    <t>AASM_mcrukah_Group</t>
  </si>
  <si>
    <t>AASM_w808_Group</t>
  </si>
  <si>
    <t>AASM_berkk2w_Group</t>
  </si>
  <si>
    <t>AASM_kromo01_Group</t>
  </si>
  <si>
    <t>AASM_kthoma3_Group</t>
  </si>
  <si>
    <t>AASM_kalexa3_Group</t>
  </si>
  <si>
    <t>AASM_kmurtau_Group</t>
  </si>
  <si>
    <t>AASM_kwildri_Group</t>
  </si>
  <si>
    <t>AASM_eciekxc_Group</t>
  </si>
  <si>
    <t>AASM_mgcckjk_Group</t>
  </si>
  <si>
    <t>AASM_lmcnich_Group</t>
  </si>
  <si>
    <t>AASM_ljohns3_Group</t>
  </si>
  <si>
    <t>AASM_crbslxm_Group</t>
  </si>
  <si>
    <t>AASM_lcarter_Group</t>
  </si>
  <si>
    <t>AASM_mcrul1s_Group</t>
  </si>
  <si>
    <t>AASM_lalvare_Group</t>
  </si>
  <si>
    <t>AASM_lmanesc_Group</t>
  </si>
  <si>
    <t>AASM_w822_Group</t>
  </si>
  <si>
    <t>AASM_mmbsaxj_Group</t>
  </si>
  <si>
    <t>AASM_ngpimxl_Group</t>
  </si>
  <si>
    <t>AASM_mschalu_Group</t>
  </si>
  <si>
    <t>AASM_crbsmxq_Group</t>
  </si>
  <si>
    <t>AASM_mperacc_Group</t>
  </si>
  <si>
    <t>AASM_mjordan_Group</t>
  </si>
  <si>
    <t>AASM_crbsm2r_Group</t>
  </si>
  <si>
    <t>AASM_mgemmah_Group</t>
  </si>
  <si>
    <t>AASM_nindeli_Group</t>
  </si>
  <si>
    <t>AASM_nyancey_Group</t>
  </si>
  <si>
    <t>AASM_mgenmb6_Group</t>
  </si>
  <si>
    <t>AASM_ncrdpxr_Group</t>
  </si>
  <si>
    <t>AASM_ngpbpsy_Group</t>
  </si>
  <si>
    <t>AASM_qcrayto_Group</t>
  </si>
  <si>
    <t>AASM_crbsr2s_Group</t>
  </si>
  <si>
    <t>AASM_rgustav_Group</t>
  </si>
  <si>
    <t>AASM_hngsrxs_Group</t>
  </si>
  <si>
    <t>AASM_rhillbr_Group</t>
  </si>
  <si>
    <t>AASM_bcmprma_Group</t>
  </si>
  <si>
    <t>AASM_w721_Group</t>
  </si>
  <si>
    <t>AASM_mgccsjt_Group</t>
  </si>
  <si>
    <t>AASM_mcrus1p_Group</t>
  </si>
  <si>
    <t>AASM_spiquio_Group</t>
  </si>
  <si>
    <t>AASM_srippy1_Group</t>
  </si>
  <si>
    <t>AASM_eciesxb_Group</t>
  </si>
  <si>
    <t>AASM_wufssxf_Group</t>
  </si>
  <si>
    <t>AASM_shiggin_Group</t>
  </si>
  <si>
    <t>AASM_mgesjz1_Group</t>
  </si>
  <si>
    <t>AASM_ngcssxk_Group</t>
  </si>
  <si>
    <t>AASM_crbes1w_Group</t>
  </si>
  <si>
    <t>AASM_nufssar_Group</t>
  </si>
  <si>
    <t>AASM_skrayni_Group</t>
  </si>
  <si>
    <t>AASM_spetri1_Group</t>
  </si>
  <si>
    <t>AASM_ncrusmr_Group</t>
  </si>
  <si>
    <t>AASM_smorro2_Group</t>
  </si>
  <si>
    <t>AASM_crbst1b_Group</t>
  </si>
  <si>
    <t>AASM_mgadtxm_Group</t>
  </si>
  <si>
    <t>AASM_tjohns1_Group</t>
  </si>
  <si>
    <t>AASM_tdubose_Group</t>
  </si>
  <si>
    <t>AASM_tklarne_Group</t>
  </si>
  <si>
    <t>AASM_crbst1w_Group</t>
  </si>
  <si>
    <t>AASM_crbsvxr_Group</t>
  </si>
  <si>
    <t>AASM_ne527_Group</t>
  </si>
  <si>
    <t>AASM_wsteger_Group</t>
  </si>
  <si>
    <t>AASM_crbszxk_Group</t>
  </si>
  <si>
    <t>Broker_VM_Opt_Broker_Sequoia_OF_Group</t>
  </si>
  <si>
    <t>caroline_ferguson@glic.com,Erin_Ziegert@glic.com,rachel_gustave@glic.com,whitnee_steger@glic.com,amber_brittian@glic.com,seindhy_piquion@glic.com</t>
  </si>
  <si>
    <t>Pooja Konda, Anirban Chakravarty, Simonti Sen, Garrett Napier, Dan Wolf, Robert J. Paxton</t>
  </si>
  <si>
    <t>darian_briemann@glic.com,rachael_evers@glic.com,agatha_gallion@glic.com</t>
  </si>
  <si>
    <t>teri_klarner@glic.com,Dana_VanNatten@glic.com,lamika_mcnichols@glic.com,Susan_Morrow@glic.com</t>
  </si>
  <si>
    <t>josey_wendler@glic.com,karen_hietpas@glic.com,amy_nyce@glic.com,catherine_malitsis@glic.com,angela_louros@glic.com,Jennifer_VanHandel@glic.com</t>
  </si>
  <si>
    <t>teri_wussow@glic.com,cassidy_beahn@glic.com,quinnetta_crayton@glic.com,patricia_rollberg@glic.com,christine_eder@glic.com,Nicholas_Rossi-Marino@glic.com,Amanda_Matczak@glic.com</t>
  </si>
  <si>
    <t>Amy_Hietpas@glic.com,asha_cull@glic.com,ashley_natali@glic.com,bethann_bogucki@glic.com,Brian_Rusch@glic.com,Mary-Jane_Lower@glic.com,Shelley_Zeegers@glic.com,Stephanie_werley@glic.com,elizabeth_wapinski@glic.com,kathy_wilson@glic.com,Alyssa_Reed@glic.com,amber_richardson@glic.com,crystal_mathews@glic.com,Deborah_A_Berger@glic.com,Milagros_Jordan@glic.com,taylor_x_johnson@glic.com</t>
  </si>
  <si>
    <t>chris_bucklin@glic.com,crystal_sjoquist@glic.com,tempestt_dubose@glic.com,Cari_Taylor@glic.com,Candice_Guehrn@glic.com,amber_rice@glic.com</t>
  </si>
  <si>
    <t>Jeff_Stadler@glic.com,RCook@glic.com,shannon_bartlett@glic.com</t>
  </si>
  <si>
    <t>Brittany_Collier@glic.com,Cynthia_Mateer@glic.com,Lisa_Manescu@glic.com,Wendy_Schoenberger@glic.com,megan_schalund@glic.com,brianna_crager@glic.com</t>
  </si>
  <si>
    <t>amy_nyce@glic.com,angela_louros@glic.com,Beth_Ritchie@glic.com,bryan_mccray@glic.com,catherine_malitsis@glic.com,Charmaine_Espinoza@glic.com,Deb_Doyne@glic.com,Jennifer_VanHandel@glic.com,josey_wendler@glic.com,karen_hietpas@glic.com,Kayla_Murtaugh@glic.com,latoya_moore@glic.com,Lina_Alvarez@glic.com,Mandy_Otto@glic.com,michael_santos@glic.com,Michelle_Radtke@glic.com,natalie_indelicato@glic.com,ryan_p_thomas@glic.com,Sue_Reppert@glic.com</t>
  </si>
  <si>
    <t>tammy_billheimer@glic.com,zach_kickbusch@glic.com,Ashlee_Mereness@glic.com,Cindy_Kriewaldt@glic.com,Michelle_Radtke@glic.com,Patricia_Young@glic.com,pamela_barrett@glic.com,Sandy_Vandermoss@glic.com,cindy_johnson@glic.com</t>
  </si>
  <si>
    <t>Sara_Leitermann@glic.com,mitchell_roepcke@glic.com,Jessica_Knutson@glic.com,Barb_Hanson@glic.com,Natasha_Yancey@glic.com,sydney_hassler@glic.com,jennifer_lison@glic.com,laterrica_harris@glic.com</t>
  </si>
  <si>
    <t>cynthia_eberhard@glic.com,john_frammigen@glic.com,angela_floyd@glic.com,Christine_Otto@glic.com,Sherie_Kugler@glic.com,laverne_carter@glic.com,Lisa_Streck@glic.com</t>
  </si>
  <si>
    <t>alicia_kettner@glic.com,amy_vaupel@glic.com,Anna_Lee@glic.com,Destiny_Harris@glic.com,Karen_Miletto@glic.com,lindsay_shiner@glic.com,Mary_Krueger@glic.com,Melanie_Stellmach@glic.com,Sue_Steffens@glic.com,cynara_mayer@glic.com,Jennifer_Schoenick@glic.com,rachel_a_showman@glic.com,selena_rippy@glic.com</t>
  </si>
  <si>
    <t>melanie_quinn@glic.com,brittany_sokolowski@glic.com,Beth_Hopfensperger@glic.com,Robert_Parish@glic.com,Joann_Socha@glic.com,Karrie_Torbeck@glic.com,Chuck_Topley@glic.com,Erin_Pierce@glic.com</t>
  </si>
  <si>
    <t>Molly_Bruch@glic.com,Kristy_Yaeger@glic.com,Tammy_Borelli@glic.com,Nikki_Schultz@glic.com,victoria_rivera@glic.com</t>
  </si>
  <si>
    <t>Bobbiejo_Figlinski@glic.com,Kerry_Wildrick@glic.com,ian_bauer@glic.com,barbara_leach@glic.com,freddi_vanhout@glic.com,Stephen_Kraynick@glic.com</t>
  </si>
  <si>
    <t>katrina_thomas@glic.com,melissa_peracchia@glic.com,kristin_wilcox@glic.com,steve_petrinovich@glic.com</t>
  </si>
  <si>
    <t>Rebecca_Buchinger@glic.com,Vonnie_Riehle@glic.com,christa_powell@glic.com,katie_romo@glic.com,leigh_schneider@glic.com,hazel_delareto@glic.com,theresa_ludtke@glic.com</t>
  </si>
  <si>
    <t>EDI_VM</t>
  </si>
  <si>
    <t>AISVARIYA_R@glic.com,aman_hooda@glic.com,Ankit_Sher_Singh@glic.com,arjun_ekambaram@glic.com,bhuvaneswari_kaliyaperumal@glic.com,Cheshta_Singh@glic.com,christine_strickler@glic.com,david_r_kennedy@glic.com,deepak_pathak@glic.com,Gagan_Nawani@glic.com,Heather_Carpenter@glic.com,jamuna_x_kailasam@glic.com,jana_peterson@glic.com,Jeremy_Zeegers@glic.com,jonathan_gracer@glic.com,Kate_Hennessey@glic.com,kristen_aiello@glic.com,kristin_soldridge@glic.com,Kristine_Muench@glic.com,kumaresan_subramanian@glic.com,Lena_P_Xiong@glic.com,Lisa_A_Reier@glic.com,Mary_Zoromski@glic.com,matt_guidry@glic.com,maurice_tucker@glic.com,michael_ulmen@glic.com,mohit_dixit@glic.com,Nandakumar_Ganesan@glic.com,nicholas_kline@glic.com,nitesh_n@glic.com,noor-mohammed_methapillai-marasikayer@glic.com,pamela_stanek@glic.com,pratyush_jha@glic.com,Priya_Natarajan@glic.com,Rekha_Pandey@glic.com,senthamilmanimaran_karunanithi@glic.com,shafara_bridges@glic.com,shristi_singh@glic.com,simson_chellathurai@glic.com</t>
  </si>
  <si>
    <t>brandy_dunlow@glic.com,Cindy_Delfosse@glic.com,Denise_Eckert@glic.com,Leah_Williamson@glic.com,pamela_olson@glic.com,rebecca_jansen@glic.com,regina_nelson@glic.com,robin_dobberstein@glic.com</t>
  </si>
  <si>
    <t>alicia_kettner@glic.com,amy_Erickson@glic.com,amy_vaupel@glic.com,Anna_Lee@glic.com,brandon_velez@glic.com,cynara_mayer@glic.com,Destiny_Harris@glic.com,Jennifer_Schoenick@glic.com,Karen_Miletto@glic.com,lindsay_shiner@glic.com,Mary_Krueger@glic.com,Melanie_Stellmach@glic.com,rachel_a_showman@glic.com,Randi_Trudeau@glic.com,selena_rippy@glic.com,Sue_Steffens@glic.com,trent_wright@glic.com</t>
  </si>
  <si>
    <t>luz_alvarado@glic.com</t>
  </si>
  <si>
    <t>Evangelista_Mora@glic.com,harrison_scheffler@glic.com,Krista_Demyan@glic.com,martin_goldstein@glic.com,samantha_kenyon@glic.com,warren_kwan@glic.com</t>
  </si>
  <si>
    <t>brenna_kern@glic.com,Haripriya_Nagarajan@glic.com,karthikeyan_jaganathan@glic.com,Marlene_J_Dupuis@glic.com,Patrick_R_Harlan@glic.com,pavankumar_kothapalli@glic.com,simonti_test@glic.com</t>
  </si>
  <si>
    <t>Suzanne_Seguin@glic.com,Lisa_M_Nagy@glic.com,Judy_Adler@glic.com,brenna_kern@glic.com,pavankumar_kothapalli@glic.com,karthikeyan_jaganathan@glic.com,Brianna_Zischang@glic.com</t>
  </si>
  <si>
    <t>Suzanne_Seguin@glic.com,Lisa_M_Nagy@glic.com,Judy_Adler@glic.com,brenna_kern@glic.com,margaux_c_rigoland@glic.com,Eric_Littman@glic.com,anthony_letizia@glic.com,kristopher_ireland@glic.com,Kristina_Nash@glic.com,michelle_turpin@glic.com,pavankumar_kothapalli@glic.com,karthikeyan_jaganathan@glic.com,Brianna_Zischang@glic.com,lauren_fetherman@glic.com,madalene_harden@glic.com</t>
  </si>
  <si>
    <t>ashley_sosa@glic.com,breanna_bradley@glic.com,Courtney_Ross@glic.com,Jacquelyn_Perez@glic.com,jamie_x_strohecker1@glic.com,kim_a_markline@glic.com,laura_maria_cachinero@glic.com,lavern_mcqueen@glic.com,lori_x_averna@glic.com,natasha_bonyun@glic.com,priscila_barbavital@glic.com,tarek_diab@glic.com,Cheri_Semmel@glic.com,francescoa_alatrista-lerzundi@glic.com,kathleen_dejulio@glic.com,Suzanne_Seguin@glic.com,Lisa_M_Nagy@glic.com,Judy_Adler@glic.com,brenna_kern@glic.com,margaux_c_rigoland@glic.com,Eric_Littman@glic.com,anthony_letizia@glic.com,kristopher_ireland@glic.com,Kristina_Nash@glic.com,michelle_turpin@glic.com,pavankumar_kothapalli@glic.com,karthikeyan_jaganathan@glic.com,Brianna_Zischang@glic.com,tara_gubitosi@glic.com,sara_desjadon@glic.com,jayne_x_civitella@glic.com,bruce_delong@glic.com,amanda_schneck@glic.com,lauren_fetherman@glic.com,madalene_harden@glic.com</t>
  </si>
  <si>
    <t>agatha_gallion@glic.com</t>
  </si>
  <si>
    <t>Alyssa_Reed@glic.com</t>
  </si>
  <si>
    <t>Amanda_Matczak@glic.com</t>
  </si>
  <si>
    <t>amber_brittian@glic.com</t>
  </si>
  <si>
    <t>amber_rice@glic.com</t>
  </si>
  <si>
    <t>amy_nyce@glic.com</t>
  </si>
  <si>
    <t>angela_louros@glic.com</t>
  </si>
  <si>
    <t>asha_cull@glic.com</t>
  </si>
  <si>
    <t>Ashlee_Mereness@glic.com</t>
  </si>
  <si>
    <t>Barb_Hanson@glic.com</t>
  </si>
  <si>
    <t>barbara_leach@glic.com</t>
  </si>
  <si>
    <t>Beth_Hopfensperger@glic.com</t>
  </si>
  <si>
    <t>Beth_Ritchie@glic.com</t>
  </si>
  <si>
    <t>bethann_bogucki@glic.com</t>
  </si>
  <si>
    <t>Robert_Parish@glic.com</t>
  </si>
  <si>
    <t>Bobbiejo_Figlinski@glic.com</t>
  </si>
  <si>
    <t>Brian_Rusch@glic.com</t>
  </si>
  <si>
    <t>brianna_crager@glic.com</t>
  </si>
  <si>
    <t>Brittany_Collier@glic.com</t>
  </si>
  <si>
    <t>brittany_sokolowski@glic.com</t>
  </si>
  <si>
    <t>bryan_mccray@glic.com</t>
  </si>
  <si>
    <t>Candice_Guehrn@glic.com</t>
  </si>
  <si>
    <t>Cari_Taylor@glic.com</t>
  </si>
  <si>
    <t>caroline_ferguson@glic.com</t>
  </si>
  <si>
    <t>cassidy_beahn@glic.com</t>
  </si>
  <si>
    <t>catherine_malitsis@glic.com</t>
  </si>
  <si>
    <t>Charmaine_Espinoza@glic.com</t>
  </si>
  <si>
    <t>chris_bucklin@glic.com</t>
  </si>
  <si>
    <t>christa_powell@glic.com</t>
  </si>
  <si>
    <t>christine_eder@glic.com</t>
  </si>
  <si>
    <t>Christine_Otto@glic.com</t>
  </si>
  <si>
    <t>Chuck_Topley@glic.com</t>
  </si>
  <si>
    <t>cindy_johnson@glic.com</t>
  </si>
  <si>
    <t>Cindy_Kriewaldt@glic.com</t>
  </si>
  <si>
    <t>crystal_mathews@glic.com</t>
  </si>
  <si>
    <t>crystal_sjoquist@glic.com</t>
  </si>
  <si>
    <t>cynara_mayer@glic.com</t>
  </si>
  <si>
    <t>cynthia_eberhard@glic.com</t>
  </si>
  <si>
    <t>Cynthia_Mateer@glic.com</t>
  </si>
  <si>
    <t>Dana_VanNatten@glic.com</t>
  </si>
  <si>
    <t>darian_briemann@glic.com</t>
  </si>
  <si>
    <t>Deborah_A_Berger@glic.com</t>
  </si>
  <si>
    <t>Deb_Doyne@glic.com</t>
  </si>
  <si>
    <t>elizabeth_wapinski@glic.com</t>
  </si>
  <si>
    <t>Erin_Pierce@glic.com</t>
  </si>
  <si>
    <t>Erin_Ziegert@glic.com</t>
  </si>
  <si>
    <t>freddi_vanhout@glic.com</t>
  </si>
  <si>
    <t>hazel_delareto@glic.com</t>
  </si>
  <si>
    <t>ian_bauer@glic.com</t>
  </si>
  <si>
    <t>Jeff_Stadler@glic.com</t>
  </si>
  <si>
    <t>jennifer_lison@glic.com</t>
  </si>
  <si>
    <t>Jennifer_Schoenick@glic.com</t>
  </si>
  <si>
    <t>Jennifer_VanHandel@glic.com</t>
  </si>
  <si>
    <t>Jessica_Knutson@glic.com</t>
  </si>
  <si>
    <t>Jessica_Kraemer@glic.com</t>
  </si>
  <si>
    <t>Joann_Socha@glic.com</t>
  </si>
  <si>
    <t>josey_wendler@glic.com</t>
  </si>
  <si>
    <t>karen_hietpas@glic.com</t>
  </si>
  <si>
    <t>Karrie_Torbeck@glic.com</t>
  </si>
  <si>
    <t>kathy_wilson@glic.com</t>
  </si>
  <si>
    <t>katie_romo@glic.com</t>
  </si>
  <si>
    <t>katrina_thomas@glic.com</t>
  </si>
  <si>
    <t>kayla_alexander@glic.com</t>
  </si>
  <si>
    <t>Kayla_Murtaugh@glic.com</t>
  </si>
  <si>
    <t>Kerry_Wildrick@glic.com</t>
  </si>
  <si>
    <t>kristin_wilcox@glic.com</t>
  </si>
  <si>
    <t>Kristy_Yaeger@glic.com</t>
  </si>
  <si>
    <t>lamika_mcnichols@glic.com</t>
  </si>
  <si>
    <t>laterrica_harris@glic.com</t>
  </si>
  <si>
    <t>latoya_moore@glic.com</t>
  </si>
  <si>
    <t>laverne_carter@glic.com</t>
  </si>
  <si>
    <t>leigh_schneider@glic.com</t>
  </si>
  <si>
    <t>Lina_Alvarez@glic.com</t>
  </si>
  <si>
    <t>Lisa_Manescu@glic.com</t>
  </si>
  <si>
    <t>Lisa_Streck@glic.com</t>
  </si>
  <si>
    <t>Mandy_Otto@glic.com</t>
  </si>
  <si>
    <t>Mary-Jane_Lower@glic.com</t>
  </si>
  <si>
    <t>megan_schalund@glic.com</t>
  </si>
  <si>
    <t>melanie_quinn@glic.com</t>
  </si>
  <si>
    <t>melissa_peracchia@glic.com</t>
  </si>
  <si>
    <t>Milagros_Jordan@glic.com</t>
  </si>
  <si>
    <t>mitchell_roepcke@glic.com</t>
  </si>
  <si>
    <t>Molly_Bruch@glic.com</t>
  </si>
  <si>
    <t>natalie_indelicato@glic.com</t>
  </si>
  <si>
    <t>Natasha_Yancey@glic.com</t>
  </si>
  <si>
    <t>Nikki_Schultz@glic.com</t>
  </si>
  <si>
    <t>patricia_rollberg@glic.com</t>
  </si>
  <si>
    <t>Patricia_Young@glic.com</t>
  </si>
  <si>
    <t>quinnetta_crayton@glic.com</t>
  </si>
  <si>
    <t>rachael_evers@glic.com</t>
  </si>
  <si>
    <t>rachel_gustave@glic.com</t>
  </si>
  <si>
    <t>rachel_a_showman@glic.com</t>
  </si>
  <si>
    <t>Raven_Hill@glic.com</t>
  </si>
  <si>
    <t>RCook@glic.com</t>
  </si>
  <si>
    <t>Sandy_Vandermoss@glic.com</t>
  </si>
  <si>
    <t>Sara_Leitermann@glic.com</t>
  </si>
  <si>
    <t>scott_patten@glic.com</t>
  </si>
  <si>
    <t>seindhy_piquion@glic.com</t>
  </si>
  <si>
    <t>selena_rippy@glic.com</t>
  </si>
  <si>
    <t>shannon_bartlett@glic.com</t>
  </si>
  <si>
    <t>Shannon_Farrell@glic.com</t>
  </si>
  <si>
    <t>Shannon_Higgins@glic.com</t>
  </si>
  <si>
    <t>Shelley_Zeegers@glic.com</t>
  </si>
  <si>
    <t>Sherie_Kugler@glic.com</t>
  </si>
  <si>
    <t>Stacy_Boyd@glic.com</t>
  </si>
  <si>
    <t>Stephanie_werley@glic.com</t>
  </si>
  <si>
    <t>Stephen_Kraynick@glic.com</t>
  </si>
  <si>
    <t>steve_petrinovich@glic.com</t>
  </si>
  <si>
    <t>Sue_Reppert@glic.com</t>
  </si>
  <si>
    <t>Susan_Morrow@glic.com</t>
  </si>
  <si>
    <t>tammy_billheimer@glic.com</t>
  </si>
  <si>
    <t>Tammy_Borelli@glic.com</t>
  </si>
  <si>
    <t>taylor_x_johnson@glic.com</t>
  </si>
  <si>
    <t>tempestt_dubose@glic.com</t>
  </si>
  <si>
    <t>teri_klarner@glic.com</t>
  </si>
  <si>
    <t>teri_wussow@glic.com</t>
  </si>
  <si>
    <t>victoria_rivera@glic.com</t>
  </si>
  <si>
    <t>Wendy_Schoenberger@glic.com</t>
  </si>
  <si>
    <t>whitnee_steger@glic.com</t>
  </si>
  <si>
    <t>zach_kickbusch@glic.com</t>
  </si>
  <si>
    <t>Skill Expression</t>
  </si>
  <si>
    <t>Skills Expression Groups_values only.xlsx</t>
  </si>
  <si>
    <t>see spreadsheet for details</t>
  </si>
  <si>
    <t>About External Contacts - Genesys Cloud Resource Center (mypurecloud.com)</t>
  </si>
  <si>
    <t>Contact ID</t>
  </si>
  <si>
    <t>Contact First Name</t>
  </si>
  <si>
    <t>Contact Last Name</t>
  </si>
  <si>
    <t>Phone Number</t>
  </si>
  <si>
    <t>CRP_Operators</t>
  </si>
  <si>
    <t>IVR</t>
  </si>
  <si>
    <t>+12125988000</t>
  </si>
  <si>
    <t>MDRT / Joe Cox</t>
  </si>
  <si>
    <t>External</t>
  </si>
  <si>
    <t>+12125988016</t>
  </si>
  <si>
    <t>S2P Help Desk</t>
  </si>
  <si>
    <t>+12125988327</t>
  </si>
  <si>
    <t>Proxy Voting - Rose Romano</t>
  </si>
  <si>
    <t>+12125988386</t>
  </si>
  <si>
    <t>Mail Room - Hudson Yards</t>
  </si>
  <si>
    <t>+12129192148</t>
  </si>
  <si>
    <t>Reg. 60 / Jevon Aarons - Fax 212-919-4016</t>
  </si>
  <si>
    <t>+12129192150</t>
  </si>
  <si>
    <t>Annuity Sales Desk / Business Development</t>
  </si>
  <si>
    <t>+12129192386</t>
  </si>
  <si>
    <t>Cafe - Hudson Yards</t>
  </si>
  <si>
    <t>+12129192699</t>
  </si>
  <si>
    <t>Security - Hudson Yards</t>
  </si>
  <si>
    <t>+12129192986</t>
  </si>
  <si>
    <t>Subrogation &amp; Bankruptcy / Arleta Strus</t>
  </si>
  <si>
    <t>+12129193036</t>
  </si>
  <si>
    <t>Lost and Found - Hudson Yards</t>
  </si>
  <si>
    <t>+12129194558</t>
  </si>
  <si>
    <t>Security - Holmdel</t>
  </si>
  <si>
    <t>+12129195021</t>
  </si>
  <si>
    <t>Jennifer Powell &gt; Admin for John Furlong</t>
  </si>
  <si>
    <t>+12129195306</t>
  </si>
  <si>
    <t>Tobias Lee</t>
  </si>
  <si>
    <t>+12129195355</t>
  </si>
  <si>
    <t>Guardian888V2</t>
  </si>
  <si>
    <t>+12129195645</t>
  </si>
  <si>
    <t>CRP_Sitman</t>
  </si>
  <si>
    <t>+12129197000</t>
  </si>
  <si>
    <t>Facilities Holmdel - Christopher Wood</t>
  </si>
  <si>
    <t>+12129197081</t>
  </si>
  <si>
    <t>Political Action Committee - Lisa Strikowsky</t>
  </si>
  <si>
    <t>+12129197615</t>
  </si>
  <si>
    <t>Tech Bar Hudson Yards</t>
  </si>
  <si>
    <t>+12129198324</t>
  </si>
  <si>
    <t>Facilities Helpdesk - OPERATOR USE ONLY</t>
  </si>
  <si>
    <t>+12129198403</t>
  </si>
  <si>
    <t>Dennis Tsagaratos</t>
  </si>
  <si>
    <t>+12129198417</t>
  </si>
  <si>
    <t>College Tuition Plan - 529</t>
  </si>
  <si>
    <t>+12158390119</t>
  </si>
  <si>
    <t>Berkshire Office</t>
  </si>
  <si>
    <t>+14133954100</t>
  </si>
  <si>
    <t>14133954100B</t>
  </si>
  <si>
    <t>Security - Pittsfield / Berkshire</t>
  </si>
  <si>
    <t>Cafe - Pittsfield</t>
  </si>
  <si>
    <t>+14133954305</t>
  </si>
  <si>
    <t>Mail Room - Berkshire/ Pittsfield - Kathleen Loria</t>
  </si>
  <si>
    <t>+14133954644</t>
  </si>
  <si>
    <t>Subpoenas / Subrogation - Amanda Carpenter - send subpoenas Certified to HO Attn Law Dept</t>
  </si>
  <si>
    <t>+14133954791</t>
  </si>
  <si>
    <t>Jim Magner / BRC</t>
  </si>
  <si>
    <t>+15083088396</t>
  </si>
  <si>
    <t>CRP_WROMainMenu</t>
  </si>
  <si>
    <t>+15094686000</t>
  </si>
  <si>
    <t>Cafe - Spokane</t>
  </si>
  <si>
    <t>+15094686724</t>
  </si>
  <si>
    <t>IPS_DTC</t>
  </si>
  <si>
    <t>+15551001524</t>
  </si>
  <si>
    <t>IM_PDA</t>
  </si>
  <si>
    <t>+15552220094</t>
  </si>
  <si>
    <t>GRP_STD</t>
  </si>
  <si>
    <t>+15555554008</t>
  </si>
  <si>
    <t>IPS_IEX</t>
  </si>
  <si>
    <t>+15555554096</t>
  </si>
  <si>
    <t>CRP_HR</t>
  </si>
  <si>
    <t>+15555559005</t>
  </si>
  <si>
    <t>GRP_TPAMenu</t>
  </si>
  <si>
    <t>+15555559033</t>
  </si>
  <si>
    <t>IM_CSC_Xfer</t>
  </si>
  <si>
    <t>+15555559034</t>
  </si>
  <si>
    <t>Disability</t>
  </si>
  <si>
    <t>Queue</t>
  </si>
  <si>
    <t>+16101990002</t>
  </si>
  <si>
    <t>Broker Helpline</t>
  </si>
  <si>
    <t>+16101990003</t>
  </si>
  <si>
    <t>Broker Planholder Exchange</t>
  </si>
  <si>
    <t>+16101990004</t>
  </si>
  <si>
    <t>Premier Broker</t>
  </si>
  <si>
    <t>+16101990005</t>
  </si>
  <si>
    <t>Broker Xfer</t>
  </si>
  <si>
    <t>+16101990006</t>
  </si>
  <si>
    <t>Broker Researcher</t>
  </si>
  <si>
    <t>+16101990007</t>
  </si>
  <si>
    <t>MDC Member Claims</t>
  </si>
  <si>
    <t>+16101990008</t>
  </si>
  <si>
    <t>Channel Partner</t>
  </si>
  <si>
    <t>+16101990009</t>
  </si>
  <si>
    <t>Critical Illness</t>
  </si>
  <si>
    <t>+16101990010</t>
  </si>
  <si>
    <t>DNA Member</t>
  </si>
  <si>
    <t>+16101990011</t>
  </si>
  <si>
    <t>DI Researcher</t>
  </si>
  <si>
    <t>+16101990012</t>
  </si>
  <si>
    <t>EBH XFER Tier1</t>
  </si>
  <si>
    <t>+16101990013</t>
  </si>
  <si>
    <t>FMLA Source</t>
  </si>
  <si>
    <t>+16101990014</t>
  </si>
  <si>
    <t>FSA General</t>
  </si>
  <si>
    <t>+16101990015</t>
  </si>
  <si>
    <t>LTD</t>
  </si>
  <si>
    <t>+16101990017</t>
  </si>
  <si>
    <t>Accident</t>
  </si>
  <si>
    <t>+16101990018</t>
  </si>
  <si>
    <t>FCW DHMO Member Claims</t>
  </si>
  <si>
    <t>+16101990019</t>
  </si>
  <si>
    <t>MDG Member Claims</t>
  </si>
  <si>
    <t>+16101990022</t>
  </si>
  <si>
    <t>Dental Member</t>
  </si>
  <si>
    <t>+16101990023</t>
  </si>
  <si>
    <t>EBH XFER Tier2</t>
  </si>
  <si>
    <t>+16101990026</t>
  </si>
  <si>
    <t>Premier Planholder</t>
  </si>
  <si>
    <t>+16101990030</t>
  </si>
  <si>
    <t>Sales Escalation</t>
  </si>
  <si>
    <t>+16101990031</t>
  </si>
  <si>
    <t>STD</t>
  </si>
  <si>
    <t>+16101990032</t>
  </si>
  <si>
    <t>Dental Provider Benefits</t>
  </si>
  <si>
    <t>+16101990034</t>
  </si>
  <si>
    <t>Dental Provider Claims</t>
  </si>
  <si>
    <t>+16101990035</t>
  </si>
  <si>
    <t>Dental Member Spanish</t>
  </si>
  <si>
    <t>+16101990036</t>
  </si>
  <si>
    <t>Vision</t>
  </si>
  <si>
    <t>+16101990037</t>
  </si>
  <si>
    <t>Admin IVR</t>
  </si>
  <si>
    <t>+16101990041</t>
  </si>
  <si>
    <t>DGP Select</t>
  </si>
  <si>
    <t>+16101990051</t>
  </si>
  <si>
    <t>FMLA</t>
  </si>
  <si>
    <t>+16101990053</t>
  </si>
  <si>
    <t>US Retail IPS Helpline Transfers</t>
  </si>
  <si>
    <t>+16101990054</t>
  </si>
  <si>
    <t>IPS Credit Card Transfers</t>
  </si>
  <si>
    <t>+16101990055</t>
  </si>
  <si>
    <t>R1 New Business</t>
  </si>
  <si>
    <t>+16101990104</t>
  </si>
  <si>
    <t>R2 New Business</t>
  </si>
  <si>
    <t>+16101990105</t>
  </si>
  <si>
    <t>R3 New Business</t>
  </si>
  <si>
    <t>+16101990108</t>
  </si>
  <si>
    <t>R4 New Business</t>
  </si>
  <si>
    <t>+16101990109</t>
  </si>
  <si>
    <t>Field Asset Movement Xfer</t>
  </si>
  <si>
    <t>+16101990125</t>
  </si>
  <si>
    <t>IPS Sykes Helpline Transfers</t>
  </si>
  <si>
    <t>+16101990126</t>
  </si>
  <si>
    <t>Group Life ADD</t>
  </si>
  <si>
    <t>+16101990127</t>
  </si>
  <si>
    <t>ILLifeSupport Xfer Menu</t>
  </si>
  <si>
    <t>+16101990128</t>
  </si>
  <si>
    <t>Liazon</t>
  </si>
  <si>
    <t>+16101990129</t>
  </si>
  <si>
    <t>IPS EXL Helpline Transfers</t>
  </si>
  <si>
    <t>+16101990130</t>
  </si>
  <si>
    <t>DHMO Spanish</t>
  </si>
  <si>
    <t>+16101990133</t>
  </si>
  <si>
    <t>Broker Planholder</t>
  </si>
  <si>
    <t>+16101990134</t>
  </si>
  <si>
    <t>R1 Life New Business</t>
  </si>
  <si>
    <t>+16101990137</t>
  </si>
  <si>
    <t>Annuity VRU_Authenticated</t>
  </si>
  <si>
    <t>+16101990150</t>
  </si>
  <si>
    <t>RS Commission Individual</t>
  </si>
  <si>
    <t>+16101990152</t>
  </si>
  <si>
    <t>RS Group Part Not Auth English</t>
  </si>
  <si>
    <t>+16101990155</t>
  </si>
  <si>
    <t>AccountServices</t>
  </si>
  <si>
    <t>+16101990175</t>
  </si>
  <si>
    <t>+16101990176</t>
  </si>
  <si>
    <t>PolicyHolder</t>
  </si>
  <si>
    <t>+16101990177</t>
  </si>
  <si>
    <t>PAVL Xfer</t>
  </si>
  <si>
    <t>+16101990180</t>
  </si>
  <si>
    <t>VIP Trading Xfer</t>
  </si>
  <si>
    <t>+16101990181</t>
  </si>
  <si>
    <t>VIP Adv Opening Xfer</t>
  </si>
  <si>
    <t>+16101990182</t>
  </si>
  <si>
    <t>VIP Adv Servicing Xfer</t>
  </si>
  <si>
    <t>+16101990183</t>
  </si>
  <si>
    <t>VIP New Account Xfer</t>
  </si>
  <si>
    <t>+16101990184</t>
  </si>
  <si>
    <t>VIP Asset Movement Xfer</t>
  </si>
  <si>
    <t>+16101990185</t>
  </si>
  <si>
    <t>VIP Annuity Xfer</t>
  </si>
  <si>
    <t>+16101990186</t>
  </si>
  <si>
    <t>VIP NetX and NXI Xfer</t>
  </si>
  <si>
    <t>+16101990187</t>
  </si>
  <si>
    <t>VIP Commissions Xfer</t>
  </si>
  <si>
    <t>+16101990188</t>
  </si>
  <si>
    <t>ILLifeClaims Xfer Menu</t>
  </si>
  <si>
    <t>+16101990189</t>
  </si>
  <si>
    <t>Field Adv Opening Xfer</t>
  </si>
  <si>
    <t>+16101990190</t>
  </si>
  <si>
    <t>Field Adv Servicing</t>
  </si>
  <si>
    <t>+16101990191</t>
  </si>
  <si>
    <t>Field New Account</t>
  </si>
  <si>
    <t>+16101990192</t>
  </si>
  <si>
    <t>Field Annuity Xfer</t>
  </si>
  <si>
    <t>+16101990193</t>
  </si>
  <si>
    <t>Field NetX and NXI Xfer</t>
  </si>
  <si>
    <t>+16101990194</t>
  </si>
  <si>
    <t>Field Commissions Xfer</t>
  </si>
  <si>
    <t>+16101990195</t>
  </si>
  <si>
    <t>Technical</t>
  </si>
  <si>
    <t>+16101990196</t>
  </si>
  <si>
    <t>R2 eApp</t>
  </si>
  <si>
    <t>+16101990197</t>
  </si>
  <si>
    <t>IEX VOB English Xfer</t>
  </si>
  <si>
    <t>+16101990198</t>
  </si>
  <si>
    <t>DTC VOB English Xfer</t>
  </si>
  <si>
    <t>+16101990199</t>
  </si>
  <si>
    <t>Broker DI Great Lakes</t>
  </si>
  <si>
    <t>+16101990201</t>
  </si>
  <si>
    <t>Broker DI Greater Chicago</t>
  </si>
  <si>
    <t>+16101990202</t>
  </si>
  <si>
    <t>Broker DI Greater New York</t>
  </si>
  <si>
    <t>+16101990203</t>
  </si>
  <si>
    <t>Broker DI New England</t>
  </si>
  <si>
    <t>+16101990204</t>
  </si>
  <si>
    <t>Broker Life Great Lakes</t>
  </si>
  <si>
    <t>+16101990206</t>
  </si>
  <si>
    <t>Broker Life Greater Chicago</t>
  </si>
  <si>
    <t>+16101990207</t>
  </si>
  <si>
    <t>Broker Life Greater New York</t>
  </si>
  <si>
    <t>+16101990208</t>
  </si>
  <si>
    <t>Broker Life New England</t>
  </si>
  <si>
    <t>+16101990209</t>
  </si>
  <si>
    <t>Broker Plan Admin</t>
  </si>
  <si>
    <t>+16101990210</t>
  </si>
  <si>
    <t>Broker Plan Admin Great Lakes</t>
  </si>
  <si>
    <t>+16101990211</t>
  </si>
  <si>
    <t>Broker Plan Admin Greater Chicago</t>
  </si>
  <si>
    <t>+16101990212</t>
  </si>
  <si>
    <t>Broker Plan Admin Greater New York</t>
  </si>
  <si>
    <t>+16101990213</t>
  </si>
  <si>
    <t>Broker Plan Admin New England</t>
  </si>
  <si>
    <t>+16101990214</t>
  </si>
  <si>
    <t>Broker Relations Great Lakes</t>
  </si>
  <si>
    <t>+16101990216</t>
  </si>
  <si>
    <t>Broker Relations Greater Chicago</t>
  </si>
  <si>
    <t>+16101990217</t>
  </si>
  <si>
    <t>Broker Relations Greater New York</t>
  </si>
  <si>
    <t>+16101990218</t>
  </si>
  <si>
    <t>Broker Relations New England</t>
  </si>
  <si>
    <t>+16101990219</t>
  </si>
  <si>
    <t>Broker SupHlth Great Lakes</t>
  </si>
  <si>
    <t>+16101990221</t>
  </si>
  <si>
    <t>Broker SupHlth Greater Chicago</t>
  </si>
  <si>
    <t>+16101990222</t>
  </si>
  <si>
    <t>Broker SupHlth Greater New York</t>
  </si>
  <si>
    <t>+16101990223</t>
  </si>
  <si>
    <t>Broker SupHlth New England</t>
  </si>
  <si>
    <t>+16101990224</t>
  </si>
  <si>
    <t>Broker Vision Great Lakes</t>
  </si>
  <si>
    <t>+16101990226</t>
  </si>
  <si>
    <t>Broker Vision Greater Chicago</t>
  </si>
  <si>
    <t>+16101990227</t>
  </si>
  <si>
    <t>Broker Vision Greater New York</t>
  </si>
  <si>
    <t>+16101990228</t>
  </si>
  <si>
    <t>Broker Vision New England</t>
  </si>
  <si>
    <t>+16101990229</t>
  </si>
  <si>
    <t>Broker VM Opt Pacific SW</t>
  </si>
  <si>
    <t>+16101990230</t>
  </si>
  <si>
    <t>Broker VM Opt Texas</t>
  </si>
  <si>
    <t>+16101990231</t>
  </si>
  <si>
    <t>Broker VM Opt No Cal</t>
  </si>
  <si>
    <t>+16101990232</t>
  </si>
  <si>
    <t>Broker VM Opt Heartland</t>
  </si>
  <si>
    <t>+16101990233</t>
  </si>
  <si>
    <t>Broker DI Heartland</t>
  </si>
  <si>
    <t>+16101990242</t>
  </si>
  <si>
    <t>Broker DI No Cal</t>
  </si>
  <si>
    <t>+16101990243</t>
  </si>
  <si>
    <t>Broker DI Pacific SW</t>
  </si>
  <si>
    <t>+16101990244</t>
  </si>
  <si>
    <t>Broker DI Texas</t>
  </si>
  <si>
    <t>+16101990245</t>
  </si>
  <si>
    <t>Broker Life Heartland</t>
  </si>
  <si>
    <t>+16101990246</t>
  </si>
  <si>
    <t>Broker Life No Cal</t>
  </si>
  <si>
    <t>+16101990247</t>
  </si>
  <si>
    <t>Broker Life Pacific SW</t>
  </si>
  <si>
    <t>+16101990248</t>
  </si>
  <si>
    <t>Broker Life Texas</t>
  </si>
  <si>
    <t>+16101990249</t>
  </si>
  <si>
    <t>Broker Plan Admin Heartland</t>
  </si>
  <si>
    <t>+16101990250</t>
  </si>
  <si>
    <t>Broker Plan Admin No Cal</t>
  </si>
  <si>
    <t>+16101990251</t>
  </si>
  <si>
    <t>Broker Plan Admin Pacific SW</t>
  </si>
  <si>
    <t>+16101990252</t>
  </si>
  <si>
    <t>Broker Plan Admin Texas</t>
  </si>
  <si>
    <t>+16101990253</t>
  </si>
  <si>
    <t>Broker Relations Heartland</t>
  </si>
  <si>
    <t>+16101990254</t>
  </si>
  <si>
    <t>Broker Relations No Cal</t>
  </si>
  <si>
    <t>+16101990255</t>
  </si>
  <si>
    <t>Broker Relations Pacific SW</t>
  </si>
  <si>
    <t>+16101990256</t>
  </si>
  <si>
    <t>Broker Relations Texas</t>
  </si>
  <si>
    <t>+16101990257</t>
  </si>
  <si>
    <t>Broker SupHlth Heartland</t>
  </si>
  <si>
    <t>+16101990258</t>
  </si>
  <si>
    <t>Broker SupHlth No Cal</t>
  </si>
  <si>
    <t>+16101990259</t>
  </si>
  <si>
    <t>Broker SupHlth Pacific SW</t>
  </si>
  <si>
    <t>+16101990260</t>
  </si>
  <si>
    <t>Broker SupHlth Texas</t>
  </si>
  <si>
    <t>+16101990261</t>
  </si>
  <si>
    <t>Broker Vision Heartland</t>
  </si>
  <si>
    <t>+16101990262</t>
  </si>
  <si>
    <t>Broker Vision No Cal</t>
  </si>
  <si>
    <t>+16101990263</t>
  </si>
  <si>
    <t>Broker Vision Pacific SW</t>
  </si>
  <si>
    <t>+16101990264</t>
  </si>
  <si>
    <t>Broker Vision Texas</t>
  </si>
  <si>
    <t>+16101990265</t>
  </si>
  <si>
    <t>Broker VM Opt Greater Atlanta</t>
  </si>
  <si>
    <t>+16101990266</t>
  </si>
  <si>
    <t>Broker VM Opt DC Carolinas</t>
  </si>
  <si>
    <t>+16101990267</t>
  </si>
  <si>
    <t>Broker VM Opt Pennsylvania</t>
  </si>
  <si>
    <t>+16101990268</t>
  </si>
  <si>
    <t>Broker VM Opt Florida</t>
  </si>
  <si>
    <t>+16101990269</t>
  </si>
  <si>
    <t>Broker DI DC Carolinas</t>
  </si>
  <si>
    <t>+16101990278</t>
  </si>
  <si>
    <t>Broker DI Florida</t>
  </si>
  <si>
    <t>+16101990279</t>
  </si>
  <si>
    <t>Broker DI Greater Atlanta</t>
  </si>
  <si>
    <t>+16101990280</t>
  </si>
  <si>
    <t>Broker DI Pennsylvania</t>
  </si>
  <si>
    <t>+16101990281</t>
  </si>
  <si>
    <t>Broker Life DC Carolinas</t>
  </si>
  <si>
    <t>+16101990282</t>
  </si>
  <si>
    <t>Broker Life Florida</t>
  </si>
  <si>
    <t>+16101990283</t>
  </si>
  <si>
    <t>Broker Life Greater Atlanta</t>
  </si>
  <si>
    <t>+16101990284</t>
  </si>
  <si>
    <t>Broker Life Pennsylvania</t>
  </si>
  <si>
    <t>+16101990285</t>
  </si>
  <si>
    <t>Broker Plan Admin DC Carolinas</t>
  </si>
  <si>
    <t>+16101990286</t>
  </si>
  <si>
    <t>Broker Plan Admin Florida</t>
  </si>
  <si>
    <t>+16101990287</t>
  </si>
  <si>
    <t>Broker Plan Admin Greater Atlanta</t>
  </si>
  <si>
    <t>+16101990288</t>
  </si>
  <si>
    <t>Broker Plan Admin Pennsylvania</t>
  </si>
  <si>
    <t>+16101990289</t>
  </si>
  <si>
    <t>Broker Relations DC Carolinas</t>
  </si>
  <si>
    <t>+16101990290</t>
  </si>
  <si>
    <t>Broker Relations Florida</t>
  </si>
  <si>
    <t>+16101990291</t>
  </si>
  <si>
    <t>Broker Relations Greater Atlanta</t>
  </si>
  <si>
    <t>+16101990292</t>
  </si>
  <si>
    <t>Broker Relations Pennsylvania</t>
  </si>
  <si>
    <t>+16101990293</t>
  </si>
  <si>
    <t>Broker SupHlth DC Carolinas</t>
  </si>
  <si>
    <t>+16101990294</t>
  </si>
  <si>
    <t>Broker SupHlth Florida</t>
  </si>
  <si>
    <t>+16101990295</t>
  </si>
  <si>
    <t>Broker SupHlth Greater Atlanta</t>
  </si>
  <si>
    <t>+16101990296</t>
  </si>
  <si>
    <t>Broker SupHlth Pennsylvania</t>
  </si>
  <si>
    <t>+16101990297</t>
  </si>
  <si>
    <t>Broker Vision DC Carolinas</t>
  </si>
  <si>
    <t>+16101990298</t>
  </si>
  <si>
    <t>Broker Vision Florida</t>
  </si>
  <si>
    <t>+16101990299</t>
  </si>
  <si>
    <t>Broker Vision Greater Atlanta</t>
  </si>
  <si>
    <t>+16101990400</t>
  </si>
  <si>
    <t>Broker Vision Pennsylvania</t>
  </si>
  <si>
    <t>+16101990401</t>
  </si>
  <si>
    <t>AASM agallio</t>
  </si>
  <si>
    <t>+16101990402</t>
  </si>
  <si>
    <t>AASM crbejxw</t>
  </si>
  <si>
    <t>+16101990404</t>
  </si>
  <si>
    <t>AASM bcollie</t>
  </si>
  <si>
    <t>+16101990405</t>
  </si>
  <si>
    <t>AASM cbeahn1</t>
  </si>
  <si>
    <t>+16101990406</t>
  </si>
  <si>
    <t>AASM cbuckli</t>
  </si>
  <si>
    <t>+16101990407</t>
  </si>
  <si>
    <t>AASM cfergu1</t>
  </si>
  <si>
    <t>+16101990408</t>
  </si>
  <si>
    <t>AASM cguehrn</t>
  </si>
  <si>
    <t>+16101990409</t>
  </si>
  <si>
    <t>AASM cmateer</t>
  </si>
  <si>
    <t>+16101990410</t>
  </si>
  <si>
    <t>AASM crbes1w</t>
  </si>
  <si>
    <t>+16101990412</t>
  </si>
  <si>
    <t>AASM crbsbxc</t>
  </si>
  <si>
    <t>+16101990413</t>
  </si>
  <si>
    <t>AASM crbsbxm</t>
  </si>
  <si>
    <t>+16101990414</t>
  </si>
  <si>
    <t>AASM crbslxm</t>
  </si>
  <si>
    <t>+16101990415</t>
  </si>
  <si>
    <t>AASM crbsm2r</t>
  </si>
  <si>
    <t>+16101990416</t>
  </si>
  <si>
    <t>AASM crbsmxq</t>
  </si>
  <si>
    <t>+16101990417</t>
  </si>
  <si>
    <t>AASM crbsr2s</t>
  </si>
  <si>
    <t>+16101990418</t>
  </si>
  <si>
    <t>AASM crbssxp</t>
  </si>
  <si>
    <t>+16101990419</t>
  </si>
  <si>
    <t>AASM crbst1b</t>
  </si>
  <si>
    <t>+16101990420</t>
  </si>
  <si>
    <t>AASM crbst1w</t>
  </si>
  <si>
    <t>+16101990421</t>
  </si>
  <si>
    <t>AASM wdgccxe</t>
  </si>
  <si>
    <t>+16101990422</t>
  </si>
  <si>
    <t>AASM crbszxk</t>
  </si>
  <si>
    <t>+16101990423</t>
  </si>
  <si>
    <t>AASM crbubjf</t>
  </si>
  <si>
    <t>+16101990424</t>
  </si>
  <si>
    <t>AASM dbartyn</t>
  </si>
  <si>
    <t>+16101990425</t>
  </si>
  <si>
    <t>AASM dbriema</t>
  </si>
  <si>
    <t>+16101990426</t>
  </si>
  <si>
    <t>AASM eciekxc</t>
  </si>
  <si>
    <t>+16101990427</t>
  </si>
  <si>
    <t>AASM epierce</t>
  </si>
  <si>
    <t>+16101990428</t>
  </si>
  <si>
    <t>AASM ibauer1</t>
  </si>
  <si>
    <t>+16101990429</t>
  </si>
  <si>
    <t>AASM kromo01</t>
  </si>
  <si>
    <t>+16101990430</t>
  </si>
  <si>
    <t>AASM kthoma3</t>
  </si>
  <si>
    <t>+16101990431</t>
  </si>
  <si>
    <t>AASM kwildri</t>
  </si>
  <si>
    <t>+16101990432</t>
  </si>
  <si>
    <t>AASM lcarter</t>
  </si>
  <si>
    <t>+16101990433</t>
  </si>
  <si>
    <t>AASM lhicker</t>
  </si>
  <si>
    <t>+16101990434</t>
  </si>
  <si>
    <t>AASM ljohns3</t>
  </si>
  <si>
    <t>+16101990435</t>
  </si>
  <si>
    <t>AASM lmanesc</t>
  </si>
  <si>
    <t>+16101990436</t>
  </si>
  <si>
    <t>AASM mclsblw</t>
  </si>
  <si>
    <t>+16101990437</t>
  </si>
  <si>
    <t>AASM mcrubxl</t>
  </si>
  <si>
    <t>+16101990438</t>
  </si>
  <si>
    <t>AASM mcrucxe</t>
  </si>
  <si>
    <t>+16101990439</t>
  </si>
  <si>
    <t>AASM mcrukah</t>
  </si>
  <si>
    <t>+16101990440</t>
  </si>
  <si>
    <t>AASM mcrul1s</t>
  </si>
  <si>
    <t>+16101990441</t>
  </si>
  <si>
    <t>AASM mgcbarf</t>
  </si>
  <si>
    <t>+16101990442</t>
  </si>
  <si>
    <t>AASM mgcbjbf</t>
  </si>
  <si>
    <t>+16101990443</t>
  </si>
  <si>
    <t>AASM mgccalm</t>
  </si>
  <si>
    <t>+16101990444</t>
  </si>
  <si>
    <t>AASM mgcccls</t>
  </si>
  <si>
    <t>+16101990445</t>
  </si>
  <si>
    <t>AASM mgccmxs</t>
  </si>
  <si>
    <t>+16101990446</t>
  </si>
  <si>
    <t>AASM mgccsjt</t>
  </si>
  <si>
    <t>+16101990447</t>
  </si>
  <si>
    <t>AASM mgemcrw</t>
  </si>
  <si>
    <t>+16101990448</t>
  </si>
  <si>
    <t>AASM mgenah6</t>
  </si>
  <si>
    <t>+16101990449</t>
  </si>
  <si>
    <t>AASM mperacc</t>
  </si>
  <si>
    <t>+16101990450</t>
  </si>
  <si>
    <t>AASM mtgucaf</t>
  </si>
  <si>
    <t>+16101990451</t>
  </si>
  <si>
    <t>AASM mufsexz</t>
  </si>
  <si>
    <t>+16101990452</t>
  </si>
  <si>
    <t>AASM mufsjlr</t>
  </si>
  <si>
    <t>+16101990453</t>
  </si>
  <si>
    <t>AASM ncrdc1g</t>
  </si>
  <si>
    <t>+16101990454</t>
  </si>
  <si>
    <t>AASM ncrdpxr</t>
  </si>
  <si>
    <t>+16101990455</t>
  </si>
  <si>
    <t>AASM ne527</t>
  </si>
  <si>
    <t>+16101990456</t>
  </si>
  <si>
    <t>AASM ngcssxk</t>
  </si>
  <si>
    <t>+16101990457</t>
  </si>
  <si>
    <t>AASM ngpbpsy</t>
  </si>
  <si>
    <t>+16101990458</t>
  </si>
  <si>
    <t>AASM nmarino</t>
  </si>
  <si>
    <t>+16101990459</t>
  </si>
  <si>
    <t>AASM nyancey</t>
  </si>
  <si>
    <t>+16101990460</t>
  </si>
  <si>
    <t>AASM premcxs</t>
  </si>
  <si>
    <t>+16101990461</t>
  </si>
  <si>
    <t>AASM tdubose</t>
  </si>
  <si>
    <t>+16101990462</t>
  </si>
  <si>
    <t>AASM qcrayto</t>
  </si>
  <si>
    <t>+16101990463</t>
  </si>
  <si>
    <t>AASM crbejxl</t>
  </si>
  <si>
    <t>+16101990464</t>
  </si>
  <si>
    <t>AASM rparish</t>
  </si>
  <si>
    <t>+16101990465</t>
  </si>
  <si>
    <t>AASM smorro2</t>
  </si>
  <si>
    <t>+16101990466</t>
  </si>
  <si>
    <t>AASM sp548</t>
  </si>
  <si>
    <t>+16101990467</t>
  </si>
  <si>
    <t>AASM tklarne</t>
  </si>
  <si>
    <t>+16101990468</t>
  </si>
  <si>
    <t>AASM vriehle</t>
  </si>
  <si>
    <t>+16101990469</t>
  </si>
  <si>
    <t>AASM w720</t>
  </si>
  <si>
    <t>+16101990470</t>
  </si>
  <si>
    <t>AASM w721</t>
  </si>
  <si>
    <t>+16101990471</t>
  </si>
  <si>
    <t>AASM w724</t>
  </si>
  <si>
    <t>+16101990472</t>
  </si>
  <si>
    <t>STD SPANISH</t>
  </si>
  <si>
    <t>+16101990473</t>
  </si>
  <si>
    <t>FMLA SPANISH</t>
  </si>
  <si>
    <t>+16101990474</t>
  </si>
  <si>
    <t>AASM amatcza</t>
  </si>
  <si>
    <t>+16101990476</t>
  </si>
  <si>
    <t>AASM w808</t>
  </si>
  <si>
    <t>+16101990477</t>
  </si>
  <si>
    <t>Annuity Fund Transfer</t>
  </si>
  <si>
    <t>+16101990478</t>
  </si>
  <si>
    <t>AASM w822</t>
  </si>
  <si>
    <t>+16101990479</t>
  </si>
  <si>
    <t>AASM w848</t>
  </si>
  <si>
    <t>+16101990480</t>
  </si>
  <si>
    <t>AASM wdgcc1p</t>
  </si>
  <si>
    <t>+16101990481</t>
  </si>
  <si>
    <t>AASM wdgccxt</t>
  </si>
  <si>
    <t>+16101990482</t>
  </si>
  <si>
    <t>AASM wdgcfvh</t>
  </si>
  <si>
    <t>+16101990483</t>
  </si>
  <si>
    <t>AASM wsteger</t>
  </si>
  <si>
    <t>+16101990484</t>
  </si>
  <si>
    <t>AASM wufssxf</t>
  </si>
  <si>
    <t>+16101990485</t>
  </si>
  <si>
    <t>Broker Training</t>
  </si>
  <si>
    <t>+16101990902</t>
  </si>
  <si>
    <t>EDI</t>
  </si>
  <si>
    <t>+16101990903</t>
  </si>
  <si>
    <t>Representative Xfer</t>
  </si>
  <si>
    <t>+16101990905</t>
  </si>
  <si>
    <t>DTC Direct English</t>
  </si>
  <si>
    <t>+16101990930</t>
  </si>
  <si>
    <t>HW Deduction</t>
  </si>
  <si>
    <t>+16101990931</t>
  </si>
  <si>
    <t>DTC Dental VOB Spanish</t>
  </si>
  <si>
    <t>+16101990949</t>
  </si>
  <si>
    <t>GSA Advisor</t>
  </si>
  <si>
    <t>+16101990953</t>
  </si>
  <si>
    <t>GSA Client</t>
  </si>
  <si>
    <t>+16101990954</t>
  </si>
  <si>
    <t>GSA Trading</t>
  </si>
  <si>
    <t>+16101990955</t>
  </si>
  <si>
    <t>IEX BAS English Xfer</t>
  </si>
  <si>
    <t>+16101990956</t>
  </si>
  <si>
    <t>IEX BAS Spanish Xfer</t>
  </si>
  <si>
    <t>+16101990957</t>
  </si>
  <si>
    <t>New Annuity Claims</t>
  </si>
  <si>
    <t>+16101990958</t>
  </si>
  <si>
    <t>Existing Annuity Claims</t>
  </si>
  <si>
    <t>+16101990959</t>
  </si>
  <si>
    <t>FMLA ITO</t>
  </si>
  <si>
    <t>+16101990977</t>
  </si>
  <si>
    <t>STD NEW CLAIM</t>
  </si>
  <si>
    <t>+16101990978</t>
  </si>
  <si>
    <t>RS Supp Contracts</t>
  </si>
  <si>
    <t>+16101990981</t>
  </si>
  <si>
    <t>Temp Incident</t>
  </si>
  <si>
    <t>+16101990982</t>
  </si>
  <si>
    <t>+16101990984</t>
  </si>
  <si>
    <t>Broker VM Opt Greater Chicago</t>
  </si>
  <si>
    <t>+16101990985</t>
  </si>
  <si>
    <t>Broker VM Opt Greater New York</t>
  </si>
  <si>
    <t>+16101990987</t>
  </si>
  <si>
    <t>Broker VM Opt Great Lakes</t>
  </si>
  <si>
    <t>+16101990988</t>
  </si>
  <si>
    <t>Broker VM Opt New England</t>
  </si>
  <si>
    <t>+16101990991</t>
  </si>
  <si>
    <t>Broker Billing-Enroll</t>
  </si>
  <si>
    <t>+16101990992</t>
  </si>
  <si>
    <t>Guardian Anytime Greater Chicago</t>
  </si>
  <si>
    <t>+16101991001</t>
  </si>
  <si>
    <t>Guardian Anytime Heartland</t>
  </si>
  <si>
    <t>+16101991002</t>
  </si>
  <si>
    <t>Guardian Anytime Florida</t>
  </si>
  <si>
    <t>+16101991003</t>
  </si>
  <si>
    <t>+16101991004</t>
  </si>
  <si>
    <t>LTD SPANISH</t>
  </si>
  <si>
    <t>+16101991005</t>
  </si>
  <si>
    <t>Group Life ADD Spa</t>
  </si>
  <si>
    <t>+16101991006</t>
  </si>
  <si>
    <t>+16101991007</t>
  </si>
  <si>
    <t>PFL High Risk</t>
  </si>
  <si>
    <t>+16101991008</t>
  </si>
  <si>
    <t>AASM hdelare</t>
  </si>
  <si>
    <t>+16101991019</t>
  </si>
  <si>
    <t>Fraud Hotline - Spanish</t>
  </si>
  <si>
    <t>+16105553804</t>
  </si>
  <si>
    <t>Fraud / GSI Hotline - English</t>
  </si>
  <si>
    <t>+16105555456</t>
  </si>
  <si>
    <t>Guardian Medical (before Nov 2012) - Susan Gaspar</t>
  </si>
  <si>
    <t>+16108072014</t>
  </si>
  <si>
    <t>IM Inforce Hunt</t>
  </si>
  <si>
    <t>+16108076018</t>
  </si>
  <si>
    <t>Tech Bar Bethlehem</t>
  </si>
  <si>
    <t>+16108076035</t>
  </si>
  <si>
    <t>Security - Bethlehem</t>
  </si>
  <si>
    <t>+16108076050</t>
  </si>
  <si>
    <t>Mail Room - Bethlehem</t>
  </si>
  <si>
    <t>+16108076076</t>
  </si>
  <si>
    <t>HR - (Toll Free 1-877-870-6947 / Fax # 610-807-6939)</t>
  </si>
  <si>
    <t>+16108076947</t>
  </si>
  <si>
    <t>IM_EQUITY</t>
  </si>
  <si>
    <t>+16108077496</t>
  </si>
  <si>
    <t>IM_RSCommission</t>
  </si>
  <si>
    <t>+16108077497</t>
  </si>
  <si>
    <t>GRP_DNA</t>
  </si>
  <si>
    <t>+16108077719</t>
  </si>
  <si>
    <t>IM_PASHuntVip</t>
  </si>
  <si>
    <t>+16108077789</t>
  </si>
  <si>
    <t>Cafe - Bethlehem</t>
  </si>
  <si>
    <t>+16108077816</t>
  </si>
  <si>
    <t>IM_IL</t>
  </si>
  <si>
    <t>+16108078110</t>
  </si>
  <si>
    <t>Warehouse</t>
  </si>
  <si>
    <t>+16108078415</t>
  </si>
  <si>
    <t>IM_PASService</t>
  </si>
  <si>
    <t>+16108078454</t>
  </si>
  <si>
    <t>IM_ACE</t>
  </si>
  <si>
    <t>+16108078567</t>
  </si>
  <si>
    <t>Agency Assist</t>
  </si>
  <si>
    <t>+16108078817</t>
  </si>
  <si>
    <t>Bethlehem Fitness Center - The Club</t>
  </si>
  <si>
    <t>+16108078944</t>
  </si>
  <si>
    <t>Lisa Davian - check with Rachel Wong's name (Premier)</t>
  </si>
  <si>
    <t>+17324293731</t>
  </si>
  <si>
    <t>Commissions - Indiv. (Group Commissions &amp; Direct Deposit to CRU)</t>
  </si>
  <si>
    <t>+18002623010</t>
  </si>
  <si>
    <t>State Disability / Paid Family Leave / STD</t>
  </si>
  <si>
    <t>+18002682525</t>
  </si>
  <si>
    <t>18002682525B</t>
  </si>
  <si>
    <t>Group - STD Claims</t>
  </si>
  <si>
    <t>GRP_MDC</t>
  </si>
  <si>
    <t>+18002733330</t>
  </si>
  <si>
    <t>Sykes Payment</t>
  </si>
  <si>
    <t>+18002891337</t>
  </si>
  <si>
    <t>Guardian Corporate Help Desk</t>
  </si>
  <si>
    <t>+18002998654</t>
  </si>
  <si>
    <t>ASL</t>
  </si>
  <si>
    <t>+18003164015</t>
  </si>
  <si>
    <t>Reed Group</t>
  </si>
  <si>
    <t>+18003477443</t>
  </si>
  <si>
    <t>IM_ICD</t>
  </si>
  <si>
    <t>+18003507314</t>
  </si>
  <si>
    <t>SGS / Small Group Sales Bethlehem</t>
  </si>
  <si>
    <t>+18003565808</t>
  </si>
  <si>
    <t>EAP - Member - Employee Assistance Program - M-F 9 to 8 Eastern</t>
  </si>
  <si>
    <t>+18003867055</t>
  </si>
  <si>
    <t>Group National Conversion Toll Free - Opt. 1 ext. 5696 - for Group policies that have been converted.</t>
  </si>
  <si>
    <t>+18004335982</t>
  </si>
  <si>
    <t>18004335982B</t>
  </si>
  <si>
    <t>GRP_MRO_GCA</t>
  </si>
  <si>
    <t>IMCC General IVR</t>
  </si>
  <si>
    <t>+18004416455</t>
  </si>
  <si>
    <t>Innovative Underwriters</t>
  </si>
  <si>
    <t>+18004467872</t>
  </si>
  <si>
    <t>GRP_Admin</t>
  </si>
  <si>
    <t>+18004599401</t>
  </si>
  <si>
    <t>GPT</t>
  </si>
  <si>
    <t>+18004684015</t>
  </si>
  <si>
    <t>Fraud Toll Free - if bank thinks they have a fraudulent check-transfer to Edmond Supple</t>
  </si>
  <si>
    <t>+18004775908</t>
  </si>
  <si>
    <t>Guardian Agency Help Desk</t>
  </si>
  <si>
    <t>+18004998820</t>
  </si>
  <si>
    <t>IM_Agent_Assist_New</t>
  </si>
  <si>
    <t>+18005115801</t>
  </si>
  <si>
    <t>Medical Coverage before 11-15-2012 - Must leave VM w/Name &amp; Phone Number. Will receive call back within 24 hrs.</t>
  </si>
  <si>
    <t>+18005244542</t>
  </si>
  <si>
    <t>GRP_LifeClaims</t>
  </si>
  <si>
    <t>+18005254542</t>
  </si>
  <si>
    <t>Group - LTD Claims</t>
  </si>
  <si>
    <t>+18005384583</t>
  </si>
  <si>
    <t>Victory/RS Funds Client</t>
  </si>
  <si>
    <t>+18005393863</t>
  </si>
  <si>
    <t>Dental IVR - Accident / Cancer / Wellness Check</t>
  </si>
  <si>
    <t>+18005417846</t>
  </si>
  <si>
    <t>18005417846B</t>
  </si>
  <si>
    <t>Dental Member Services</t>
  </si>
  <si>
    <t>18005417846C</t>
  </si>
  <si>
    <t>GRP_Dental</t>
  </si>
  <si>
    <t>IPS_HealthStatement</t>
  </si>
  <si>
    <t>+18006244050</t>
  </si>
  <si>
    <t>Guardian Anytime</t>
  </si>
  <si>
    <t>+18006274200</t>
  </si>
  <si>
    <t>18006274200B</t>
  </si>
  <si>
    <t>Group IVR</t>
  </si>
  <si>
    <t>Talcott Agent</t>
  </si>
  <si>
    <t>+18006303609</t>
  </si>
  <si>
    <t>EFT - Dental Providers - option 4 (Change Health Care)</t>
  </si>
  <si>
    <t>+18006490482</t>
  </si>
  <si>
    <t>Annuity Sales</t>
  </si>
  <si>
    <t>+18006506505</t>
  </si>
  <si>
    <t>18006506505B</t>
  </si>
  <si>
    <t>GIAC Annuity Sales Desk IVR</t>
  </si>
  <si>
    <t>18006506505C</t>
  </si>
  <si>
    <t>IM_QSDAnnuity</t>
  </si>
  <si>
    <t>GRP_Onboarding</t>
  </si>
  <si>
    <t>+18006854542</t>
  </si>
  <si>
    <t>Altfunded_SelfInsured</t>
  </si>
  <si>
    <t>+18007328242</t>
  </si>
  <si>
    <t>GRP_AFTRA</t>
  </si>
  <si>
    <t>+18007656405</t>
  </si>
  <si>
    <t>RS Investments / 401k Sales</t>
  </si>
  <si>
    <t>+18007663863</t>
  </si>
  <si>
    <t>GRP_Advocate</t>
  </si>
  <si>
    <t>+18007752246</t>
  </si>
  <si>
    <t>CDC</t>
  </si>
  <si>
    <t>+18007763925</t>
  </si>
  <si>
    <t>IM_DTC</t>
  </si>
  <si>
    <t>+18008017649</t>
  </si>
  <si>
    <t>IM_CSC</t>
  </si>
  <si>
    <t>+18008192468</t>
  </si>
  <si>
    <t>Talcott Client</t>
  </si>
  <si>
    <t>+18008304147</t>
  </si>
  <si>
    <t>GRP_LargeCase</t>
  </si>
  <si>
    <t>+18008484567</t>
  </si>
  <si>
    <t>IM_ILCC</t>
  </si>
  <si>
    <t>+18008658731</t>
  </si>
  <si>
    <t>BRC / Product Support / APEX Group</t>
  </si>
  <si>
    <t>+18008717780</t>
  </si>
  <si>
    <t>18008717780B</t>
  </si>
  <si>
    <t>Individual Life Conservation / Product Support</t>
  </si>
  <si>
    <t>18008717780C</t>
  </si>
  <si>
    <t>APEX Group / BRC / Life Product Support / Conservation / Shadow Advisors</t>
  </si>
  <si>
    <t>18008717780D</t>
  </si>
  <si>
    <t>Life Product Support</t>
  </si>
  <si>
    <t>18008717780E</t>
  </si>
  <si>
    <t>Broker Quote Req - Life</t>
  </si>
  <si>
    <t>18008717780F</t>
  </si>
  <si>
    <t>IM</t>
  </si>
  <si>
    <t>VSP</t>
  </si>
  <si>
    <t>+18008777195</t>
  </si>
  <si>
    <t>IM_PASAdvisory</t>
  </si>
  <si>
    <t>+18008796934</t>
  </si>
  <si>
    <t>Dental for Guardian Employees</t>
  </si>
  <si>
    <t>+18008902475</t>
  </si>
  <si>
    <t>18008902475B</t>
  </si>
  <si>
    <t>EB Dental IVR</t>
  </si>
  <si>
    <t>18008902475C</t>
  </si>
  <si>
    <t>GRP_EB</t>
  </si>
  <si>
    <t>Dental Provider - Toll Free</t>
  </si>
  <si>
    <t>+18008904774</t>
  </si>
  <si>
    <t>401K Sales - Ameritas</t>
  </si>
  <si>
    <t>+18009232732</t>
  </si>
  <si>
    <t>GRP_EBH</t>
  </si>
  <si>
    <t>+18009812574</t>
  </si>
  <si>
    <t>Family Services Life (Burial)</t>
  </si>
  <si>
    <t>+18009924767</t>
  </si>
  <si>
    <t>18009924767B</t>
  </si>
  <si>
    <t>IM Claims - Burial Policies (M policies)</t>
  </si>
  <si>
    <t>Vision Davis - Members</t>
  </si>
  <si>
    <t>+18009995431</t>
  </si>
  <si>
    <t>DI.com</t>
  </si>
  <si>
    <t>+18442223301</t>
  </si>
  <si>
    <t>Hey_Hugo</t>
  </si>
  <si>
    <t>+18444394846</t>
  </si>
  <si>
    <t>Dental Exchange Marketplace MEMBERS - opens 9 AM Eastern - Premier Access</t>
  </si>
  <si>
    <t>+18445615600</t>
  </si>
  <si>
    <t>18445615600B</t>
  </si>
  <si>
    <t>DTC Exchange IVR</t>
  </si>
  <si>
    <t>Avesis Toll Free</t>
  </si>
  <si>
    <t>+18552146777</t>
  </si>
  <si>
    <t>EAP - Guardian Employee - Option 3 for Employee Assistance Program - Spring Health - M-F 8 am-8 pm ET - Option 2 for CRISIS</t>
  </si>
  <si>
    <t>+18556290554</t>
  </si>
  <si>
    <t>MCM_All</t>
  </si>
  <si>
    <t>+18556912341</t>
  </si>
  <si>
    <t>Guardian Employee Pension</t>
  </si>
  <si>
    <t>+18557364542</t>
  </si>
  <si>
    <t>Transperfect</t>
  </si>
  <si>
    <t>+18558862901</t>
  </si>
  <si>
    <t>CRP_Recruitment</t>
  </si>
  <si>
    <t>+18662291970</t>
  </si>
  <si>
    <t>GRP_Temp_Incident</t>
  </si>
  <si>
    <t>+18662796503</t>
  </si>
  <si>
    <t>GRP_FCW_PPO</t>
  </si>
  <si>
    <t>+18663024542</t>
  </si>
  <si>
    <t>GRP_AAA_Conversion</t>
  </si>
  <si>
    <t>+18663225791</t>
  </si>
  <si>
    <t>GRP_FSA</t>
  </si>
  <si>
    <t>+18663594542</t>
  </si>
  <si>
    <t>Guardian Emp / 401K / FIDELITY Investments / M-F 8:30AM to Midnight ET</t>
  </si>
  <si>
    <t>+18664014542</t>
  </si>
  <si>
    <t>CRP_PWD_Reset_Corp</t>
  </si>
  <si>
    <t>+18664408924</t>
  </si>
  <si>
    <t>CRP_PWD_Reset_Agency</t>
  </si>
  <si>
    <t>+18664409326</t>
  </si>
  <si>
    <t>Individual Life Claims</t>
  </si>
  <si>
    <t>18664524542B</t>
  </si>
  <si>
    <t>IM Life Claims</t>
  </si>
  <si>
    <t>18664524542C</t>
  </si>
  <si>
    <t>IM_ILLifeClaims</t>
  </si>
  <si>
    <t>GRP_FCW_DHMO</t>
  </si>
  <si>
    <t>+18664944542</t>
  </si>
  <si>
    <t>GRP_CoxHC</t>
  </si>
  <si>
    <t>+18665075371</t>
  </si>
  <si>
    <t>GRP_IRS_B</t>
  </si>
  <si>
    <t>+18665075775</t>
  </si>
  <si>
    <t>APA</t>
  </si>
  <si>
    <t>+18665430090</t>
  </si>
  <si>
    <t>Direct To Consumer - Opens 9 AM Eastern</t>
  </si>
  <si>
    <t>+18665699900</t>
  </si>
  <si>
    <t>18665699900B</t>
  </si>
  <si>
    <t>Guardian Direct</t>
  </si>
  <si>
    <t>18665699900C</t>
  </si>
  <si>
    <t>DTC Direct IVR</t>
  </si>
  <si>
    <t>Individual Disability Sales &amp; Underwriting / Product Support for Agents</t>
  </si>
  <si>
    <t>+18665908845</t>
  </si>
  <si>
    <t>18665908845B</t>
  </si>
  <si>
    <t>Broker Quote Req - DI</t>
  </si>
  <si>
    <t>18665908845C</t>
  </si>
  <si>
    <t>IM_Product_Support</t>
  </si>
  <si>
    <t>IM_MultiLife</t>
  </si>
  <si>
    <t>+18665908847</t>
  </si>
  <si>
    <t>Access Dental</t>
  </si>
  <si>
    <t>+18666503660</t>
  </si>
  <si>
    <t>edelivery/e-application services - Opt. 3 - Individual Life DI New Business - no longer IMCCC 3/5/2020 per Taylor Williams</t>
  </si>
  <si>
    <t>+18666721964</t>
  </si>
  <si>
    <t>18666721964B</t>
  </si>
  <si>
    <t>Individual Life DI New Business</t>
  </si>
  <si>
    <t>18666721964C</t>
  </si>
  <si>
    <t>IM_BerkshireNB</t>
  </si>
  <si>
    <t>Agency Referral - Option #4</t>
  </si>
  <si>
    <t>+18666984380</t>
  </si>
  <si>
    <t>Group 401K - Ameritas for the old 401K block</t>
  </si>
  <si>
    <t>+18668724015</t>
  </si>
  <si>
    <t>PA_ProviderServicesCorp</t>
  </si>
  <si>
    <t>+18669338329</t>
  </si>
  <si>
    <t>Reed_PNC</t>
  </si>
  <si>
    <t>+18669983886</t>
  </si>
  <si>
    <t>Reed_Discover</t>
  </si>
  <si>
    <t>+18669988397</t>
  </si>
  <si>
    <t>PlatinumProducer</t>
  </si>
  <si>
    <t>+18773211235</t>
  </si>
  <si>
    <t>Softheon IVR</t>
  </si>
  <si>
    <t>+18773674811</t>
  </si>
  <si>
    <t>Davis Vision</t>
  </si>
  <si>
    <t>+18773937363</t>
  </si>
  <si>
    <t>Reed_Boyd</t>
  </si>
  <si>
    <t>+18773946711</t>
  </si>
  <si>
    <t>Reed_Sears</t>
  </si>
  <si>
    <t>+18773946717</t>
  </si>
  <si>
    <t>Major Medical (Medicare) - Policies begin with W and have 6 digits or GLE</t>
  </si>
  <si>
    <t>+18774398926</t>
  </si>
  <si>
    <t>401k - Ameritas - as of 9/02/2016</t>
  </si>
  <si>
    <t>+18775002380</t>
  </si>
  <si>
    <t>GRP_GA</t>
  </si>
  <si>
    <t>+18775002386</t>
  </si>
  <si>
    <t>Victory/RS Funds RR</t>
  </si>
  <si>
    <t>+18775002388</t>
  </si>
  <si>
    <t>Living Balance Sheet Producer Support</t>
  </si>
  <si>
    <t>+18775277006</t>
  </si>
  <si>
    <t>PA_UtahMedicaid</t>
  </si>
  <si>
    <t>+18775415415</t>
  </si>
  <si>
    <t>Reed_Target</t>
  </si>
  <si>
    <t>+18775539472</t>
  </si>
  <si>
    <t>MCM_OPC</t>
  </si>
  <si>
    <t>+18776931087</t>
  </si>
  <si>
    <t>GRP_Teleguard</t>
  </si>
  <si>
    <t>+18777291284</t>
  </si>
  <si>
    <t>GRP_ReedGroup</t>
  </si>
  <si>
    <t>+18777297617</t>
  </si>
  <si>
    <t>Market Edge / DST</t>
  </si>
  <si>
    <t>+18777345321</t>
  </si>
  <si>
    <t>VSP Vision</t>
  </si>
  <si>
    <t>+18778148970</t>
  </si>
  <si>
    <t>RManagers_Elite</t>
  </si>
  <si>
    <t>+18778957928</t>
  </si>
  <si>
    <t>RManagers_Hunt</t>
  </si>
  <si>
    <t>+18778995912</t>
  </si>
  <si>
    <t>FLEX (FSA) for Guardian Employees</t>
  </si>
  <si>
    <t>+18882149005</t>
  </si>
  <si>
    <t>GRP_ClientEmpyrean</t>
  </si>
  <si>
    <t>+18882433429</t>
  </si>
  <si>
    <t>IPS_DTCDirect</t>
  </si>
  <si>
    <t>+18882434578</t>
  </si>
  <si>
    <t>IPS_DTC_STAY</t>
  </si>
  <si>
    <t>+18882434657</t>
  </si>
  <si>
    <t>Individual DI Claims</t>
  </si>
  <si>
    <t>+18882757473</t>
  </si>
  <si>
    <t>18882757473B</t>
  </si>
  <si>
    <t>IM_ClaimsDI</t>
  </si>
  <si>
    <t>Dental Providers - Opt Out of Virtual CC Pmts</t>
  </si>
  <si>
    <t>+18884560381</t>
  </si>
  <si>
    <t>Guardian Group Universal Life Service Center</t>
  </si>
  <si>
    <t>+18884827302</t>
  </si>
  <si>
    <t>IM Customer Contact Center</t>
  </si>
  <si>
    <t>+18884827342</t>
  </si>
  <si>
    <t>18884827342B</t>
  </si>
  <si>
    <t>IM IVR</t>
  </si>
  <si>
    <t>18884827342C</t>
  </si>
  <si>
    <t>DTC / Guardian Direct</t>
  </si>
  <si>
    <t>18884827342D</t>
  </si>
  <si>
    <t>IM Contact Center</t>
  </si>
  <si>
    <t>Long Term Care</t>
  </si>
  <si>
    <t>+18885058743</t>
  </si>
  <si>
    <t>18885058743B</t>
  </si>
  <si>
    <t>IM Claims - Long Term Care (LTC) Policies (K)</t>
  </si>
  <si>
    <t>18885058743C</t>
  </si>
  <si>
    <t>Long Term Care - Policies begin with K - Opens 10 AM Eastern - If calling to purchase from WA State-give 888-399-3331 to caller</t>
  </si>
  <si>
    <t>PA_HKSBCustomerService</t>
  </si>
  <si>
    <t>+18885845830</t>
  </si>
  <si>
    <t>IM_PASClientAgent</t>
  </si>
  <si>
    <t>+18886000003</t>
  </si>
  <si>
    <t>Agency Contract &amp; Licensing ACL</t>
  </si>
  <si>
    <t>+18886001700</t>
  </si>
  <si>
    <t>18886001700B</t>
  </si>
  <si>
    <t>Contracting and Licensing - Reg. 187</t>
  </si>
  <si>
    <t>GRP_DentalNWLease</t>
  </si>
  <si>
    <t>+18886002580</t>
  </si>
  <si>
    <t>PAS / GSA / Park Avenue Securities - 529 Policies begin w/T - TDR/TDX 529 - Profit Sharing / college savings program aka: Wealth Management FLO Acct</t>
  </si>
  <si>
    <t>+18886004667</t>
  </si>
  <si>
    <t>GRP_DGPSelect</t>
  </si>
  <si>
    <t>+18886009200</t>
  </si>
  <si>
    <t>DHMO Dental Member - All States Except Calif.</t>
  </si>
  <si>
    <t>+18886182016</t>
  </si>
  <si>
    <t>18886182016B</t>
  </si>
  <si>
    <t>GRP_MDG</t>
  </si>
  <si>
    <t>Asset Account - Bank of NY</t>
  </si>
  <si>
    <t>+18886529319</t>
  </si>
  <si>
    <t>Dental Exchange Marketplace PROVIDERS - opens 11 AM Eastern</t>
  </si>
  <si>
    <t>+18887150760</t>
  </si>
  <si>
    <t>18887150760B</t>
  </si>
  <si>
    <t>Premier Commercial/Group</t>
  </si>
  <si>
    <t>Dental Individual Billing - Option 25</t>
  </si>
  <si>
    <t>+18888896138</t>
  </si>
  <si>
    <t>18888896138B</t>
  </si>
  <si>
    <t>GRP_SykesMenu</t>
  </si>
  <si>
    <t>Chris Tegley</t>
  </si>
  <si>
    <t>+19165636004</t>
  </si>
  <si>
    <t>MDG Dental Escalation - Access Dental</t>
  </si>
  <si>
    <t>+19169225000</t>
  </si>
  <si>
    <t>19169225000B</t>
  </si>
  <si>
    <t>Dental Exchange Escalation - 888-889-6138 opt 25</t>
  </si>
  <si>
    <t>National Conversion</t>
  </si>
  <si>
    <t>+19207495696</t>
  </si>
  <si>
    <t>CRP_MROMainMenu</t>
  </si>
  <si>
    <t>+19207496000</t>
  </si>
  <si>
    <t>Front Desk - Appleton</t>
  </si>
  <si>
    <t>+19207496003</t>
  </si>
  <si>
    <t>19207496003B</t>
  </si>
  <si>
    <t>Security - Appleton</t>
  </si>
  <si>
    <t>16101990025 - Guardian 888</t>
  </si>
  <si>
    <t>+18008734542</t>
  </si>
  <si>
    <t>Guardian 888</t>
  </si>
  <si>
    <t>18008904774B</t>
  </si>
  <si>
    <t>PPO Network Management</t>
  </si>
  <si>
    <t>TPA Menu</t>
  </si>
  <si>
    <t>18007752246B</t>
  </si>
  <si>
    <t>Advocate IVR</t>
  </si>
  <si>
    <t>18007656405B</t>
  </si>
  <si>
    <t>AFTRA IVR</t>
  </si>
  <si>
    <t>18005417846D</t>
  </si>
  <si>
    <t>Dental Member IVR</t>
  </si>
  <si>
    <t>18005417846E</t>
  </si>
  <si>
    <t>Provider Dental IVR</t>
  </si>
  <si>
    <t>18664944542B</t>
  </si>
  <si>
    <t>Dental FCW HMO IVR</t>
  </si>
  <si>
    <t>18664944542C</t>
  </si>
  <si>
    <t>Dental FCW PPO IVR</t>
  </si>
  <si>
    <t>+18882784542</t>
  </si>
  <si>
    <t>18775002386B</t>
  </si>
  <si>
    <t>Guardian Anytime IVR</t>
  </si>
  <si>
    <t>18886182016C</t>
  </si>
  <si>
    <t>Dental MDG IVR</t>
  </si>
  <si>
    <t>18005254542B</t>
  </si>
  <si>
    <t>Life Claims IVR</t>
  </si>
  <si>
    <t>CRU Helpline Cebu</t>
  </si>
  <si>
    <t>+16101991029</t>
  </si>
  <si>
    <t>CRU Helpline Elsalvador</t>
  </si>
  <si>
    <t>+16101991030</t>
  </si>
  <si>
    <t>CRU Helpline ESA Providers</t>
  </si>
  <si>
    <t>+16101991031</t>
  </si>
  <si>
    <t>GA Offshore</t>
  </si>
  <si>
    <t>+16101991032</t>
  </si>
  <si>
    <t>FCW PPO Member Spanish</t>
  </si>
  <si>
    <t>+16101991033</t>
  </si>
  <si>
    <t>Cancer</t>
  </si>
  <si>
    <t>+16101991034</t>
  </si>
  <si>
    <t>Dental Provider Spanish</t>
  </si>
  <si>
    <t>+16101991035</t>
  </si>
  <si>
    <t>Queue Name</t>
  </si>
  <si>
    <t>Division</t>
  </si>
  <si>
    <t>Peer ID</t>
  </si>
  <si>
    <t>Outbound CID</t>
  </si>
  <si>
    <t>Outbound CID Name</t>
  </si>
  <si>
    <t>ACW Method</t>
  </si>
  <si>
    <t>ACW Timeout</t>
  </si>
  <si>
    <t>Scoring Method</t>
  </si>
  <si>
    <t>Routing Method</t>
  </si>
  <si>
    <t>Queue Evaluation Method</t>
  </si>
  <si>
    <t>Voice Alerting Timeout</t>
  </si>
  <si>
    <t>Voice Whisper Audio</t>
  </si>
  <si>
    <t>Voice SLA % (ex. 80)</t>
  </si>
  <si>
    <t>Voice SLA Target (20 seconds)</t>
  </si>
  <si>
    <t>Voice In Queue Flow</t>
  </si>
  <si>
    <t>Script</t>
  </si>
  <si>
    <t>Chat Alerting Timeout (30)</t>
  </si>
  <si>
    <t>Chat Service Sevel %</t>
  </si>
  <si>
    <t>Chat Service Level Target (20)</t>
  </si>
  <si>
    <t>Chat Default Script</t>
  </si>
  <si>
    <t>SMS Service Level % (80)</t>
  </si>
  <si>
    <t>SMS Service Level Target (20)</t>
  </si>
  <si>
    <t>Alerting Timeout (30)</t>
  </si>
  <si>
    <t>SMS Default Script</t>
  </si>
  <si>
    <t>SMS In-Queue Flow</t>
  </si>
  <si>
    <t>Outbound SMS Number</t>
  </si>
  <si>
    <t>Email Service Level %</t>
  </si>
  <si>
    <t>Email Service Level Target (86400)</t>
  </si>
  <si>
    <t>Email Alerting Timeout (300)</t>
  </si>
  <si>
    <t>Email Auto Answer</t>
  </si>
  <si>
    <t>Outbound Email Address</t>
  </si>
  <si>
    <t>In-queue Email Flow</t>
  </si>
  <si>
    <t>Email Default Script</t>
  </si>
  <si>
    <t>Callback Service Level % (80)</t>
  </si>
  <si>
    <t>Callback Service Level Target (20)</t>
  </si>
  <si>
    <t>Callback Alerting Timeout (30)</t>
  </si>
  <si>
    <t xml:space="preserve">Allow Agents to take ownership </t>
  </si>
  <si>
    <t>Own Schedule Callback Time</t>
  </si>
  <si>
    <t>Schedule Callback in Advance for</t>
  </si>
  <si>
    <t>Voice Transcription</t>
  </si>
  <si>
    <t>Manual Assignment</t>
  </si>
  <si>
    <t>Advanced Routing</t>
  </si>
  <si>
    <t>Auto-Answer for all Digital Channels</t>
  </si>
  <si>
    <t>General_English</t>
  </si>
  <si>
    <t>800 555-1234</t>
  </si>
  <si>
    <t>Optional</t>
  </si>
  <si>
    <t>Conversation Score</t>
  </si>
  <si>
    <t>Disregard skills-next agent</t>
  </si>
  <si>
    <t>Information housed in separate spreadsheet - Mike W</t>
  </si>
  <si>
    <t>About contact center - Genesys Cloud Resource Center (mypurecloud.com)</t>
  </si>
  <si>
    <t>Language</t>
  </si>
  <si>
    <t>Wrap-Up Codes</t>
  </si>
  <si>
    <t>About wrap-up codes - Genesys Cloud Resource Center (mypurecloud.com)</t>
  </si>
  <si>
    <t>Wrap-Up Code</t>
  </si>
  <si>
    <t>Assocaited Queue(s)</t>
  </si>
  <si>
    <t>Canned Responses</t>
  </si>
  <si>
    <t>About canned responses - Genesys Cloud Resource Center (mypurecloud.com)</t>
  </si>
  <si>
    <t>Libraries</t>
  </si>
  <si>
    <t>Library 1</t>
  </si>
  <si>
    <t>Response</t>
  </si>
  <si>
    <t>Library</t>
  </si>
  <si>
    <t>Content</t>
  </si>
  <si>
    <t>Response 1</t>
  </si>
  <si>
    <t>Standard</t>
  </si>
  <si>
    <t>Thank you for contacting us.  My name is {{AGENT_NAME}}.</t>
  </si>
  <si>
    <t>tts_en-us</t>
  </si>
  <si>
    <t>audio_en-us</t>
  </si>
  <si>
    <t>tts_es-us</t>
  </si>
  <si>
    <t>audio_es-us</t>
  </si>
  <si>
    <t>MainMenuOptions</t>
  </si>
  <si>
    <t>For xxx, press 1. To speak to an agent, press 2.</t>
  </si>
  <si>
    <t>ENG_promptName.wav</t>
  </si>
  <si>
    <t>Spanish Verbiage</t>
  </si>
  <si>
    <t>SPA_PromptName.wav</t>
  </si>
  <si>
    <t>Email Configuration</t>
  </si>
  <si>
    <t>Genesys Cloud Domain</t>
  </si>
  <si>
    <t>About ACD emails - Genesys Cloud Resource Center (mypurecloud.com)</t>
  </si>
  <si>
    <t>support@pure.cloud</t>
  </si>
  <si>
    <t>Email routing scenarios - Genesys Cloud Resource Center (mypurecloud.com)</t>
  </si>
  <si>
    <t>domain2@pure.cloud</t>
  </si>
  <si>
    <t>Custom Domain Name</t>
  </si>
  <si>
    <t>About the custom SMTP server integration for outbound emails - Genesys Cloud Resource Center (mypurecloud.com)</t>
  </si>
  <si>
    <t>company.com</t>
  </si>
  <si>
    <t>Custom</t>
  </si>
  <si>
    <t>Domain Settings</t>
  </si>
  <si>
    <t>CUSTOM CONFIGURATION</t>
  </si>
  <si>
    <r>
      <t xml:space="preserve">Domain Verification
</t>
    </r>
    <r>
      <rPr>
        <i/>
        <sz val="11"/>
        <color theme="1"/>
        <rFont val="Calibri"/>
        <family val="2"/>
        <scheme val="minor"/>
      </rPr>
      <t>Add this verification record to your domain's DNS settings to verify ownership of your domain. Verifying the domain will allow Genesys Cloud to send outbound emails from this domain.
Please note this verification process may take up to 72 hours.</t>
    </r>
  </si>
  <si>
    <t>TXT</t>
  </si>
  <si>
    <t>Value</t>
  </si>
  <si>
    <t>&lt;to be retrieved on the Org&gt;</t>
  </si>
  <si>
    <r>
      <t xml:space="preserve">MX Record for Inbound Email
</t>
    </r>
    <r>
      <rPr>
        <i/>
        <sz val="11"/>
        <color theme="1"/>
        <rFont val="Calibri"/>
        <family val="2"/>
        <scheme val="minor"/>
      </rPr>
      <t>Add this MX record to your domain's DNS Settings. All email sent to this domain will route directly to Genesys Cloud.
Please note this verification process may take up to 72 hours. Be sure not to use a domain that's already being used for email within your organization.</t>
    </r>
  </si>
  <si>
    <t>MX</t>
  </si>
  <si>
    <t>CUSTOM CONFIGURATION / Advanced Settings</t>
  </si>
  <si>
    <r>
      <t xml:space="preserve">DKIM Authentication
</t>
    </r>
    <r>
      <rPr>
        <i/>
        <sz val="11"/>
        <color theme="1"/>
        <rFont val="Calibri"/>
        <family val="2"/>
        <scheme val="minor"/>
      </rPr>
      <t>While not required, DKIM authentication is recommended to prevent outbound email from being marked as spam. Add these CNAME records to your DNS settings. Once Genesys Cloud has verified these records, outbound emails will start using DKIM.</t>
    </r>
  </si>
  <si>
    <t>UNIQUE_TOKEN_1._domainkey.support.company.com
UNIQUE_TOKEN_2._domainkey.support.company.com
UNIQUE_TOKEN_3._domainkey.support.company.com</t>
  </si>
  <si>
    <t>CNAME</t>
  </si>
  <si>
    <t>&lt;to be retrieved on the Org&gt;
UNIQUE_TOKEN_1.dkim.amazonses.com
UNIQUE_TOKEN_2.dkim.amazonses.com
UNIQUE_TOKEN_3.dkim.amazonses.com</t>
  </si>
  <si>
    <r>
      <t xml:space="preserve">SPF DMARC Authentication (Custom MAIL FROM)
</t>
    </r>
    <r>
      <rPr>
        <i/>
        <sz val="11"/>
        <color theme="1"/>
        <rFont val="Calibri"/>
        <family val="2"/>
        <scheme val="minor"/>
      </rPr>
      <t>By default, Genesys Cloud will use amazonses.com as the MAIL FROM value on your email domain. This will allow the SPF check to automatically pass as the mail is sent from amazonses.com. If you wish to use a custom MAIL FROM domain, specify it in the field below. You will then be presented with some additional DNS records that you will need to add to complete the verification.
Please note the MAIL FROM value must be a subdomain of your email domain.</t>
    </r>
  </si>
  <si>
    <t>&lt;Set custom MAIL FROM domain&gt;</t>
  </si>
  <si>
    <t>OUTBOUND EMAIL SENDING</t>
  </si>
  <si>
    <t>Use my organization's SMTP server for sending outbound emails Note: SMTP server settings are configured in</t>
  </si>
  <si>
    <t>NO</t>
  </si>
  <si>
    <t>Custom SMTP Server</t>
  </si>
  <si>
    <t>Email Address Configuration</t>
  </si>
  <si>
    <t>Email Address 1</t>
  </si>
  <si>
    <t>support@company.com</t>
  </si>
  <si>
    <r>
      <rPr>
        <b/>
        <sz val="10"/>
        <color theme="1"/>
        <rFont val="Calibri"/>
        <family val="2"/>
        <scheme val="minor"/>
      </rPr>
      <t>From Name</t>
    </r>
    <r>
      <rPr>
        <sz val="10"/>
        <color theme="1"/>
        <rFont val="Calibri"/>
        <family val="2"/>
        <scheme val="minor"/>
      </rPr>
      <t xml:space="preserve">
</t>
    </r>
    <r>
      <rPr>
        <i/>
        <sz val="10"/>
        <color theme="1"/>
        <rFont val="Calibri"/>
        <family val="2"/>
        <scheme val="minor"/>
      </rPr>
      <t>Name that appears to the recipient when an agent responds to an email.</t>
    </r>
  </si>
  <si>
    <t>EMEA Services Company</t>
  </si>
  <si>
    <r>
      <rPr>
        <b/>
        <sz val="10"/>
        <color theme="1"/>
        <rFont val="Calibri"/>
        <family val="2"/>
        <scheme val="minor"/>
      </rPr>
      <t>From Email Address</t>
    </r>
    <r>
      <rPr>
        <sz val="10"/>
        <color theme="1"/>
        <rFont val="Calibri"/>
        <family val="2"/>
        <scheme val="minor"/>
      </rPr>
      <t xml:space="preserve">
</t>
    </r>
    <r>
      <rPr>
        <i/>
        <sz val="10"/>
        <color theme="1"/>
        <rFont val="Calibri"/>
        <family val="2"/>
        <scheme val="minor"/>
      </rPr>
      <t xml:space="preserve">Specify an email address that appears to the recipient when an agent responds to an email. </t>
    </r>
    <r>
      <rPr>
        <i/>
        <sz val="10"/>
        <color rgb="FFFF0000"/>
        <rFont val="Calibri"/>
        <family val="2"/>
        <scheme val="minor"/>
      </rPr>
      <t>This address must be configured in Genesys Cloud</t>
    </r>
    <r>
      <rPr>
        <i/>
        <sz val="10"/>
        <color theme="1"/>
        <rFont val="Calibri"/>
        <family val="2"/>
        <scheme val="minor"/>
      </rPr>
      <t>; previous Bcc and Reply To settings will be carried over with the specified email address.</t>
    </r>
  </si>
  <si>
    <t>global@services.company.mypurecloud.ie</t>
  </si>
  <si>
    <r>
      <rPr>
        <b/>
        <sz val="10"/>
        <color theme="1"/>
        <rFont val="Calibri"/>
        <family val="2"/>
        <scheme val="minor"/>
      </rPr>
      <t>Reply To</t>
    </r>
    <r>
      <rPr>
        <sz val="10"/>
        <color theme="1"/>
        <rFont val="Calibri"/>
        <family val="2"/>
        <scheme val="minor"/>
      </rPr>
      <t xml:space="preserve">
</t>
    </r>
    <r>
      <rPr>
        <i/>
        <sz val="10"/>
        <color theme="1"/>
        <rFont val="Calibri"/>
        <family val="2"/>
        <scheme val="minor"/>
      </rPr>
      <t>This address overrides the "Reply to" address the customer sees when replying to the original email. If you forward email to Genesys Cloud and want to exclude the forwarding address from replies, set the forwarding address as the Reply To.</t>
    </r>
  </si>
  <si>
    <r>
      <rPr>
        <b/>
        <sz val="10"/>
        <color theme="1" tint="0.499984740745262"/>
        <rFont val="Calibri"/>
        <family val="2"/>
        <scheme val="minor"/>
      </rPr>
      <t>Override</t>
    </r>
    <r>
      <rPr>
        <sz val="10"/>
        <color theme="1" tint="0.499984740745262"/>
        <rFont val="Calibri"/>
        <family val="2"/>
        <scheme val="minor"/>
      </rPr>
      <t xml:space="preserve"> Reply To address used:
global@services.company.mypurecloud.ie
</t>
    </r>
    <r>
      <rPr>
        <i/>
        <sz val="10"/>
        <color theme="1" tint="0.499984740745262"/>
        <rFont val="Calibri"/>
        <family val="2"/>
        <scheme val="minor"/>
      </rPr>
      <t>&lt;Automatically set and not changeable if value for "From Email Address" is set&gt;</t>
    </r>
  </si>
  <si>
    <r>
      <rPr>
        <b/>
        <sz val="10"/>
        <color theme="1"/>
        <rFont val="Calibri"/>
        <family val="2"/>
        <scheme val="minor"/>
      </rPr>
      <t>BCC Recipients</t>
    </r>
    <r>
      <rPr>
        <sz val="10"/>
        <color theme="1"/>
        <rFont val="Calibri"/>
        <family val="2"/>
        <scheme val="minor"/>
      </rPr>
      <t xml:space="preserve">
</t>
    </r>
    <r>
      <rPr>
        <i/>
        <sz val="10"/>
        <color theme="1"/>
        <rFont val="Calibri"/>
        <family val="2"/>
        <scheme val="minor"/>
      </rPr>
      <t>The specified recipients will be automatically added to the BCC list for outbound emails and cannot be removed by agents.</t>
    </r>
  </si>
  <si>
    <t>&lt;none&gt;</t>
  </si>
  <si>
    <r>
      <rPr>
        <b/>
        <sz val="10"/>
        <color theme="1"/>
        <rFont val="Calibri"/>
        <family val="2"/>
        <scheme val="minor"/>
      </rPr>
      <t>Email Routing</t>
    </r>
    <r>
      <rPr>
        <sz val="10"/>
        <color theme="1"/>
        <rFont val="Calibri"/>
        <family val="2"/>
        <scheme val="minor"/>
      </rPr>
      <t xml:space="preserve">
</t>
    </r>
    <r>
      <rPr>
        <i/>
        <sz val="10"/>
        <color theme="1"/>
        <rFont val="Calibri"/>
        <family val="2"/>
        <scheme val="minor"/>
      </rPr>
      <t>All email, except spam, will follow the specified route option.</t>
    </r>
  </si>
  <si>
    <t>Always Route to this flow</t>
  </si>
  <si>
    <t>Always Route to this queue</t>
  </si>
  <si>
    <t>EMEA Services</t>
  </si>
  <si>
    <t>Skills</t>
  </si>
  <si>
    <t>Priority</t>
  </si>
  <si>
    <t>Do not route (outbound email only)</t>
  </si>
  <si>
    <r>
      <rPr>
        <b/>
        <sz val="10"/>
        <color theme="1"/>
        <rFont val="Calibri"/>
        <family val="2"/>
        <scheme val="minor"/>
      </rPr>
      <t>Spam Routing</t>
    </r>
    <r>
      <rPr>
        <sz val="10"/>
        <color theme="1"/>
        <rFont val="Calibri"/>
        <family val="2"/>
        <scheme val="minor"/>
      </rPr>
      <t xml:space="preserve">
</t>
    </r>
    <r>
      <rPr>
        <i/>
        <sz val="10"/>
        <color theme="1"/>
        <rFont val="Calibri"/>
        <family val="2"/>
        <scheme val="minor"/>
      </rPr>
      <t>The system determines spam as potentially harmful emails. Specify an option for spam email.</t>
    </r>
  </si>
  <si>
    <t>Route spam email to this flow</t>
  </si>
  <si>
    <t>Disconnect all email that is detected as spam</t>
  </si>
  <si>
    <t>YES</t>
  </si>
  <si>
    <t>About quality management - Genesys Cloud Resource Center (mypurecloud.com)</t>
  </si>
  <si>
    <t>Quality Evaluation Forms</t>
  </si>
  <si>
    <t>Create and publish an evaluation form - Genesys Cloud Resource Center (mypurecloud.com)</t>
  </si>
  <si>
    <t>Evaluation Form Name</t>
  </si>
  <si>
    <t>Eval Form 1</t>
  </si>
  <si>
    <t>Question group 1 Name</t>
  </si>
  <si>
    <t>Weight</t>
  </si>
  <si>
    <t>N/A Enabled?</t>
  </si>
  <si>
    <t>Default to Highest Scoring / NA?</t>
  </si>
  <si>
    <t>Group 1 name</t>
  </si>
  <si>
    <t>Question text</t>
  </si>
  <si>
    <t>Question type</t>
  </si>
  <si>
    <t xml:space="preserve">Value 
(list in order and separate by comma) </t>
  </si>
  <si>
    <t>N/A Enabled</t>
  </si>
  <si>
    <t>Conditional Quesiton</t>
  </si>
  <si>
    <t xml:space="preserve">Conditional Information </t>
  </si>
  <si>
    <t>Comments Required</t>
  </si>
  <si>
    <t>Critical Question</t>
  </si>
  <si>
    <t>Fatal Quesiton</t>
  </si>
  <si>
    <t>Agent followed procedure xx</t>
  </si>
  <si>
    <t>Yes/No</t>
  </si>
  <si>
    <t>1,0</t>
  </si>
  <si>
    <t>Question group 2 Name</t>
  </si>
  <si>
    <t>Group 2 name</t>
  </si>
  <si>
    <t>Version</t>
  </si>
  <si>
    <t>Created On</t>
  </si>
  <si>
    <t>Created/Updated By</t>
  </si>
  <si>
    <t>Version Update Overview</t>
  </si>
  <si>
    <t>Column6</t>
  </si>
  <si>
    <t>BR1 EX</t>
  </si>
  <si>
    <t>BR1 TO</t>
  </si>
  <si>
    <t>BR1 Skills</t>
  </si>
  <si>
    <t>BR1 MG</t>
  </si>
  <si>
    <t>TIMEOUT_SECONDS</t>
  </si>
  <si>
    <t>test 1</t>
  </si>
  <si>
    <t>bigTest1:none,bigTest2:none</t>
  </si>
  <si>
    <t>BR1 SG</t>
  </si>
  <si>
    <t>test 1 = 1:Home</t>
  </si>
  <si>
    <t>queue</t>
  </si>
  <si>
    <t>acw</t>
  </si>
  <si>
    <t>inQueueFlow</t>
  </si>
  <si>
    <t>routingRules</t>
  </si>
  <si>
    <t>callScript</t>
  </si>
  <si>
    <t>groupRouting</t>
  </si>
  <si>
    <t>bullseye</t>
  </si>
  <si>
    <t>MemberGroups</t>
  </si>
  <si>
    <t>evaluation</t>
  </si>
  <si>
    <t>callerIDNum</t>
  </si>
  <si>
    <t>callerIDName</t>
  </si>
  <si>
    <t>alerting_timeout_seconds</t>
  </si>
  <si>
    <t>slPercentage</t>
  </si>
  <si>
    <t>slDuration_ms</t>
  </si>
  <si>
    <t>Home</t>
  </si>
  <si>
    <t>MANDATORY</t>
  </si>
  <si>
    <t>OPTIONAL</t>
  </si>
  <si>
    <t>MANDATORY_TIMEOUT</t>
  </si>
  <si>
    <t>MANDATORY_FORCED_TIMEOUT</t>
  </si>
  <si>
    <t>AGENT_REQUESTED</t>
  </si>
  <si>
    <t>h1</t>
  </si>
  <si>
    <t>h2</t>
  </si>
  <si>
    <t>h3</t>
  </si>
  <si>
    <t>h4</t>
  </si>
  <si>
    <t>h5</t>
  </si>
  <si>
    <t>ImportedQueue</t>
  </si>
  <si>
    <t>801 555-1234</t>
  </si>
  <si>
    <t>802 555-1234</t>
  </si>
  <si>
    <t>803 555-1234</t>
  </si>
  <si>
    <t>804 555-1234</t>
  </si>
  <si>
    <t>NONE</t>
  </si>
  <si>
    <t>BEST</t>
  </si>
  <si>
    <t>ALL</t>
  </si>
  <si>
    <t>EstimatedWaitTime</t>
  </si>
  <si>
    <t>GreaterThan</t>
  </si>
  <si>
    <t>bigTest3:none,bigTest4:none</t>
  </si>
  <si>
    <t>test 2|test 3</t>
  </si>
  <si>
    <t>bigTest5:none,bigTest6:none</t>
  </si>
  <si>
    <t>h6</t>
  </si>
  <si>
    <t>test 4</t>
  </si>
  <si>
    <t>test 1 = 2:Home</t>
  </si>
  <si>
    <t>test 1 = 3:Home</t>
  </si>
  <si>
    <t>1 CGR Metric</t>
  </si>
  <si>
    <t>1 CGR Operator</t>
  </si>
  <si>
    <t>1 CGR Wait Sec.</t>
  </si>
  <si>
    <t>1 CGR SG</t>
  </si>
  <si>
    <t>1 CGR MG</t>
  </si>
  <si>
    <t>2 CGR Metric</t>
  </si>
  <si>
    <t>3 CGR Metric</t>
  </si>
  <si>
    <t>4 CGR Metric</t>
  </si>
  <si>
    <t>5 CGR Metric</t>
  </si>
  <si>
    <t>6 CGR Metric</t>
  </si>
  <si>
    <t>2 CGR Operator</t>
  </si>
  <si>
    <t>3 CGR Operator</t>
  </si>
  <si>
    <t>4 CGR Operator</t>
  </si>
  <si>
    <t>5 CGR Operator</t>
  </si>
  <si>
    <t>6 CGR Operator</t>
  </si>
  <si>
    <t>2 CGR Value</t>
  </si>
  <si>
    <t>2 CGR Wait Sec.</t>
  </si>
  <si>
    <t>2 CGR SG</t>
  </si>
  <si>
    <t>2 CGR MG</t>
  </si>
  <si>
    <t>3 CGR Value</t>
  </si>
  <si>
    <t>3 CGR Wait Sec.</t>
  </si>
  <si>
    <t>3 CGR SG</t>
  </si>
  <si>
    <t>3 CGR MG</t>
  </si>
  <si>
    <t>4 CGR Value</t>
  </si>
  <si>
    <t>4 CGR Wait Sec.</t>
  </si>
  <si>
    <t>4 CGR SG</t>
  </si>
  <si>
    <t>4 CGR MG</t>
  </si>
  <si>
    <t>5 CGR Value</t>
  </si>
  <si>
    <t>5 CGR Wait Sec.</t>
  </si>
  <si>
    <t>5 CGR SG</t>
  </si>
  <si>
    <t>5 CGR MG</t>
  </si>
  <si>
    <t>6 CGR Value</t>
  </si>
  <si>
    <t>6 CGR Wait Sec.</t>
  </si>
  <si>
    <t>6 CGR SG</t>
  </si>
  <si>
    <t>6 CGR MG</t>
  </si>
  <si>
    <t>1 CGR Value</t>
  </si>
  <si>
    <t>1 BR EX</t>
  </si>
  <si>
    <t>1 BR TO</t>
  </si>
  <si>
    <t>1 BR Skills</t>
  </si>
  <si>
    <t>1 BR SG</t>
  </si>
  <si>
    <t>1 BR MG</t>
  </si>
  <si>
    <t>2 BR EX</t>
  </si>
  <si>
    <t>2 BR TO</t>
  </si>
  <si>
    <t>2 BR Skills</t>
  </si>
  <si>
    <t>2 BR SG</t>
  </si>
  <si>
    <t>2 BR MG</t>
  </si>
  <si>
    <t>3 BR EX</t>
  </si>
  <si>
    <t>3 BR TO</t>
  </si>
  <si>
    <t>3 BR Skills</t>
  </si>
  <si>
    <t>3 BR SG</t>
  </si>
  <si>
    <t>3 BR MG</t>
  </si>
  <si>
    <t>4 BR EX</t>
  </si>
  <si>
    <t>4 BR TO</t>
  </si>
  <si>
    <t>4 BR Skills</t>
  </si>
  <si>
    <t>4 BR SG</t>
  </si>
  <si>
    <t>4 BR MG</t>
  </si>
  <si>
    <t>5 BR EX</t>
  </si>
  <si>
    <t>5 BR TO</t>
  </si>
  <si>
    <t>5 BR Skills</t>
  </si>
  <si>
    <t>5 BR SG</t>
  </si>
  <si>
    <t>5 BR MG</t>
  </si>
  <si>
    <t>6 BR EX</t>
  </si>
  <si>
    <t>6 BR TO</t>
  </si>
  <si>
    <t>6 BR Skills</t>
  </si>
  <si>
    <t>6 BR SG</t>
  </si>
  <si>
    <t>6 BR 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</si>
</sst>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5">
    <font>
      <sz val="11"/>
      <color theme="1"/>
      <name val="Calibri"/>
      <family val="2"/>
      <scheme val="minor"/>
    </font>
    <font>
      <sz val="9"/>
      <color indexed="81"/>
      <name val="Tahoma"/>
      <family val="2"/>
    </font>
    <font>
      <b/>
      <sz val="9"/>
      <color indexed="81"/>
      <name val="Tahoma"/>
      <family val="2"/>
    </font>
    <font>
      <i/>
      <sz val="11"/>
      <color theme="0" tint="-0.499984740745262"/>
      <name val="Calibri"/>
      <family val="2"/>
      <scheme val="minor"/>
    </font>
    <font>
      <sz val="11"/>
      <color theme="1"/>
      <name val="Arial"/>
      <family val="2"/>
    </font>
    <font>
      <u/>
      <sz val="11"/>
      <color theme="10"/>
      <name val="Calibri"/>
      <family val="2"/>
      <scheme val="minor"/>
    </font>
    <font>
      <i/>
      <sz val="11"/>
      <color theme="0" tint="-0.499984740745262"/>
      <name val="Arial"/>
      <family val="2"/>
    </font>
    <font>
      <sz val="11"/>
      <color theme="1"/>
      <name val="Calibri"/>
      <family val="2"/>
      <scheme val="minor"/>
    </font>
    <font>
      <b/>
      <sz val="11"/>
      <color theme="0"/>
      <name val="Calibri"/>
      <family val="2"/>
      <scheme val="minor"/>
    </font>
    <font>
      <sz val="8"/>
      <name val="Calibri"/>
      <family val="2"/>
      <scheme val="minor"/>
    </font>
    <font>
      <b/>
      <sz val="11"/>
      <color theme="1"/>
      <name val="Calibri"/>
      <family val="2"/>
      <scheme val="minor"/>
    </font>
    <font>
      <sz val="10"/>
      <color theme="1"/>
      <name val="Calibri"/>
      <family val="2"/>
      <scheme val="minor"/>
    </font>
    <font>
      <sz val="11"/>
      <color theme="1" tint="0.499984740745262"/>
      <name val="Calibri"/>
      <family val="2"/>
      <scheme val="minor"/>
    </font>
    <font>
      <i/>
      <sz val="11"/>
      <color theme="1" tint="0.499984740745262"/>
      <name val="Calibri"/>
      <family val="2"/>
      <scheme val="minor"/>
    </font>
    <font>
      <sz val="10"/>
      <color theme="1" tint="0.499984740745262"/>
      <name val="Calibri"/>
      <family val="2"/>
      <scheme val="minor"/>
    </font>
    <font>
      <b/>
      <sz val="10"/>
      <color theme="1" tint="0.499984740745262"/>
      <name val="Calibri"/>
      <family val="2"/>
      <scheme val="minor"/>
    </font>
    <font>
      <i/>
      <sz val="10"/>
      <color theme="1" tint="0.499984740745262"/>
      <name val="Calibri"/>
      <family val="2"/>
      <scheme val="minor"/>
    </font>
    <font>
      <sz val="11"/>
      <color theme="0"/>
      <name val="Calibri"/>
      <family val="2"/>
      <scheme val="minor"/>
    </font>
    <font>
      <b/>
      <sz val="14"/>
      <color rgb="FFFFFFFF"/>
      <name val="Calibri"/>
      <family val="2"/>
      <scheme val="minor"/>
    </font>
    <font>
      <sz val="11"/>
      <name val="Calibri"/>
      <family val="2"/>
      <scheme val="minor"/>
    </font>
    <font>
      <b/>
      <sz val="14"/>
      <color theme="0"/>
      <name val="Calibri"/>
      <family val="2"/>
      <scheme val="minor"/>
    </font>
    <font>
      <i/>
      <sz val="11"/>
      <name val="Calibri"/>
      <family val="2"/>
      <scheme val="minor"/>
    </font>
    <font>
      <i/>
      <sz val="11"/>
      <color theme="1"/>
      <name val="Calibri"/>
      <family val="2"/>
      <scheme val="minor"/>
    </font>
    <font>
      <b/>
      <sz val="10"/>
      <color rgb="FF4E5054"/>
      <name val="Calibri"/>
      <family val="2"/>
      <scheme val="minor"/>
    </font>
    <font>
      <sz val="10"/>
      <color rgb="FF4E5054"/>
      <name val="Calibri"/>
      <family val="2"/>
      <scheme val="minor"/>
    </font>
    <font>
      <i/>
      <sz val="10"/>
      <color rgb="FF4E5054"/>
      <name val="Calibri"/>
      <family val="2"/>
      <scheme val="minor"/>
    </font>
    <font>
      <b/>
      <sz val="10"/>
      <color theme="1"/>
      <name val="Calibri"/>
      <family val="2"/>
      <scheme val="minor"/>
    </font>
    <font>
      <i/>
      <sz val="10"/>
      <color theme="1"/>
      <name val="Calibri"/>
      <family val="2"/>
      <scheme val="minor"/>
    </font>
    <font>
      <i/>
      <sz val="10"/>
      <color rgb="FFFF0000"/>
      <name val="Calibri"/>
      <family val="2"/>
      <scheme val="minor"/>
    </font>
    <font>
      <b/>
      <sz val="10"/>
      <color theme="0"/>
      <name val="Calibri"/>
      <family val="2"/>
      <scheme val="minor"/>
    </font>
    <font>
      <i/>
      <sz val="8"/>
      <color theme="1" tint="0.499984740745262"/>
      <name val="Calibri"/>
      <family val="2"/>
      <scheme val="minor"/>
    </font>
    <font>
      <sz val="8"/>
      <color theme="1" tint="0.499984740745262"/>
      <name val="Calibri"/>
      <family val="2"/>
      <scheme val="minor"/>
    </font>
    <font>
      <b/>
      <sz val="8"/>
      <color theme="1" tint="0.499984740745262"/>
      <name val="Calibri"/>
      <family val="2"/>
      <scheme val="minor"/>
    </font>
    <font>
      <sz val="8"/>
      <color theme="1"/>
      <name val="Calibri"/>
      <family val="2"/>
      <scheme val="minor"/>
    </font>
    <font>
      <sz val="11"/>
      <color theme="1"/>
      <name val="Calibri"/>
      <family val="2"/>
    </font>
    <font>
      <sz val="9"/>
      <color rgb="FF8C8C8C"/>
      <name val="Roboto"/>
      <family val="2"/>
      <charset val="1"/>
    </font>
    <font>
      <sz val="11"/>
      <color rgb="FF444A52"/>
      <name val="Calibri"/>
      <family val="2"/>
      <scheme val="minor"/>
    </font>
    <font>
      <sz val="11"/>
      <color rgb="FF000000"/>
      <name val="Calibri"/>
      <family val="2"/>
      <scheme val="minor"/>
    </font>
    <font>
      <sz val="11"/>
      <color theme="1"/>
      <name val="Effra"/>
      <family val="2"/>
    </font>
    <font>
      <u/>
      <sz val="11"/>
      <color theme="10"/>
      <name val="Effra"/>
      <family val="2"/>
    </font>
    <font>
      <sz val="11"/>
      <color rgb="FF000000"/>
      <name val="Calibri"/>
      <family val="2"/>
    </font>
    <font>
      <sz val="11"/>
      <color theme="1"/>
      <name val="Tahoma"/>
      <family val="2"/>
      <charset val="1"/>
    </font>
    <font>
      <b/>
      <sz val="11"/>
      <color rgb="FF000000"/>
      <name val="Calibri"/>
      <family val="2"/>
      <scheme val="minor"/>
    </font>
    <font>
      <sz val="11"/>
      <color rgb="FF000000"/>
      <name val="Calibri"/>
      <family val="2"/>
      <scheme val="minor"/>
    </font>
    <font>
      <strike/>
      <sz val="11"/>
      <color theme="1"/>
      <name val="Calibri"/>
      <family val="2"/>
      <scheme val="minor"/>
    </font>
    <font>
      <sz val="11"/>
      <color rgb="FFFF0000"/>
      <name val="Calibri"/>
      <family val="2"/>
      <scheme val="minor"/>
    </font>
    <font>
      <sz val="18"/>
      <color theme="1"/>
      <name val="Calibri"/>
      <family val="2"/>
      <scheme val="minor"/>
    </font>
    <font>
      <sz val="10"/>
      <color rgb="FF0C0D0E"/>
      <name val="Var(--Ff-Mono)"/>
    </font>
    <font>
      <strike/>
      <sz val="11"/>
      <color rgb="FF000000"/>
      <name val="Calibri"/>
      <family val="2"/>
    </font>
    <font>
      <i/>
      <strike/>
      <sz val="11"/>
      <color theme="1"/>
      <name val="Calibri"/>
      <family val="2"/>
      <scheme val="minor"/>
    </font>
    <font>
      <i/>
      <strike/>
      <sz val="11"/>
      <color rgb="FF000000"/>
      <name val="Calibri"/>
      <family val="2"/>
    </font>
    <font>
      <strike/>
      <sz val="11"/>
      <color rgb="FF444444"/>
      <name val="Aptos Narrow"/>
      <family val="2"/>
    </font>
    <font>
      <sz val="11"/>
      <color rgb="FF000000"/>
      <name val="Effra"/>
      <family val="2"/>
    </font>
    <font>
      <sz val="11"/>
      <color rgb="FF242424"/>
      <name val="Aptos Narrow"/>
      <family val="2"/>
    </font>
    <font>
      <b/>
      <sz val="9"/>
      <color rgb="FF22A06B"/>
      <name val="Segoe UI"/>
      <family val="2"/>
    </font>
  </fonts>
  <fills count="35">
    <fill>
      <patternFill patternType="none"/>
    </fill>
    <fill>
      <patternFill patternType="gray125"/>
    </fill>
    <fill>
      <patternFill patternType="solid">
        <fgColor theme="0"/>
        <bgColor indexed="64"/>
      </patternFill>
    </fill>
    <fill>
      <patternFill patternType="solid">
        <fgColor rgb="FFA5A5A5"/>
      </patternFill>
    </fill>
    <fill>
      <patternFill patternType="solid">
        <fgColor theme="5" tint="0.79998168889431442"/>
        <bgColor indexed="65"/>
      </patternFill>
    </fill>
    <fill>
      <patternFill patternType="solid">
        <fgColor theme="6" tint="0.79998168889431442"/>
        <bgColor theme="6" tint="0.79998168889431442"/>
      </patternFill>
    </fill>
    <fill>
      <patternFill patternType="solid">
        <fgColor rgb="FFEDEDED"/>
        <bgColor indexed="64"/>
      </patternFill>
    </fill>
    <fill>
      <patternFill patternType="solid">
        <fgColor rgb="FFFF4F1F"/>
        <bgColor indexed="64"/>
      </patternFill>
    </fill>
    <fill>
      <patternFill patternType="solid">
        <fgColor rgb="FFFF4F1F"/>
        <bgColor rgb="FF000000"/>
      </patternFill>
    </fill>
    <fill>
      <patternFill patternType="solid">
        <fgColor theme="2"/>
        <bgColor indexed="64"/>
      </patternFill>
    </fill>
    <fill>
      <patternFill patternType="solid">
        <fgColor theme="2"/>
        <bgColor theme="6" tint="0.59999389629810485"/>
      </patternFill>
    </fill>
    <fill>
      <patternFill patternType="solid">
        <fgColor theme="2"/>
        <bgColor theme="6" tint="0.79998168889431442"/>
      </patternFill>
    </fill>
    <fill>
      <patternFill patternType="solid">
        <fgColor theme="0"/>
        <bgColor theme="6" tint="0.59999389629810485"/>
      </patternFill>
    </fill>
    <fill>
      <patternFill patternType="solid">
        <fgColor theme="0"/>
        <bgColor theme="6" tint="0.79998168889431442"/>
      </patternFill>
    </fill>
    <fill>
      <patternFill patternType="solid">
        <fgColor rgb="FFFF4F1F"/>
        <bgColor theme="6"/>
      </patternFill>
    </fill>
    <fill>
      <patternFill patternType="solid">
        <fgColor rgb="FFFF4F1F"/>
        <bgColor theme="6" tint="0.79998168889431442"/>
      </patternFill>
    </fill>
    <fill>
      <patternFill patternType="solid">
        <fgColor rgb="FFFDFCEB"/>
        <bgColor indexed="64"/>
      </patternFill>
    </fill>
    <fill>
      <patternFill patternType="solid">
        <fgColor theme="1"/>
        <bgColor indexed="64"/>
      </patternFill>
    </fill>
    <fill>
      <patternFill patternType="solid">
        <fgColor theme="4"/>
        <bgColor indexed="64"/>
      </patternFill>
    </fill>
    <fill>
      <patternFill patternType="solid">
        <fgColor rgb="FF00B050"/>
        <bgColor indexed="64"/>
      </patternFill>
    </fill>
    <fill>
      <patternFill patternType="solid">
        <fgColor theme="6"/>
        <bgColor indexed="64"/>
      </patternFill>
    </fill>
    <fill>
      <patternFill patternType="solid">
        <fgColor theme="5" tint="-0.249977111117893"/>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rgb="FFFFC000"/>
        <bgColor indexed="64"/>
      </patternFill>
    </fill>
    <fill>
      <patternFill patternType="solid">
        <fgColor rgb="FF92D050"/>
        <bgColor indexed="64"/>
      </patternFill>
    </fill>
    <fill>
      <patternFill patternType="solid">
        <fgColor theme="4" tint="0.59999389629810485"/>
        <bgColor indexed="64"/>
      </patternFill>
    </fill>
    <fill>
      <patternFill patternType="solid">
        <fgColor rgb="FFFF0000"/>
        <bgColor indexed="64"/>
      </patternFill>
    </fill>
    <fill>
      <patternFill patternType="solid">
        <fgColor theme="4" tint="-0.249977111117893"/>
        <bgColor indexed="64"/>
      </patternFill>
    </fill>
    <fill>
      <patternFill patternType="solid">
        <fgColor rgb="FF7030A0"/>
        <bgColor indexed="64"/>
      </patternFill>
    </fill>
    <fill>
      <patternFill patternType="solid">
        <fgColor rgb="FF00B0F0"/>
        <bgColor indexed="64"/>
      </patternFill>
    </fill>
    <fill>
      <patternFill patternType="solid">
        <fgColor theme="8" tint="-0.249977111117893"/>
        <bgColor indexed="64"/>
      </patternFill>
    </fill>
    <fill>
      <patternFill patternType="solid">
        <fgColor theme="6" tint="-0.249977111117893"/>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diagonal/>
    </border>
    <border>
      <left style="thin">
        <color theme="0" tint="-0.14999847407452621"/>
      </left>
      <right style="thin">
        <color theme="0" tint="-0.14999847407452621"/>
      </right>
      <top/>
      <bottom style="thin">
        <color theme="0" tint="-0.14999847407452621"/>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double">
        <color rgb="FF3F3F3F"/>
      </left>
      <right style="double">
        <color rgb="FF3F3F3F"/>
      </right>
      <top style="double">
        <color rgb="FF3F3F3F"/>
      </top>
      <bottom style="double">
        <color rgb="FF3F3F3F"/>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style="thin">
        <color theme="0" tint="-0.249977111117893"/>
      </right>
      <top style="thin">
        <color indexed="64"/>
      </top>
      <bottom style="thin">
        <color theme="0" tint="-0.249977111117893"/>
      </bottom>
      <diagonal/>
    </border>
    <border>
      <left style="thin">
        <color theme="0" tint="-0.249977111117893"/>
      </left>
      <right/>
      <top/>
      <bottom/>
      <diagonal/>
    </border>
    <border>
      <left/>
      <right style="thin">
        <color theme="6" tint="0.39997558519241921"/>
      </right>
      <top style="thin">
        <color theme="6" tint="0.39997558519241921"/>
      </top>
      <bottom style="thin">
        <color theme="6" tint="0.39997558519241921"/>
      </bottom>
      <diagonal/>
    </border>
    <border>
      <left style="thin">
        <color theme="0" tint="-0.249977111117893"/>
      </left>
      <right style="thin">
        <color theme="0" tint="-0.249977111117893"/>
      </right>
      <top style="thin">
        <color indexed="64"/>
      </top>
      <bottom/>
      <diagonal/>
    </border>
    <border>
      <left style="thin">
        <color theme="0" tint="-0.499984740745262"/>
      </left>
      <right style="thin">
        <color theme="0" tint="-0.499984740745262"/>
      </right>
      <top/>
      <bottom style="thin">
        <color theme="0" tint="-0.499984740745262"/>
      </bottom>
      <diagonal/>
    </border>
    <border>
      <left/>
      <right style="thin">
        <color theme="0" tint="-0.499984740745262"/>
      </right>
      <top style="thin">
        <color theme="0" tint="-0.499984740745262"/>
      </top>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style="thin">
        <color theme="0" tint="-0.499984740745262"/>
      </right>
      <top/>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diagonal/>
    </border>
    <border>
      <left/>
      <right/>
      <top/>
      <bottom style="thin">
        <color theme="0" tint="-0.499984740745262"/>
      </bottom>
      <diagonal/>
    </border>
    <border>
      <left style="thin">
        <color indexed="64"/>
      </left>
      <right/>
      <top/>
      <bottom style="thin">
        <color indexed="64"/>
      </bottom>
      <diagonal/>
    </border>
    <border>
      <left style="thin">
        <color theme="0" tint="-0.249977111117893"/>
      </left>
      <right style="thin">
        <color theme="0" tint="-0.249977111117893"/>
      </right>
      <top/>
      <bottom style="thin">
        <color rgb="FFBFBFBF"/>
      </bottom>
      <diagonal/>
    </border>
    <border>
      <left style="thin">
        <color theme="0" tint="-0.249977111117893"/>
      </left>
      <right/>
      <top style="thin">
        <color theme="0" tint="-0.249977111117893"/>
      </top>
      <bottom/>
      <diagonal/>
    </border>
    <border>
      <left/>
      <right/>
      <top style="thin">
        <color theme="0" tint="-0.249977111117893"/>
      </top>
      <bottom/>
      <diagonal/>
    </border>
    <border>
      <left/>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theme="0" tint="-0.249977111117893"/>
      </left>
      <right style="thin">
        <color theme="0" tint="-0.249977111117893"/>
      </right>
      <top style="thin">
        <color theme="0" tint="-0.249977111117893"/>
      </top>
      <bottom/>
      <diagonal/>
    </border>
    <border>
      <left style="medium">
        <color rgb="FF000000"/>
      </left>
      <right/>
      <top/>
      <bottom/>
      <diagonal/>
    </border>
    <border>
      <left/>
      <right style="medium">
        <color rgb="FF000000"/>
      </right>
      <top/>
      <bottom/>
      <diagonal/>
    </border>
    <border>
      <left style="medium">
        <color rgb="FF000000"/>
      </left>
      <right style="thin">
        <color theme="0" tint="-0.249977111117893"/>
      </right>
      <top style="thin">
        <color theme="0" tint="-0.249977111117893"/>
      </top>
      <bottom style="medium">
        <color rgb="FF000000"/>
      </bottom>
      <diagonal/>
    </border>
    <border>
      <left style="thin">
        <color rgb="FF000000"/>
      </left>
      <right style="thin">
        <color rgb="FF000000"/>
      </right>
      <top style="thin">
        <color rgb="FF000000"/>
      </top>
      <bottom style="thin">
        <color rgb="FF000000"/>
      </bottom>
      <diagonal/>
    </border>
    <border>
      <left/>
      <right/>
      <top/>
      <bottom style="thin">
        <color theme="0" tint="-0.249977111117893"/>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6">
    <xf numFmtId="0" fontId="0" fillId="0" borderId="0"/>
    <xf numFmtId="0" fontId="5" fillId="0" borderId="0" applyNumberFormat="0" applyFill="0" applyBorder="0" applyAlignment="0" applyProtection="0"/>
    <xf numFmtId="0" fontId="8" fillId="3" borderId="8" applyNumberFormat="0" applyAlignment="0" applyProtection="0"/>
    <xf numFmtId="0" fontId="7" fillId="4" borderId="0" applyNumberFormat="0" applyBorder="0" applyAlignment="0" applyProtection="0"/>
    <xf numFmtId="0" fontId="38" fillId="0" borderId="0"/>
    <xf numFmtId="0" fontId="39" fillId="0" borderId="0" applyNumberFormat="0" applyFill="0" applyBorder="0" applyAlignment="0" applyProtection="0"/>
  </cellStyleXfs>
  <cellXfs count="272">
    <xf numFmtId="0" fontId="0" fillId="0" borderId="0" xfId="0"/>
    <xf numFmtId="0" fontId="3" fillId="0" borderId="0" xfId="0" applyFont="1" applyAlignment="1">
      <alignment horizontal="center" wrapText="1"/>
    </xf>
    <xf numFmtId="0" fontId="6" fillId="0" borderId="0" xfId="0" applyFont="1"/>
    <xf numFmtId="0" fontId="4" fillId="0" borderId="0" xfId="0" applyFont="1"/>
    <xf numFmtId="0" fontId="4" fillId="0" borderId="0" xfId="0" applyFont="1" applyAlignment="1">
      <alignment wrapText="1"/>
    </xf>
    <xf numFmtId="0" fontId="5" fillId="0" borderId="0" xfId="1"/>
    <xf numFmtId="0" fontId="0" fillId="5" borderId="15" xfId="0" applyFill="1" applyBorder="1" applyAlignment="1">
      <alignment horizontal="center" wrapText="1"/>
    </xf>
    <xf numFmtId="0" fontId="12" fillId="0" borderId="0" xfId="0" applyFont="1"/>
    <xf numFmtId="0" fontId="12" fillId="0" borderId="0" xfId="0" applyFont="1" applyAlignment="1">
      <alignment horizontal="left" vertical="center" wrapText="1"/>
    </xf>
    <xf numFmtId="0" fontId="12" fillId="0" borderId="0" xfId="0" applyFont="1" applyAlignment="1">
      <alignment wrapText="1"/>
    </xf>
    <xf numFmtId="0" fontId="13" fillId="0" borderId="0" xfId="0" applyFont="1"/>
    <xf numFmtId="49" fontId="11" fillId="6" borderId="26" xfId="0" applyNumberFormat="1" applyFont="1" applyFill="1" applyBorder="1" applyAlignment="1">
      <alignment vertical="center"/>
    </xf>
    <xf numFmtId="49" fontId="14" fillId="0" borderId="26" xfId="0" applyNumberFormat="1" applyFont="1" applyBorder="1" applyAlignment="1">
      <alignment vertical="center"/>
    </xf>
    <xf numFmtId="49" fontId="14" fillId="6" borderId="26" xfId="0" applyNumberFormat="1" applyFont="1" applyFill="1" applyBorder="1" applyAlignment="1">
      <alignment vertical="center" wrapText="1"/>
    </xf>
    <xf numFmtId="49" fontId="14" fillId="6" borderId="26" xfId="0" applyNumberFormat="1" applyFont="1" applyFill="1" applyBorder="1" applyAlignment="1">
      <alignment vertical="center"/>
    </xf>
    <xf numFmtId="0" fontId="0" fillId="7" borderId="0" xfId="0" applyFill="1"/>
    <xf numFmtId="0" fontId="18" fillId="8" borderId="9" xfId="0" applyFont="1" applyFill="1" applyBorder="1" applyAlignment="1">
      <alignment vertical="center"/>
    </xf>
    <xf numFmtId="0" fontId="17" fillId="7" borderId="0" xfId="0" applyFont="1" applyFill="1"/>
    <xf numFmtId="0" fontId="18" fillId="8" borderId="29" xfId="0" applyFont="1" applyFill="1" applyBorder="1" applyAlignment="1">
      <alignment vertical="center"/>
    </xf>
    <xf numFmtId="0" fontId="17" fillId="7" borderId="9" xfId="0" applyFont="1" applyFill="1" applyBorder="1"/>
    <xf numFmtId="0" fontId="8" fillId="7" borderId="13" xfId="0" applyFont="1" applyFill="1" applyBorder="1" applyAlignment="1">
      <alignment horizontal="center" vertical="center" wrapText="1"/>
    </xf>
    <xf numFmtId="0" fontId="8" fillId="7" borderId="13" xfId="0" applyFont="1" applyFill="1" applyBorder="1" applyAlignment="1">
      <alignment horizontal="left" vertical="center" wrapText="1"/>
    </xf>
    <xf numFmtId="0" fontId="0" fillId="2" borderId="0" xfId="0" applyFill="1"/>
    <xf numFmtId="0" fontId="20" fillId="7" borderId="9" xfId="0" applyFont="1" applyFill="1" applyBorder="1" applyAlignment="1">
      <alignment vertical="center" wrapText="1"/>
    </xf>
    <xf numFmtId="0" fontId="20" fillId="7" borderId="0" xfId="0" applyFont="1" applyFill="1" applyAlignment="1">
      <alignment vertical="center" wrapText="1"/>
    </xf>
    <xf numFmtId="0" fontId="8" fillId="7" borderId="1" xfId="0" applyFont="1" applyFill="1" applyBorder="1" applyAlignment="1">
      <alignment vertical="center" wrapText="1"/>
    </xf>
    <xf numFmtId="0" fontId="3" fillId="0" borderId="0" xfId="0" applyFont="1" applyAlignment="1">
      <alignment wrapText="1"/>
    </xf>
    <xf numFmtId="0" fontId="5" fillId="0" borderId="0" xfId="1" applyAlignment="1">
      <alignment wrapText="1"/>
    </xf>
    <xf numFmtId="0" fontId="3" fillId="0" borderId="0" xfId="0" applyFont="1"/>
    <xf numFmtId="0" fontId="0" fillId="0" borderId="0" xfId="0" applyAlignment="1">
      <alignment horizontal="left" vertical="center" wrapText="1"/>
    </xf>
    <xf numFmtId="0" fontId="0" fillId="0" borderId="0" xfId="0" applyAlignment="1">
      <alignment wrapText="1"/>
    </xf>
    <xf numFmtId="0" fontId="0" fillId="0" borderId="0" xfId="0" applyAlignment="1">
      <alignment vertical="top" wrapText="1"/>
    </xf>
    <xf numFmtId="0" fontId="18" fillId="8" borderId="9" xfId="0" applyFont="1" applyFill="1" applyBorder="1" applyAlignment="1">
      <alignment vertical="center" wrapText="1"/>
    </xf>
    <xf numFmtId="0" fontId="8" fillId="7" borderId="16" xfId="0" applyFont="1" applyFill="1" applyBorder="1" applyAlignment="1">
      <alignment horizontal="center" vertical="center" wrapText="1"/>
    </xf>
    <xf numFmtId="0" fontId="0" fillId="0" borderId="0" xfId="0" quotePrefix="1" applyAlignment="1">
      <alignment horizontal="left" vertical="center"/>
    </xf>
    <xf numFmtId="0" fontId="0" fillId="0" borderId="0" xfId="0" applyAlignment="1">
      <alignment horizontal="left" vertical="center"/>
    </xf>
    <xf numFmtId="49" fontId="23" fillId="6" borderId="22" xfId="0" applyNumberFormat="1" applyFont="1" applyFill="1" applyBorder="1" applyAlignment="1">
      <alignment horizontal="left" vertical="center" wrapText="1"/>
    </xf>
    <xf numFmtId="49" fontId="23" fillId="0" borderId="22" xfId="0" applyNumberFormat="1" applyFont="1" applyBorder="1" applyAlignment="1">
      <alignment horizontal="left" vertical="center" wrapText="1"/>
    </xf>
    <xf numFmtId="49" fontId="24" fillId="6" borderId="26" xfId="0" applyNumberFormat="1" applyFont="1" applyFill="1" applyBorder="1" applyAlignment="1">
      <alignment vertical="center" wrapText="1"/>
    </xf>
    <xf numFmtId="49" fontId="24" fillId="6" borderId="23" xfId="0" applyNumberFormat="1" applyFont="1" applyFill="1" applyBorder="1" applyAlignment="1">
      <alignment vertical="center" wrapText="1"/>
    </xf>
    <xf numFmtId="49" fontId="24" fillId="0" borderId="26" xfId="0" applyNumberFormat="1" applyFont="1" applyBorder="1" applyAlignment="1">
      <alignment vertical="center" wrapText="1"/>
    </xf>
    <xf numFmtId="49" fontId="24" fillId="0" borderId="23" xfId="0" applyNumberFormat="1" applyFont="1" applyBorder="1" applyAlignment="1">
      <alignment vertical="center" wrapText="1"/>
    </xf>
    <xf numFmtId="49" fontId="23" fillId="6" borderId="18" xfId="0" applyNumberFormat="1" applyFont="1" applyFill="1" applyBorder="1" applyAlignment="1">
      <alignment vertical="center" wrapText="1"/>
    </xf>
    <xf numFmtId="49" fontId="24" fillId="6" borderId="26" xfId="0" applyNumberFormat="1" applyFont="1" applyFill="1" applyBorder="1" applyAlignment="1">
      <alignment horizontal="left" vertical="center" wrapText="1"/>
    </xf>
    <xf numFmtId="49" fontId="24" fillId="6" borderId="23" xfId="0" applyNumberFormat="1" applyFont="1" applyFill="1" applyBorder="1" applyAlignment="1">
      <alignment horizontal="left" vertical="center" wrapText="1"/>
    </xf>
    <xf numFmtId="0" fontId="8" fillId="7" borderId="11" xfId="0" applyFont="1" applyFill="1" applyBorder="1" applyAlignment="1">
      <alignment horizontal="center" vertical="center" wrapText="1"/>
    </xf>
    <xf numFmtId="0" fontId="0" fillId="0" borderId="0" xfId="0" applyAlignment="1">
      <alignment horizontal="center" wrapText="1"/>
    </xf>
    <xf numFmtId="0" fontId="0" fillId="0" borderId="15" xfId="0" applyBorder="1"/>
    <xf numFmtId="0" fontId="0" fillId="5" borderId="15" xfId="0" applyFill="1" applyBorder="1"/>
    <xf numFmtId="0" fontId="18" fillId="8" borderId="0" xfId="0" applyFont="1" applyFill="1" applyAlignment="1">
      <alignment vertical="center"/>
    </xf>
    <xf numFmtId="0" fontId="0" fillId="0" borderId="0" xfId="0" applyAlignment="1">
      <alignment horizontal="center"/>
    </xf>
    <xf numFmtId="0" fontId="0" fillId="0" borderId="0" xfId="0" applyAlignment="1">
      <alignment horizontal="left"/>
    </xf>
    <xf numFmtId="0" fontId="18" fillId="8" borderId="0" xfId="0" applyFont="1" applyFill="1" applyAlignment="1">
      <alignment vertical="center" wrapText="1"/>
    </xf>
    <xf numFmtId="0" fontId="11" fillId="0" borderId="0" xfId="0" applyFont="1" applyAlignment="1">
      <alignment vertical="center"/>
    </xf>
    <xf numFmtId="0" fontId="26" fillId="0" borderId="0" xfId="0" applyFont="1" applyAlignment="1">
      <alignment vertical="center"/>
    </xf>
    <xf numFmtId="0" fontId="0" fillId="6" borderId="17" xfId="0" applyFill="1" applyBorder="1" applyAlignment="1">
      <alignment horizontal="left" vertical="center" wrapText="1"/>
    </xf>
    <xf numFmtId="0" fontId="0" fillId="0" borderId="17" xfId="0" applyBorder="1" applyAlignment="1">
      <alignment horizontal="left" vertical="center" wrapText="1"/>
    </xf>
    <xf numFmtId="0" fontId="12" fillId="0" borderId="17" xfId="0" applyFont="1" applyBorder="1" applyAlignment="1">
      <alignment horizontal="left" vertical="center" wrapText="1"/>
    </xf>
    <xf numFmtId="0" fontId="0" fillId="0" borderId="22" xfId="0" applyBorder="1" applyAlignment="1">
      <alignment horizontal="left" vertical="center" wrapText="1"/>
    </xf>
    <xf numFmtId="0" fontId="12" fillId="0" borderId="22" xfId="0" applyFont="1" applyBorder="1" applyAlignment="1">
      <alignment horizontal="left" vertical="center" wrapText="1"/>
    </xf>
    <xf numFmtId="0" fontId="0" fillId="6" borderId="22" xfId="0" applyFill="1" applyBorder="1" applyAlignment="1">
      <alignment horizontal="left" vertical="center" wrapText="1"/>
    </xf>
    <xf numFmtId="0" fontId="12" fillId="6" borderId="22" xfId="0" applyFont="1" applyFill="1" applyBorder="1" applyAlignment="1">
      <alignment horizontal="left" vertical="center" wrapText="1"/>
    </xf>
    <xf numFmtId="0" fontId="0" fillId="0" borderId="10" xfId="0" applyBorder="1"/>
    <xf numFmtId="0" fontId="0" fillId="9" borderId="0" xfId="0" applyFill="1"/>
    <xf numFmtId="0" fontId="8" fillId="7" borderId="6" xfId="0" applyFont="1" applyFill="1" applyBorder="1" applyAlignment="1">
      <alignment vertical="center"/>
    </xf>
    <xf numFmtId="0" fontId="29" fillId="7" borderId="3" xfId="0" applyFont="1" applyFill="1" applyBorder="1" applyAlignment="1">
      <alignment horizontal="center" vertical="center" wrapText="1"/>
    </xf>
    <xf numFmtId="0" fontId="29" fillId="7" borderId="5" xfId="0" applyFont="1" applyFill="1" applyBorder="1" applyAlignment="1">
      <alignment horizontal="left" vertical="center"/>
    </xf>
    <xf numFmtId="0" fontId="29" fillId="7" borderId="4" xfId="0" applyFont="1" applyFill="1" applyBorder="1" applyAlignment="1">
      <alignment horizontal="center" vertical="center" wrapText="1"/>
    </xf>
    <xf numFmtId="0" fontId="8" fillId="7" borderId="10" xfId="0" applyFont="1" applyFill="1" applyBorder="1"/>
    <xf numFmtId="14" fontId="0" fillId="0" borderId="10" xfId="0" applyNumberFormat="1" applyBorder="1"/>
    <xf numFmtId="0" fontId="0" fillId="0" borderId="10" xfId="0" applyBorder="1" applyAlignment="1">
      <alignment wrapText="1"/>
    </xf>
    <xf numFmtId="0" fontId="0" fillId="10" borderId="10" xfId="3" applyFont="1" applyFill="1" applyBorder="1" applyAlignment="1">
      <alignment horizontal="left"/>
    </xf>
    <xf numFmtId="0" fontId="8" fillId="7" borderId="1" xfId="2" applyFill="1" applyBorder="1" applyAlignment="1">
      <alignment horizontal="left"/>
    </xf>
    <xf numFmtId="0" fontId="8" fillId="14" borderId="10" xfId="2" applyFill="1" applyBorder="1" applyAlignment="1">
      <alignment horizontal="left"/>
    </xf>
    <xf numFmtId="0" fontId="8" fillId="7" borderId="1" xfId="0" applyFont="1" applyFill="1" applyBorder="1" applyAlignment="1">
      <alignment horizontal="left" vertical="center" wrapText="1"/>
    </xf>
    <xf numFmtId="0" fontId="8" fillId="7" borderId="2" xfId="0" applyFont="1" applyFill="1" applyBorder="1" applyAlignment="1">
      <alignment horizontal="left" vertical="center" wrapText="1"/>
    </xf>
    <xf numFmtId="0" fontId="8" fillId="7" borderId="0" xfId="0" applyFont="1" applyFill="1" applyAlignment="1">
      <alignment vertical="center" wrapText="1"/>
    </xf>
    <xf numFmtId="0" fontId="30" fillId="12" borderId="10" xfId="3" applyFont="1" applyFill="1" applyBorder="1" applyAlignment="1">
      <alignment horizontal="left" wrapText="1"/>
    </xf>
    <xf numFmtId="0" fontId="31" fillId="13" borderId="10" xfId="3" applyFont="1" applyFill="1" applyBorder="1" applyAlignment="1">
      <alignment horizontal="left" wrapText="1"/>
    </xf>
    <xf numFmtId="0" fontId="31" fillId="12" borderId="10" xfId="3" applyFont="1" applyFill="1" applyBorder="1" applyAlignment="1">
      <alignment horizontal="left" wrapText="1"/>
    </xf>
    <xf numFmtId="0" fontId="31" fillId="0" borderId="0" xfId="0" applyFont="1" applyAlignment="1">
      <alignment wrapText="1"/>
    </xf>
    <xf numFmtId="0" fontId="32" fillId="13" borderId="10" xfId="3" applyFont="1" applyFill="1" applyBorder="1" applyAlignment="1">
      <alignment horizontal="left" wrapText="1"/>
    </xf>
    <xf numFmtId="0" fontId="31" fillId="0" borderId="0" xfId="0" applyFont="1" applyAlignment="1">
      <alignment vertical="center" wrapText="1"/>
    </xf>
    <xf numFmtId="0" fontId="33" fillId="7" borderId="0" xfId="0" applyFont="1" applyFill="1"/>
    <xf numFmtId="0" fontId="31" fillId="7" borderId="0" xfId="0" applyFont="1" applyFill="1" applyAlignment="1">
      <alignment wrapText="1"/>
    </xf>
    <xf numFmtId="0" fontId="21" fillId="10" borderId="10" xfId="3" applyFont="1" applyFill="1" applyBorder="1" applyAlignment="1">
      <alignment horizontal="left" vertical="center"/>
    </xf>
    <xf numFmtId="0" fontId="19" fillId="11" borderId="10" xfId="3" applyFont="1" applyFill="1" applyBorder="1" applyAlignment="1">
      <alignment horizontal="left" vertical="center"/>
    </xf>
    <xf numFmtId="0" fontId="19" fillId="10" borderId="10" xfId="3" applyFont="1" applyFill="1" applyBorder="1" applyAlignment="1">
      <alignment horizontal="left" vertical="center"/>
    </xf>
    <xf numFmtId="0" fontId="0" fillId="10" borderId="10" xfId="3" applyFont="1" applyFill="1" applyBorder="1" applyAlignment="1">
      <alignment horizontal="left" vertical="center"/>
    </xf>
    <xf numFmtId="0" fontId="17" fillId="15" borderId="10" xfId="3" applyFont="1" applyFill="1" applyBorder="1" applyAlignment="1">
      <alignment horizontal="left"/>
    </xf>
    <xf numFmtId="0" fontId="34" fillId="0" borderId="0" xfId="0" applyFont="1"/>
    <xf numFmtId="0" fontId="8" fillId="7" borderId="30" xfId="0" applyFont="1" applyFill="1" applyBorder="1" applyAlignment="1">
      <alignment horizontal="center" vertical="center" wrapText="1"/>
    </xf>
    <xf numFmtId="0" fontId="35" fillId="0" borderId="0" xfId="0" applyFont="1"/>
    <xf numFmtId="0" fontId="35" fillId="0" borderId="0" xfId="0" applyFont="1" applyAlignment="1">
      <alignment wrapText="1"/>
    </xf>
    <xf numFmtId="0" fontId="36" fillId="0" borderId="0" xfId="0" applyFont="1"/>
    <xf numFmtId="0" fontId="34" fillId="7" borderId="0" xfId="0" applyFont="1" applyFill="1"/>
    <xf numFmtId="0" fontId="0" fillId="2" borderId="33" xfId="0" applyFill="1" applyBorder="1"/>
    <xf numFmtId="0" fontId="19" fillId="10" borderId="11" xfId="3" applyFont="1" applyFill="1" applyBorder="1" applyAlignment="1">
      <alignment horizontal="left" vertical="center"/>
    </xf>
    <xf numFmtId="0" fontId="37" fillId="0" borderId="0" xfId="0" applyFont="1"/>
    <xf numFmtId="0" fontId="37" fillId="0" borderId="34" xfId="0" applyFont="1" applyBorder="1"/>
    <xf numFmtId="0" fontId="35" fillId="0" borderId="35" xfId="0" applyFont="1" applyBorder="1"/>
    <xf numFmtId="0" fontId="0" fillId="0" borderId="35" xfId="0" applyBorder="1"/>
    <xf numFmtId="0" fontId="0" fillId="0" borderId="36" xfId="0" applyBorder="1"/>
    <xf numFmtId="0" fontId="37" fillId="0" borderId="37" xfId="0" applyFont="1" applyBorder="1"/>
    <xf numFmtId="0" fontId="36" fillId="0" borderId="38" xfId="0" applyFont="1" applyBorder="1"/>
    <xf numFmtId="0" fontId="35" fillId="0" borderId="38" xfId="0" applyFont="1" applyBorder="1" applyAlignment="1">
      <alignment wrapText="1"/>
    </xf>
    <xf numFmtId="0" fontId="0" fillId="0" borderId="39" xfId="0" applyBorder="1"/>
    <xf numFmtId="0" fontId="19" fillId="11" borderId="40" xfId="3" applyFont="1" applyFill="1" applyBorder="1" applyAlignment="1">
      <alignment horizontal="left" vertical="center"/>
    </xf>
    <xf numFmtId="0" fontId="37" fillId="0" borderId="41" xfId="0" applyFont="1" applyBorder="1"/>
    <xf numFmtId="0" fontId="0" fillId="0" borderId="42" xfId="0" applyBorder="1"/>
    <xf numFmtId="0" fontId="19" fillId="11" borderId="43" xfId="3" applyFont="1" applyFill="1" applyBorder="1" applyAlignment="1">
      <alignment horizontal="left" vertical="center"/>
    </xf>
    <xf numFmtId="0" fontId="37" fillId="0" borderId="38" xfId="0" applyFont="1" applyBorder="1"/>
    <xf numFmtId="0" fontId="35" fillId="16" borderId="0" xfId="0" applyFont="1" applyFill="1" applyAlignment="1">
      <alignment wrapText="1"/>
    </xf>
    <xf numFmtId="0" fontId="31" fillId="2" borderId="44" xfId="3" applyFont="1" applyFill="1" applyBorder="1" applyAlignment="1">
      <alignment horizontal="left" wrapText="1"/>
    </xf>
    <xf numFmtId="0" fontId="19" fillId="11" borderId="6" xfId="3" applyFont="1" applyFill="1" applyBorder="1" applyAlignment="1">
      <alignment horizontal="left" vertical="center"/>
    </xf>
    <xf numFmtId="0" fontId="31" fillId="13" borderId="40" xfId="3" applyFont="1" applyFill="1" applyBorder="1" applyAlignment="1">
      <alignment horizontal="left" wrapText="1"/>
    </xf>
    <xf numFmtId="0" fontId="8" fillId="15" borderId="10" xfId="3" applyFont="1" applyFill="1" applyBorder="1" applyAlignment="1">
      <alignment horizontal="left" vertical="center"/>
    </xf>
    <xf numFmtId="0" fontId="31" fillId="0" borderId="0" xfId="0" applyFont="1" applyAlignment="1">
      <alignment horizontal="left" vertical="center" wrapText="1"/>
    </xf>
    <xf numFmtId="0" fontId="8" fillId="17" borderId="11" xfId="0" applyFont="1" applyFill="1" applyBorder="1" applyAlignment="1">
      <alignment horizontal="center" vertical="center" wrapText="1"/>
    </xf>
    <xf numFmtId="0" fontId="8" fillId="17" borderId="13" xfId="0" applyFont="1" applyFill="1" applyBorder="1" applyAlignment="1">
      <alignment horizontal="center" vertical="center" wrapText="1"/>
    </xf>
    <xf numFmtId="0" fontId="8" fillId="18" borderId="11" xfId="0" applyFont="1" applyFill="1" applyBorder="1" applyAlignment="1">
      <alignment horizontal="center" vertical="center" wrapText="1"/>
    </xf>
    <xf numFmtId="0" fontId="8" fillId="19" borderId="11" xfId="0" applyFont="1" applyFill="1" applyBorder="1" applyAlignment="1">
      <alignment horizontal="center" vertical="center" wrapText="1"/>
    </xf>
    <xf numFmtId="0" fontId="8" fillId="20" borderId="11" xfId="0" applyFont="1" applyFill="1" applyBorder="1" applyAlignment="1">
      <alignment horizontal="center" vertical="center" wrapText="1"/>
    </xf>
    <xf numFmtId="0" fontId="8" fillId="21" borderId="11" xfId="0" applyFont="1" applyFill="1" applyBorder="1" applyAlignment="1">
      <alignment horizontal="center" vertical="center" wrapText="1"/>
    </xf>
    <xf numFmtId="0" fontId="0" fillId="22" borderId="10" xfId="3" applyFont="1" applyFill="1" applyBorder="1" applyAlignment="1">
      <alignment horizontal="left"/>
    </xf>
    <xf numFmtId="0" fontId="31" fillId="22" borderId="0" xfId="0" applyFont="1" applyFill="1" applyAlignment="1">
      <alignment wrapText="1"/>
    </xf>
    <xf numFmtId="0" fontId="12" fillId="22" borderId="10" xfId="3" applyFont="1" applyFill="1" applyBorder="1" applyAlignment="1">
      <alignment horizontal="left"/>
    </xf>
    <xf numFmtId="0" fontId="12" fillId="22" borderId="0" xfId="0" applyFont="1" applyFill="1"/>
    <xf numFmtId="0" fontId="0" fillId="22" borderId="10" xfId="3" applyFont="1" applyFill="1" applyBorder="1" applyAlignment="1">
      <alignment horizontal="left" vertical="center"/>
    </xf>
    <xf numFmtId="0" fontId="0" fillId="22" borderId="0" xfId="0" applyFill="1"/>
    <xf numFmtId="0" fontId="0" fillId="22" borderId="10" xfId="3" applyFont="1" applyFill="1" applyBorder="1" applyAlignment="1">
      <alignment horizontal="left" vertical="center" wrapText="1"/>
    </xf>
    <xf numFmtId="0" fontId="0" fillId="23" borderId="0" xfId="0" applyFill="1"/>
    <xf numFmtId="0" fontId="0" fillId="0" borderId="44" xfId="0" quotePrefix="1" applyBorder="1"/>
    <xf numFmtId="0" fontId="40" fillId="0" borderId="44" xfId="0" quotePrefix="1" applyFont="1" applyBorder="1"/>
    <xf numFmtId="0" fontId="0" fillId="0" borderId="44" xfId="0" applyBorder="1"/>
    <xf numFmtId="0" fontId="8" fillId="14" borderId="40" xfId="2" applyFill="1" applyBorder="1" applyAlignment="1">
      <alignment horizontal="left"/>
    </xf>
    <xf numFmtId="0" fontId="0" fillId="0" borderId="46" xfId="0" applyBorder="1"/>
    <xf numFmtId="0" fontId="40" fillId="0" borderId="46" xfId="0" quotePrefix="1" applyFont="1" applyBorder="1"/>
    <xf numFmtId="0" fontId="41" fillId="0" borderId="0" xfId="0" applyFont="1"/>
    <xf numFmtId="0" fontId="0" fillId="0" borderId="0" xfId="0" quotePrefix="1"/>
    <xf numFmtId="0" fontId="0" fillId="0" borderId="1" xfId="0" applyBorder="1"/>
    <xf numFmtId="0" fontId="0" fillId="0" borderId="1" xfId="0" quotePrefix="1" applyBorder="1"/>
    <xf numFmtId="0" fontId="40" fillId="0" borderId="0" xfId="0" applyFont="1"/>
    <xf numFmtId="0" fontId="42" fillId="0" borderId="0" xfId="0" applyFont="1"/>
    <xf numFmtId="0" fontId="8" fillId="7" borderId="2" xfId="0" applyFont="1" applyFill="1" applyBorder="1" applyAlignment="1">
      <alignment vertical="center" wrapText="1"/>
    </xf>
    <xf numFmtId="0" fontId="18" fillId="8" borderId="33" xfId="0" applyFont="1" applyFill="1" applyBorder="1" applyAlignment="1">
      <alignment vertical="center"/>
    </xf>
    <xf numFmtId="0" fontId="8" fillId="14" borderId="14" xfId="2" applyFill="1" applyBorder="1" applyAlignment="1">
      <alignment horizontal="left"/>
    </xf>
    <xf numFmtId="0" fontId="0" fillId="0" borderId="47" xfId="0" applyBorder="1"/>
    <xf numFmtId="0" fontId="0" fillId="0" borderId="48" xfId="0" applyBorder="1"/>
    <xf numFmtId="0" fontId="0" fillId="0" borderId="49" xfId="0" applyBorder="1"/>
    <xf numFmtId="0" fontId="43" fillId="0" borderId="0" xfId="0" quotePrefix="1" applyFont="1" applyAlignment="1">
      <alignment horizontal="left" vertical="center"/>
    </xf>
    <xf numFmtId="0" fontId="43" fillId="0" borderId="0" xfId="0" applyFont="1" applyAlignment="1">
      <alignment horizontal="left" vertical="center"/>
    </xf>
    <xf numFmtId="0" fontId="43" fillId="0" borderId="0" xfId="0" applyFont="1"/>
    <xf numFmtId="0" fontId="8" fillId="7" borderId="13" xfId="0" applyFont="1" applyFill="1" applyBorder="1" applyAlignment="1">
      <alignment horizontal="left" vertical="top" wrapText="1"/>
    </xf>
    <xf numFmtId="0" fontId="0" fillId="0" borderId="0" xfId="0" applyAlignment="1">
      <alignment horizontal="left" vertical="top" wrapText="1"/>
    </xf>
    <xf numFmtId="0" fontId="0" fillId="24" borderId="44" xfId="0" applyFill="1" applyBorder="1"/>
    <xf numFmtId="0" fontId="0" fillId="24" borderId="44" xfId="0" applyFill="1" applyBorder="1" applyAlignment="1">
      <alignment horizontal="center" vertical="center"/>
    </xf>
    <xf numFmtId="0" fontId="0" fillId="24" borderId="46" xfId="0" applyFill="1" applyBorder="1" applyAlignment="1">
      <alignment horizontal="center" vertical="center"/>
    </xf>
    <xf numFmtId="0" fontId="0" fillId="25" borderId="44" xfId="0" applyFill="1" applyBorder="1"/>
    <xf numFmtId="16" fontId="0" fillId="0" borderId="44" xfId="0" applyNumberFormat="1" applyBorder="1"/>
    <xf numFmtId="0" fontId="45" fillId="0" borderId="44" xfId="0" applyFont="1" applyBorder="1"/>
    <xf numFmtId="0" fontId="45" fillId="0" borderId="0" xfId="0" applyFont="1" applyAlignment="1">
      <alignment horizontal="center"/>
    </xf>
    <xf numFmtId="0" fontId="0" fillId="25" borderId="0" xfId="0" applyFill="1"/>
    <xf numFmtId="0" fontId="46" fillId="0" borderId="0" xfId="0" applyFont="1" applyAlignment="1">
      <alignment horizontal="left" vertical="center"/>
    </xf>
    <xf numFmtId="0" fontId="46" fillId="0" borderId="0" xfId="0" applyFont="1"/>
    <xf numFmtId="0" fontId="12" fillId="27" borderId="0" xfId="0" applyFont="1" applyFill="1"/>
    <xf numFmtId="0" fontId="47" fillId="0" borderId="0" xfId="0" applyFont="1" applyAlignment="1">
      <alignment vertical="top" wrapText="1"/>
    </xf>
    <xf numFmtId="0" fontId="12" fillId="0" borderId="0" xfId="0" applyFont="1" applyAlignment="1">
      <alignment vertical="top" wrapText="1"/>
    </xf>
    <xf numFmtId="0" fontId="5" fillId="0" borderId="0" xfId="1" applyAlignment="1">
      <alignment vertical="top" wrapText="1"/>
    </xf>
    <xf numFmtId="16" fontId="43" fillId="0" borderId="44" xfId="0" applyNumberFormat="1" applyFont="1" applyBorder="1"/>
    <xf numFmtId="0" fontId="43" fillId="0" borderId="44" xfId="0" applyFont="1" applyBorder="1"/>
    <xf numFmtId="0" fontId="44" fillId="0" borderId="0" xfId="0" applyFont="1"/>
    <xf numFmtId="0" fontId="44" fillId="0" borderId="0" xfId="0" quotePrefix="1" applyFont="1"/>
    <xf numFmtId="0" fontId="48" fillId="0" borderId="0" xfId="0" applyFont="1"/>
    <xf numFmtId="0" fontId="49" fillId="0" borderId="0" xfId="0" applyFont="1"/>
    <xf numFmtId="0" fontId="50" fillId="0" borderId="0" xfId="0" applyFont="1"/>
    <xf numFmtId="0" fontId="51" fillId="0" borderId="0" xfId="0" applyFont="1"/>
    <xf numFmtId="0" fontId="0" fillId="28" borderId="44" xfId="0" applyFill="1" applyBorder="1"/>
    <xf numFmtId="16" fontId="0" fillId="28" borderId="44" xfId="0" applyNumberFormat="1" applyFill="1" applyBorder="1"/>
    <xf numFmtId="0" fontId="0" fillId="2" borderId="46" xfId="0" applyFill="1" applyBorder="1" applyAlignment="1">
      <alignment horizontal="center" wrapText="1"/>
    </xf>
    <xf numFmtId="0" fontId="40" fillId="29" borderId="0" xfId="0" applyFont="1" applyFill="1"/>
    <xf numFmtId="0" fontId="0" fillId="29" borderId="0" xfId="0" quotePrefix="1" applyFill="1"/>
    <xf numFmtId="0" fontId="0" fillId="29" borderId="0" xfId="0" applyFill="1"/>
    <xf numFmtId="16" fontId="0" fillId="23" borderId="44" xfId="0" applyNumberFormat="1" applyFill="1" applyBorder="1"/>
    <xf numFmtId="0" fontId="0" fillId="27" borderId="0" xfId="0" applyFill="1"/>
    <xf numFmtId="0" fontId="52" fillId="27" borderId="0" xfId="0" applyFont="1" applyFill="1"/>
    <xf numFmtId="0" fontId="53" fillId="27" borderId="0" xfId="0" applyFont="1" applyFill="1"/>
    <xf numFmtId="0" fontId="54" fillId="0" borderId="0" xfId="0" applyFont="1"/>
    <xf numFmtId="0" fontId="8" fillId="30" borderId="16" xfId="0" applyFont="1" applyFill="1" applyBorder="1" applyAlignment="1">
      <alignment horizontal="center" vertical="center" wrapText="1"/>
    </xf>
    <xf numFmtId="0" fontId="8" fillId="31" borderId="16" xfId="0" applyFont="1" applyFill="1" applyBorder="1" applyAlignment="1">
      <alignment horizontal="center" vertical="center" wrapText="1"/>
    </xf>
    <xf numFmtId="0" fontId="8" fillId="32" borderId="16" xfId="0" applyFont="1" applyFill="1" applyBorder="1" applyAlignment="1">
      <alignment horizontal="center" vertical="center" wrapText="1"/>
    </xf>
    <xf numFmtId="0" fontId="8" fillId="28" borderId="16" xfId="0" applyFont="1" applyFill="1" applyBorder="1" applyAlignment="1">
      <alignment horizontal="center" vertical="center" wrapText="1"/>
    </xf>
    <xf numFmtId="0" fontId="8" fillId="33" borderId="16" xfId="0" applyFont="1" applyFill="1" applyBorder="1" applyAlignment="1">
      <alignment horizontal="center" vertical="center" wrapText="1"/>
    </xf>
    <xf numFmtId="0" fontId="8" fillId="34" borderId="16" xfId="0" applyFont="1" applyFill="1" applyBorder="1" applyAlignment="1">
      <alignment horizontal="center" vertical="center" wrapText="1"/>
    </xf>
    <xf numFmtId="0" fontId="0" fillId="0" borderId="0" xfId="0"/>
    <xf numFmtId="0" fontId="0" fillId="0" borderId="0" xfId="0"/>
    <xf numFmtId="0" fontId="0" fillId="25" borderId="46" xfId="0" applyFill="1" applyBorder="1" applyAlignment="1">
      <alignment horizontal="center"/>
    </xf>
    <xf numFmtId="0" fontId="0" fillId="25" borderId="50" xfId="0" applyFill="1" applyBorder="1" applyAlignment="1">
      <alignment horizontal="center"/>
    </xf>
    <xf numFmtId="0" fontId="0" fillId="26" borderId="46" xfId="0" applyFill="1" applyBorder="1" applyAlignment="1">
      <alignment horizontal="center"/>
    </xf>
    <xf numFmtId="0" fontId="0" fillId="26" borderId="50" xfId="0" applyFill="1" applyBorder="1" applyAlignment="1">
      <alignment horizontal="center"/>
    </xf>
    <xf numFmtId="0" fontId="0" fillId="26" borderId="51" xfId="0" applyFill="1" applyBorder="1" applyAlignment="1">
      <alignment horizontal="center"/>
    </xf>
    <xf numFmtId="0" fontId="0" fillId="25" borderId="51" xfId="0" applyFill="1" applyBorder="1" applyAlignment="1">
      <alignment horizontal="center"/>
    </xf>
    <xf numFmtId="0" fontId="43" fillId="25" borderId="46" xfId="0" applyFont="1" applyFill="1" applyBorder="1" applyAlignment="1">
      <alignment horizontal="center"/>
    </xf>
    <xf numFmtId="0" fontId="43" fillId="25" borderId="50" xfId="0" applyFont="1" applyFill="1" applyBorder="1" applyAlignment="1">
      <alignment horizontal="center"/>
    </xf>
    <xf numFmtId="0" fontId="43" fillId="25" borderId="51" xfId="0" applyFont="1" applyFill="1" applyBorder="1" applyAlignment="1">
      <alignment horizontal="center"/>
    </xf>
    <xf numFmtId="0" fontId="0" fillId="24" borderId="46" xfId="0" applyFill="1" applyBorder="1" applyAlignment="1">
      <alignment horizontal="center"/>
    </xf>
    <xf numFmtId="0" fontId="0" fillId="24" borderId="50" xfId="0" applyFill="1" applyBorder="1" applyAlignment="1">
      <alignment horizontal="center"/>
    </xf>
    <xf numFmtId="0" fontId="0" fillId="24" borderId="51" xfId="0" applyFill="1" applyBorder="1" applyAlignment="1">
      <alignment horizontal="center"/>
    </xf>
    <xf numFmtId="0" fontId="8" fillId="7" borderId="31" xfId="3" applyFont="1" applyFill="1" applyBorder="1" applyAlignment="1">
      <alignment horizontal="left" vertical="center"/>
    </xf>
    <xf numFmtId="0" fontId="8" fillId="7" borderId="32" xfId="3" applyFont="1" applyFill="1" applyBorder="1" applyAlignment="1">
      <alignment horizontal="left" vertical="center"/>
    </xf>
    <xf numFmtId="0" fontId="8" fillId="7" borderId="14" xfId="3" applyFont="1" applyFill="1" applyBorder="1" applyAlignment="1">
      <alignment horizontal="left" vertical="center"/>
    </xf>
    <xf numFmtId="0" fontId="8" fillId="7" borderId="0" xfId="3" applyFont="1" applyFill="1" applyBorder="1" applyAlignment="1">
      <alignment horizontal="left" vertical="center"/>
    </xf>
    <xf numFmtId="0" fontId="8" fillId="7" borderId="6" xfId="3" applyFont="1" applyFill="1" applyBorder="1" applyAlignment="1">
      <alignment horizontal="left" vertical="center"/>
    </xf>
    <xf numFmtId="0" fontId="8" fillId="7" borderId="7" xfId="3" applyFont="1" applyFill="1" applyBorder="1" applyAlignment="1">
      <alignment horizontal="left" vertical="center"/>
    </xf>
    <xf numFmtId="0" fontId="20" fillId="7" borderId="1" xfId="0" applyFont="1" applyFill="1" applyBorder="1" applyAlignment="1">
      <alignment horizontal="left" vertical="center" wrapText="1"/>
    </xf>
    <xf numFmtId="0" fontId="8" fillId="14" borderId="14" xfId="2" applyFill="1" applyBorder="1" applyAlignment="1">
      <alignment horizontal="left"/>
    </xf>
    <xf numFmtId="0" fontId="8" fillId="14" borderId="0" xfId="2" applyFill="1" applyBorder="1" applyAlignment="1">
      <alignment horizontal="left"/>
    </xf>
    <xf numFmtId="0" fontId="0" fillId="0" borderId="0" xfId="0"/>
    <xf numFmtId="0" fontId="8" fillId="14" borderId="6" xfId="2" applyFill="1" applyBorder="1" applyAlignment="1">
      <alignment horizontal="center"/>
    </xf>
    <xf numFmtId="0" fontId="8" fillId="14" borderId="12" xfId="2" applyFill="1" applyBorder="1" applyAlignment="1">
      <alignment horizontal="center"/>
    </xf>
    <xf numFmtId="0" fontId="8" fillId="14" borderId="7" xfId="2" applyFill="1" applyBorder="1" applyAlignment="1">
      <alignment horizontal="center"/>
    </xf>
    <xf numFmtId="0" fontId="12" fillId="0" borderId="0" xfId="0" applyFont="1"/>
    <xf numFmtId="0" fontId="0" fillId="0" borderId="32" xfId="0" applyBorder="1" applyAlignment="1">
      <alignment horizontal="center"/>
    </xf>
    <xf numFmtId="0" fontId="0" fillId="0" borderId="0" xfId="0" applyAlignment="1">
      <alignment horizontal="left"/>
    </xf>
    <xf numFmtId="0" fontId="0" fillId="0" borderId="0" xfId="0" applyAlignment="1">
      <alignment horizontal="center"/>
    </xf>
    <xf numFmtId="0" fontId="0" fillId="0" borderId="45" xfId="0" applyBorder="1" applyAlignment="1">
      <alignment horizontal="center"/>
    </xf>
    <xf numFmtId="49" fontId="23" fillId="6" borderId="27" xfId="0" applyNumberFormat="1" applyFont="1" applyFill="1" applyBorder="1" applyAlignment="1">
      <alignment horizontal="left" vertical="center" wrapText="1"/>
    </xf>
    <xf numFmtId="49" fontId="23" fillId="6" borderId="0" xfId="0" applyNumberFormat="1" applyFont="1" applyFill="1" applyAlignment="1">
      <alignment horizontal="left" vertical="center" wrapText="1"/>
    </xf>
    <xf numFmtId="49" fontId="23" fillId="6" borderId="28" xfId="0" applyNumberFormat="1" applyFont="1" applyFill="1" applyBorder="1" applyAlignment="1">
      <alignment horizontal="left" vertical="center" wrapText="1"/>
    </xf>
    <xf numFmtId="49" fontId="24" fillId="6" borderId="23" xfId="0" applyNumberFormat="1" applyFont="1" applyFill="1" applyBorder="1" applyAlignment="1">
      <alignment horizontal="left" vertical="center" wrapText="1"/>
    </xf>
    <xf numFmtId="49" fontId="24" fillId="6" borderId="25" xfId="0" applyNumberFormat="1" applyFont="1" applyFill="1" applyBorder="1" applyAlignment="1">
      <alignment horizontal="left" vertical="center" wrapText="1"/>
    </xf>
    <xf numFmtId="49" fontId="24" fillId="0" borderId="26" xfId="0" applyNumberFormat="1" applyFont="1" applyBorder="1" applyAlignment="1">
      <alignment horizontal="left" vertical="center" wrapText="1"/>
    </xf>
    <xf numFmtId="49" fontId="24" fillId="0" borderId="23" xfId="0" applyNumberFormat="1" applyFont="1" applyBorder="1" applyAlignment="1">
      <alignment horizontal="left" vertical="center" wrapText="1"/>
    </xf>
    <xf numFmtId="49" fontId="24" fillId="6" borderId="26" xfId="0" applyNumberFormat="1" applyFont="1" applyFill="1" applyBorder="1" applyAlignment="1">
      <alignment horizontal="left" vertical="center" wrapText="1"/>
    </xf>
    <xf numFmtId="49" fontId="24" fillId="6" borderId="26" xfId="0" applyNumberFormat="1" applyFont="1" applyFill="1" applyBorder="1" applyAlignment="1">
      <alignment horizontal="justify" vertical="center" wrapText="1"/>
    </xf>
    <xf numFmtId="49" fontId="24" fillId="6" borderId="23" xfId="0" applyNumberFormat="1" applyFont="1" applyFill="1" applyBorder="1" applyAlignment="1">
      <alignment horizontal="justify" vertical="center" wrapText="1"/>
    </xf>
    <xf numFmtId="49" fontId="24" fillId="0" borderId="26" xfId="0" applyNumberFormat="1" applyFont="1" applyBorder="1" applyAlignment="1">
      <alignment horizontal="justify" vertical="center" wrapText="1"/>
    </xf>
    <xf numFmtId="49" fontId="24" fillId="0" borderId="23" xfId="0" applyNumberFormat="1" applyFont="1" applyBorder="1" applyAlignment="1">
      <alignment horizontal="justify" vertical="center" wrapText="1"/>
    </xf>
    <xf numFmtId="0" fontId="0" fillId="6" borderId="23" xfId="0" applyFill="1" applyBorder="1" applyAlignment="1">
      <alignment horizontal="left" vertical="center" wrapText="1"/>
    </xf>
    <xf numFmtId="0" fontId="0" fillId="6" borderId="22" xfId="0" applyFill="1" applyBorder="1" applyAlignment="1">
      <alignment horizontal="left" vertical="center" wrapText="1"/>
    </xf>
    <xf numFmtId="0" fontId="10" fillId="0" borderId="19" xfId="0" applyFont="1" applyBorder="1" applyAlignment="1">
      <alignment vertical="center" wrapText="1"/>
    </xf>
    <xf numFmtId="0" fontId="10" fillId="0" borderId="17" xfId="0" applyFont="1" applyBorder="1" applyAlignment="1">
      <alignment vertical="center" wrapText="1"/>
    </xf>
    <xf numFmtId="0" fontId="0" fillId="0" borderId="23" xfId="0" applyBorder="1" applyAlignment="1">
      <alignment horizontal="left" vertical="center" wrapText="1"/>
    </xf>
    <xf numFmtId="0" fontId="0" fillId="0" borderId="22" xfId="0" applyBorder="1" applyAlignment="1">
      <alignment horizontal="left" vertical="center" wrapText="1"/>
    </xf>
    <xf numFmtId="0" fontId="10" fillId="0" borderId="18" xfId="0" applyFont="1" applyBorder="1" applyAlignment="1">
      <alignment horizontal="left" vertical="center" wrapText="1"/>
    </xf>
    <xf numFmtId="0" fontId="10" fillId="0" borderId="20" xfId="0" applyFont="1" applyBorder="1" applyAlignment="1">
      <alignment horizontal="left" vertical="center" wrapText="1"/>
    </xf>
    <xf numFmtId="0" fontId="10" fillId="0" borderId="24" xfId="0" applyFont="1" applyBorder="1" applyAlignment="1">
      <alignment horizontal="left" vertical="center" wrapText="1"/>
    </xf>
    <xf numFmtId="0" fontId="10" fillId="0" borderId="21" xfId="0" applyFont="1" applyBorder="1" applyAlignment="1">
      <alignment vertical="center" wrapText="1"/>
    </xf>
    <xf numFmtId="0" fontId="0" fillId="0" borderId="19" xfId="0" applyBorder="1" applyAlignment="1">
      <alignment horizontal="left" vertical="center" wrapText="1"/>
    </xf>
    <xf numFmtId="0" fontId="0" fillId="0" borderId="21" xfId="0" applyBorder="1" applyAlignment="1">
      <alignment horizontal="left" vertical="center" wrapText="1"/>
    </xf>
    <xf numFmtId="0" fontId="0" fillId="0" borderId="17" xfId="0" applyBorder="1" applyAlignment="1">
      <alignment horizontal="left" vertical="center" wrapText="1"/>
    </xf>
    <xf numFmtId="0" fontId="10" fillId="6" borderId="21" xfId="0" applyFont="1" applyFill="1" applyBorder="1" applyAlignment="1">
      <alignment vertical="center" wrapText="1"/>
    </xf>
    <xf numFmtId="0" fontId="10" fillId="6" borderId="17" xfId="0" applyFont="1" applyFill="1" applyBorder="1" applyAlignment="1">
      <alignment vertical="center" wrapText="1"/>
    </xf>
    <xf numFmtId="0" fontId="0" fillId="6" borderId="19" xfId="0" applyFill="1" applyBorder="1" applyAlignment="1">
      <alignment horizontal="left" vertical="center" wrapText="1"/>
    </xf>
    <xf numFmtId="0" fontId="0" fillId="6" borderId="21" xfId="0" applyFill="1" applyBorder="1" applyAlignment="1">
      <alignment horizontal="left" vertical="center" wrapText="1"/>
    </xf>
    <xf numFmtId="0" fontId="0" fillId="6" borderId="17" xfId="0" applyFill="1" applyBorder="1" applyAlignment="1">
      <alignment horizontal="left" vertical="center" wrapText="1"/>
    </xf>
    <xf numFmtId="49" fontId="11" fillId="0" borderId="19" xfId="0" applyNumberFormat="1" applyFont="1" applyBorder="1" applyAlignment="1">
      <alignment horizontal="left" vertical="center" wrapText="1"/>
    </xf>
    <xf numFmtId="49" fontId="11" fillId="0" borderId="17" xfId="0" applyNumberFormat="1" applyFont="1" applyBorder="1" applyAlignment="1">
      <alignment horizontal="left" vertical="center" wrapText="1"/>
    </xf>
    <xf numFmtId="49" fontId="11" fillId="0" borderId="23" xfId="0" applyNumberFormat="1" applyFont="1" applyBorder="1" applyAlignment="1">
      <alignment horizontal="left" vertical="center"/>
    </xf>
    <xf numFmtId="49" fontId="11" fillId="0" borderId="22" xfId="0" applyNumberFormat="1" applyFont="1" applyBorder="1" applyAlignment="1">
      <alignment horizontal="left" vertical="center"/>
    </xf>
    <xf numFmtId="49" fontId="11" fillId="6" borderId="23" xfId="0" applyNumberFormat="1" applyFont="1" applyFill="1" applyBorder="1" applyAlignment="1">
      <alignment horizontal="left" vertical="center" wrapText="1"/>
    </xf>
    <xf numFmtId="49" fontId="11" fillId="6" borderId="25" xfId="0" applyNumberFormat="1" applyFont="1" applyFill="1" applyBorder="1" applyAlignment="1">
      <alignment horizontal="left" vertical="center" wrapText="1"/>
    </xf>
    <xf numFmtId="49" fontId="11" fillId="6" borderId="22" xfId="0" applyNumberFormat="1" applyFont="1" applyFill="1" applyBorder="1" applyAlignment="1">
      <alignment horizontal="left" vertical="center" wrapText="1"/>
    </xf>
    <xf numFmtId="49" fontId="11" fillId="0" borderId="23" xfId="0" applyNumberFormat="1" applyFont="1" applyBorder="1" applyAlignment="1">
      <alignment horizontal="left" vertical="center" wrapText="1"/>
    </xf>
    <xf numFmtId="49" fontId="11" fillId="0" borderId="25" xfId="0" applyNumberFormat="1" applyFont="1" applyBorder="1" applyAlignment="1">
      <alignment horizontal="left" vertical="center" wrapText="1"/>
    </xf>
    <xf numFmtId="49" fontId="11" fillId="0" borderId="22" xfId="0" applyNumberFormat="1" applyFont="1" applyBorder="1" applyAlignment="1">
      <alignment horizontal="left" vertical="center" wrapText="1"/>
    </xf>
    <xf numFmtId="49" fontId="11" fillId="6" borderId="19" xfId="0" applyNumberFormat="1" applyFont="1" applyFill="1" applyBorder="1" applyAlignment="1">
      <alignment horizontal="left" vertical="center" wrapText="1"/>
    </xf>
    <xf numFmtId="49" fontId="11" fillId="6" borderId="21" xfId="0" applyNumberFormat="1" applyFont="1" applyFill="1" applyBorder="1" applyAlignment="1">
      <alignment horizontal="left" vertical="center" wrapText="1"/>
    </xf>
    <xf numFmtId="49" fontId="11" fillId="6" borderId="17" xfId="0" applyNumberFormat="1" applyFont="1" applyFill="1" applyBorder="1" applyAlignment="1">
      <alignment horizontal="left" vertical="center" wrapText="1"/>
    </xf>
    <xf numFmtId="49" fontId="11" fillId="6" borderId="23" xfId="0" applyNumberFormat="1" applyFont="1" applyFill="1" applyBorder="1" applyAlignment="1">
      <alignment horizontal="left" vertical="center"/>
    </xf>
    <xf numFmtId="49" fontId="11" fillId="6" borderId="22" xfId="0" applyNumberFormat="1" applyFont="1" applyFill="1" applyBorder="1" applyAlignment="1">
      <alignment horizontal="left" vertical="center"/>
    </xf>
    <xf numFmtId="49" fontId="11" fillId="6" borderId="26" xfId="0" applyNumberFormat="1" applyFont="1" applyFill="1" applyBorder="1" applyAlignment="1">
      <alignment horizontal="left" vertical="center"/>
    </xf>
  </cellXfs>
  <cellStyles count="6">
    <cellStyle name="20% - Accent2" xfId="3" builtinId="34"/>
    <cellStyle name="Check Cell" xfId="2" builtinId="23"/>
    <cellStyle name="Hyperlink" xfId="1" builtinId="8"/>
    <cellStyle name="Hyperlink 2" xfId="5" xr:uid="{9ADDA773-6BAD-49BC-B86C-FA305A1A5C70}"/>
    <cellStyle name="Normal" xfId="0" builtinId="0"/>
    <cellStyle name="Normal 2" xfId="4" xr:uid="{D918919F-E13C-47BC-BC9B-6F7C2BCCAF7A}"/>
  </cellStyles>
  <dxfs count="141">
    <dxf>
      <font>
        <color rgb="FF006100"/>
      </font>
      <fill>
        <patternFill>
          <bgColor rgb="FFC6EFCE"/>
        </patternFill>
      </fill>
    </dxf>
    <dxf>
      <fill>
        <patternFill patternType="solid">
          <bgColor theme="5" tint="0.59999389629810485"/>
        </patternFill>
      </fill>
    </dxf>
    <dxf>
      <font>
        <color rgb="FF9C0006"/>
      </font>
      <fill>
        <patternFill patternType="solid">
          <bgColor theme="7" tint="0.59999389629810485"/>
        </patternFill>
      </fill>
    </dxf>
    <dxf>
      <font>
        <strike val="0"/>
        <outline val="0"/>
        <shadow val="0"/>
        <vertAlign val="baseline"/>
        <sz val="11"/>
        <name val="Calibri"/>
        <family val="2"/>
        <scheme val="minor"/>
      </font>
      <alignment horizontal="center" vertical="bottom" textRotation="0" wrapText="1" indent="0" justifyLastLine="0" shrinkToFit="0" readingOrder="0"/>
    </dxf>
    <dxf>
      <font>
        <strike val="0"/>
        <outline val="0"/>
        <shadow val="0"/>
        <vertAlign val="baseline"/>
        <sz val="11"/>
        <name val="Calibri"/>
        <family val="2"/>
        <scheme val="minor"/>
      </font>
      <alignment horizontal="center" vertical="bottom" textRotation="0" wrapText="1" indent="0" justifyLastLine="0" shrinkToFit="0" readingOrder="0"/>
    </dxf>
    <dxf>
      <font>
        <strike val="0"/>
        <outline val="0"/>
        <shadow val="0"/>
        <vertAlign val="baseline"/>
        <sz val="11"/>
        <name val="Calibri"/>
        <family val="2"/>
        <scheme val="minor"/>
      </font>
      <alignment horizontal="center" vertical="bottom" textRotation="0" wrapText="1" indent="0" justifyLastLine="0" shrinkToFit="0" readingOrder="0"/>
    </dxf>
    <dxf>
      <font>
        <strike val="0"/>
        <outline val="0"/>
        <shadow val="0"/>
        <vertAlign val="baseline"/>
        <sz val="11"/>
        <name val="Calibri"/>
        <family val="2"/>
        <scheme val="minor"/>
      </font>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font>
        <strike val="0"/>
        <outline val="0"/>
        <shadow val="0"/>
        <vertAlign val="baseline"/>
        <sz val="11"/>
        <name val="Calibri"/>
        <family val="2"/>
        <scheme val="minor"/>
      </font>
      <alignment horizontal="center" vertical="bottom" textRotation="0" wrapText="1" indent="0" justifyLastLine="0" shrinkToFit="0" readingOrder="0"/>
    </dxf>
    <dxf>
      <font>
        <strike val="0"/>
        <outline val="0"/>
        <shadow val="0"/>
        <vertAlign val="baseline"/>
        <sz val="11"/>
        <name val="Calibri"/>
        <family val="2"/>
        <scheme val="minor"/>
      </font>
      <alignment horizontal="center" vertical="bottom" textRotation="0" wrapText="1" indent="0" justifyLastLine="0" shrinkToFit="0" readingOrder="0"/>
    </dxf>
    <dxf>
      <alignment horizontal="center" vertical="bottom" textRotation="0" wrapText="1" indent="0" justifyLastLine="0" shrinkToFit="0" readingOrder="0"/>
    </dxf>
    <dxf>
      <font>
        <strike val="0"/>
        <outline val="0"/>
        <shadow val="0"/>
        <vertAlign val="baseline"/>
        <sz val="11"/>
        <name val="Calibri"/>
        <family val="2"/>
        <scheme val="minor"/>
      </font>
      <alignment horizontal="center" vertical="bottom" textRotation="0" wrapText="1" indent="0" justifyLastLine="0" shrinkToFit="0" readingOrder="0"/>
    </dxf>
    <dxf>
      <font>
        <strike val="0"/>
        <outline val="0"/>
        <shadow val="0"/>
        <vertAlign val="baseline"/>
        <sz val="11"/>
        <name val="Calibri"/>
        <family val="2"/>
        <scheme val="minor"/>
      </font>
      <alignment horizontal="center" vertical="bottom" textRotation="0" wrapText="1" indent="0" justifyLastLine="0" shrinkToFit="0" readingOrder="0"/>
    </dxf>
    <dxf>
      <font>
        <strike val="0"/>
        <outline val="0"/>
        <shadow val="0"/>
        <vertAlign val="baseline"/>
        <sz val="11"/>
        <name val="Calibri"/>
        <family val="2"/>
        <scheme val="minor"/>
      </font>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font>
        <strike val="0"/>
        <outline val="0"/>
        <shadow val="0"/>
        <vertAlign val="baseline"/>
        <sz val="1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dxf>
    <dxf>
      <font>
        <strike val="0"/>
        <outline val="0"/>
        <shadow val="0"/>
        <vertAlign val="baseline"/>
        <sz val="11"/>
        <name val="Calibri"/>
        <family val="2"/>
        <scheme val="minor"/>
      </font>
      <alignment horizontal="center" vertical="bottom" textRotation="0" wrapText="1" indent="0" justifyLastLine="0" shrinkToFit="0" readingOrder="0"/>
    </dxf>
    <dxf>
      <font>
        <strike val="0"/>
        <outline val="0"/>
        <shadow val="0"/>
        <vertAlign val="baseline"/>
        <sz val="11"/>
        <name val="Calibri"/>
        <family val="2"/>
        <scheme val="minor"/>
      </font>
      <alignment horizontal="center" vertical="bottom" textRotation="0" wrapText="1" indent="0" justifyLastLine="0" shrinkToFit="0" readingOrder="0"/>
    </dxf>
    <dxf>
      <font>
        <strike val="0"/>
        <outline val="0"/>
        <shadow val="0"/>
        <vertAlign val="baseline"/>
        <sz val="11"/>
        <name val="Calibri"/>
        <family val="2"/>
        <scheme val="minor"/>
      </font>
      <alignment horizontal="center" vertical="bottom" textRotation="0" wrapText="1" indent="0" justifyLastLine="0" shrinkToFit="0" readingOrder="0"/>
    </dxf>
    <dxf>
      <font>
        <strike val="0"/>
        <outline val="0"/>
        <shadow val="0"/>
        <vertAlign val="baseline"/>
        <sz val="11"/>
        <name val="Calibri"/>
        <family val="2"/>
        <scheme val="minor"/>
      </font>
      <alignment horizontal="center" vertical="bottom" textRotation="0" wrapText="1" indent="0" justifyLastLine="0" shrinkToFit="0" readingOrder="0"/>
    </dxf>
    <dxf>
      <alignment horizontal="center" vertical="bottom" textRotation="0" wrapText="1" indent="0" justifyLastLine="0" shrinkToFit="0" readingOrder="0"/>
    </dxf>
    <dxf>
      <font>
        <strike val="0"/>
        <outline val="0"/>
        <shadow val="0"/>
        <vertAlign val="baseline"/>
        <sz val="11"/>
        <name val="Calibri"/>
        <family val="2"/>
        <scheme val="minor"/>
      </font>
      <alignment horizontal="center" vertical="bottom" textRotation="0" wrapText="1" indent="0" justifyLastLine="0" shrinkToFit="0" readingOrder="0"/>
    </dxf>
    <dxf>
      <font>
        <strike val="0"/>
        <outline val="0"/>
        <shadow val="0"/>
        <vertAlign val="baseline"/>
        <sz val="11"/>
        <name val="Calibri"/>
        <family val="2"/>
        <scheme val="minor"/>
      </font>
      <alignment horizontal="center" vertical="bottom" textRotation="0" wrapText="1" indent="0" justifyLastLine="0" shrinkToFit="0" readingOrder="0"/>
    </dxf>
    <dxf>
      <font>
        <strike val="0"/>
        <outline val="0"/>
        <shadow val="0"/>
        <vertAlign val="baseline"/>
        <sz val="11"/>
        <name val="Calibri"/>
        <family val="2"/>
        <scheme val="minor"/>
      </font>
      <alignment horizontal="center" vertical="bottom" textRotation="0" wrapText="1" indent="0" justifyLastLine="0" shrinkToFit="0" readingOrder="0"/>
    </dxf>
    <dxf>
      <border outline="0">
        <top style="thin">
          <color rgb="FF000000"/>
        </top>
      </border>
    </dxf>
    <dxf>
      <font>
        <strike val="0"/>
        <outline val="0"/>
        <shadow val="0"/>
        <vertAlign val="baseline"/>
        <sz val="11"/>
        <name val="Calibri"/>
        <family val="2"/>
        <scheme val="minor"/>
      </font>
      <alignment horizontal="center" vertical="bottom" textRotation="0" wrapText="1" indent="0" justifyLastLine="0" shrinkToFit="0" readingOrder="0"/>
    </dxf>
    <dxf>
      <border>
        <bottom style="thin">
          <color rgb="FFBFBFBF"/>
        </bottom>
      </border>
    </dxf>
    <dxf>
      <font>
        <b/>
        <i val="0"/>
        <strike val="0"/>
        <condense val="0"/>
        <extend val="0"/>
        <outline val="0"/>
        <shadow val="0"/>
        <u val="none"/>
        <vertAlign val="baseline"/>
        <sz val="11"/>
        <color theme="0"/>
        <name val="Calibri"/>
        <family val="2"/>
        <scheme val="minor"/>
      </font>
      <fill>
        <patternFill patternType="solid">
          <fgColor indexed="64"/>
          <bgColor rgb="FFFF4F1F"/>
        </patternFill>
      </fill>
      <alignment horizontal="center" vertical="center" textRotation="0" wrapText="1" indent="0" justifyLastLine="0" shrinkToFit="0" readingOrder="0"/>
      <border diagonalUp="0" diagonalDown="0" outline="0">
        <left style="thin">
          <color theme="0" tint="-0.249977111117893"/>
        </left>
        <right style="thin">
          <color theme="0" tint="-0.249977111117893"/>
        </right>
        <top/>
        <bottom/>
      </border>
    </dxf>
    <dxf>
      <font>
        <color rgb="FF006100"/>
      </font>
      <fill>
        <patternFill>
          <bgColor rgb="FFC6EFCE"/>
        </patternFill>
      </fill>
    </dxf>
    <dxf>
      <fill>
        <patternFill patternType="solid">
          <bgColor theme="5" tint="0.59999389629810485"/>
        </patternFill>
      </fill>
    </dxf>
    <dxf>
      <font>
        <color rgb="FF9C0006"/>
      </font>
      <fill>
        <patternFill patternType="solid">
          <bgColor theme="7" tint="0.59999389629810485"/>
        </patternFill>
      </fill>
    </dxf>
    <dxf>
      <font>
        <color rgb="FF006100"/>
      </font>
      <fill>
        <patternFill>
          <bgColor rgb="FFC6EFCE"/>
        </patternFill>
      </fill>
    </dxf>
    <dxf>
      <fill>
        <patternFill patternType="solid">
          <bgColor theme="5" tint="0.59999389629810485"/>
        </patternFill>
      </fill>
    </dxf>
    <dxf>
      <font>
        <color rgb="FF9C0006"/>
      </font>
      <fill>
        <patternFill patternType="solid">
          <bgColor theme="7" tint="0.59999389629810485"/>
        </patternFill>
      </fill>
    </dxf>
    <dxf>
      <font>
        <color rgb="FF006100"/>
      </font>
      <fill>
        <patternFill>
          <bgColor rgb="FFC6EFCE"/>
        </patternFill>
      </fill>
    </dxf>
    <dxf>
      <fill>
        <patternFill patternType="solid">
          <bgColor theme="5" tint="0.59999389629810485"/>
        </patternFill>
      </fill>
    </dxf>
    <dxf>
      <font>
        <color rgb="FF9C0006"/>
      </font>
      <fill>
        <patternFill patternType="solid">
          <bgColor theme="7" tint="0.59999389629810485"/>
        </patternFill>
      </fill>
    </dxf>
    <dxf>
      <font>
        <color rgb="FF9C0006"/>
      </font>
      <fill>
        <patternFill>
          <bgColor rgb="FFFFC7CE"/>
        </patternFill>
      </fill>
    </dxf>
    <dxf>
      <font>
        <color rgb="FF006100"/>
      </font>
      <fill>
        <patternFill>
          <bgColor rgb="FFC6EFCE"/>
        </patternFill>
      </fill>
    </dxf>
    <dxf>
      <fill>
        <patternFill patternType="solid">
          <bgColor theme="5" tint="0.59999389629810485"/>
        </patternFill>
      </fill>
    </dxf>
    <dxf>
      <font>
        <color rgb="FF9C0006"/>
      </font>
      <fill>
        <patternFill patternType="solid">
          <bgColor theme="7" tint="0.59999389629810485"/>
        </patternFill>
      </fill>
    </dxf>
    <dxf>
      <font>
        <color rgb="FF006100"/>
      </font>
      <fill>
        <patternFill>
          <bgColor rgb="FFC6EFCE"/>
        </patternFill>
      </fill>
    </dxf>
    <dxf>
      <fill>
        <patternFill patternType="solid">
          <bgColor theme="5" tint="0.59999389629810485"/>
        </patternFill>
      </fill>
    </dxf>
    <dxf>
      <font>
        <color rgb="FF9C0006"/>
      </font>
      <fill>
        <patternFill patternType="solid">
          <bgColor theme="7" tint="0.59999389629810485"/>
        </patternFill>
      </fill>
    </dxf>
    <dxf>
      <font>
        <color rgb="FF006100"/>
      </font>
      <fill>
        <patternFill>
          <bgColor rgb="FFC6EFCE"/>
        </patternFill>
      </fill>
    </dxf>
    <dxf>
      <fill>
        <patternFill patternType="solid">
          <bgColor theme="5" tint="0.59999389629810485"/>
        </patternFill>
      </fill>
    </dxf>
    <dxf>
      <font>
        <color rgb="FF9C0006"/>
      </font>
      <fill>
        <patternFill patternType="solid">
          <bgColor theme="7" tint="0.59999389629810485"/>
        </patternFill>
      </fill>
    </dxf>
    <dxf>
      <font>
        <color rgb="FF006100"/>
      </font>
      <fill>
        <patternFill>
          <bgColor rgb="FFC6EFCE"/>
        </patternFill>
      </fill>
    </dxf>
    <dxf>
      <fill>
        <patternFill patternType="solid">
          <bgColor theme="5" tint="0.59999389629810485"/>
        </patternFill>
      </fill>
    </dxf>
    <dxf>
      <font>
        <color rgb="FF9C0006"/>
      </font>
      <fill>
        <patternFill patternType="solid">
          <bgColor theme="7" tint="0.59999389629810485"/>
        </patternFill>
      </fill>
    </dxf>
    <dxf>
      <font>
        <strike val="0"/>
        <outline val="0"/>
        <shadow val="0"/>
        <vertAlign val="baseline"/>
        <sz val="11"/>
        <name val="Calibri"/>
        <family val="2"/>
        <scheme val="minor"/>
      </font>
      <alignment horizontal="general" textRotation="0" wrapText="1" indent="0" justifyLastLine="0" shrinkToFit="0" readingOrder="0"/>
    </dxf>
    <dxf>
      <font>
        <strike val="0"/>
        <outline val="0"/>
        <shadow val="0"/>
        <vertAlign val="baseline"/>
        <sz val="11"/>
        <name val="Calibri"/>
        <family val="2"/>
        <scheme val="minor"/>
      </font>
      <alignment horizontal="general"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vertAlign val="baseline"/>
        <sz val="11"/>
        <name val="Calibri"/>
        <family val="2"/>
        <scheme val="minor"/>
      </font>
      <alignment horizontal="general" textRotation="0" wrapText="1" indent="0" justifyLastLine="0" shrinkToFit="0" readingOrder="0"/>
    </dxf>
    <dxf>
      <font>
        <strike val="0"/>
        <outline val="0"/>
        <shadow val="0"/>
        <vertAlign val="baseline"/>
        <sz val="11"/>
        <name val="Calibri"/>
        <family val="2"/>
        <scheme val="minor"/>
      </font>
      <alignment horizontal="general" textRotation="0" wrapText="1" indent="0" justifyLastLine="0" shrinkToFit="0" readingOrder="0"/>
    </dxf>
    <dxf>
      <font>
        <strike val="0"/>
        <outline val="0"/>
        <shadow val="0"/>
        <vertAlign val="baseline"/>
        <sz val="11"/>
        <name val="Calibri"/>
        <family val="2"/>
        <scheme val="minor"/>
      </font>
      <alignment horizontal="general" textRotation="0" wrapText="1" indent="0" justifyLastLine="0" shrinkToFit="0" readingOrder="0"/>
    </dxf>
    <dxf>
      <font>
        <strike val="0"/>
        <outline val="0"/>
        <shadow val="0"/>
        <vertAlign val="baseline"/>
        <sz val="11"/>
        <name val="Calibri"/>
        <family val="2"/>
        <scheme val="minor"/>
      </font>
      <alignment horizontal="general" textRotation="0" wrapText="1" indent="0" justifyLastLine="0" shrinkToFit="0" readingOrder="0"/>
    </dxf>
    <dxf>
      <font>
        <strike val="0"/>
        <outline val="0"/>
        <shadow val="0"/>
        <vertAlign val="baseline"/>
        <sz val="11"/>
        <name val="Calibri"/>
        <family val="2"/>
        <scheme val="minor"/>
      </font>
      <alignment horizontal="general" textRotation="0" wrapText="1" indent="0" justifyLastLine="0" shrinkToFit="0" readingOrder="0"/>
    </dxf>
    <dxf>
      <font>
        <strike val="0"/>
        <outline val="0"/>
        <shadow val="0"/>
        <vertAlign val="baseline"/>
        <sz val="11"/>
        <name val="Calibri"/>
        <family val="2"/>
        <scheme val="minor"/>
      </font>
      <alignment horizontal="general" textRotation="0" wrapText="1" indent="0" justifyLastLine="0" shrinkToFit="0" readingOrder="0"/>
    </dxf>
    <dxf>
      <font>
        <strike val="0"/>
        <outline val="0"/>
        <shadow val="0"/>
        <vertAlign val="baseline"/>
        <sz val="11"/>
        <name val="Calibri"/>
        <family val="2"/>
        <scheme val="minor"/>
      </font>
      <alignment horizontal="general" textRotation="0" wrapText="1" indent="0" justifyLastLine="0" shrinkToFit="0" readingOrder="0"/>
    </dxf>
    <dxf>
      <font>
        <strike val="0"/>
        <outline val="0"/>
        <shadow val="0"/>
        <vertAlign val="baseline"/>
        <sz val="11"/>
        <name val="Calibri"/>
        <family val="2"/>
        <scheme val="minor"/>
      </font>
      <alignment horizontal="general" textRotation="0" wrapText="1" indent="0" justifyLastLine="0" shrinkToFit="0" readingOrder="0"/>
    </dxf>
    <dxf>
      <font>
        <strike val="0"/>
        <outline val="0"/>
        <shadow val="0"/>
        <vertAlign val="baseline"/>
        <sz val="11"/>
        <name val="Calibri"/>
        <family val="2"/>
        <scheme val="minor"/>
      </font>
      <alignment horizontal="general"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FF4F1F"/>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color rgb="FF006100"/>
      </font>
      <fill>
        <patternFill>
          <bgColor rgb="FFC6EFCE"/>
        </patternFill>
      </fill>
    </dxf>
    <dxf>
      <fill>
        <patternFill patternType="solid">
          <bgColor theme="5" tint="0.59999389629810485"/>
        </patternFill>
      </fill>
    </dxf>
    <dxf>
      <font>
        <color rgb="FF9C0006"/>
      </font>
      <fill>
        <patternFill patternType="solid">
          <bgColor theme="7" tint="0.59999389629810485"/>
        </patternFill>
      </fill>
    </dxf>
    <dxf>
      <font>
        <strike val="0"/>
        <outline val="0"/>
        <shadow val="0"/>
        <vertAlign val="baseline"/>
        <sz val="11"/>
        <name val="Calibri"/>
        <family val="2"/>
        <scheme val="minor"/>
      </font>
      <alignment horizontal="general" textRotation="0" wrapText="1" indent="0" justifyLastLine="0" shrinkToFit="0" readingOrder="0"/>
    </dxf>
    <dxf>
      <font>
        <strike val="0"/>
        <outline val="0"/>
        <shadow val="0"/>
        <vertAlign val="baseline"/>
        <sz val="11"/>
        <name val="Calibri"/>
        <family val="2"/>
        <scheme val="minor"/>
      </font>
      <alignment horizontal="general"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vertAlign val="baseline"/>
        <sz val="11"/>
        <name val="Calibri"/>
        <family val="2"/>
        <scheme val="minor"/>
      </font>
      <alignment horizontal="general" textRotation="0" wrapText="1" indent="0" justifyLastLine="0" shrinkToFit="0" readingOrder="0"/>
    </dxf>
    <dxf>
      <font>
        <strike val="0"/>
        <outline val="0"/>
        <shadow val="0"/>
        <vertAlign val="baseline"/>
        <sz val="11"/>
        <name val="Calibri"/>
        <family val="2"/>
        <scheme val="minor"/>
      </font>
      <alignment horizontal="general" textRotation="0" wrapText="1" indent="0" justifyLastLine="0" shrinkToFit="0" readingOrder="0"/>
    </dxf>
    <dxf>
      <font>
        <strike val="0"/>
        <outline val="0"/>
        <shadow val="0"/>
        <vertAlign val="baseline"/>
        <sz val="11"/>
        <name val="Calibri"/>
        <family val="2"/>
        <scheme val="minor"/>
      </font>
      <alignment horizontal="general" textRotation="0" wrapText="1" indent="0" justifyLastLine="0" shrinkToFit="0" readingOrder="0"/>
    </dxf>
    <dxf>
      <font>
        <strike val="0"/>
        <outline val="0"/>
        <shadow val="0"/>
        <vertAlign val="baseline"/>
        <sz val="11"/>
        <name val="Calibri"/>
        <family val="2"/>
        <scheme val="minor"/>
      </font>
      <alignment horizontal="general" textRotation="0" wrapText="1" indent="0" justifyLastLine="0" shrinkToFit="0" readingOrder="0"/>
    </dxf>
    <dxf>
      <font>
        <strike val="0"/>
        <outline val="0"/>
        <shadow val="0"/>
        <vertAlign val="baseline"/>
        <sz val="11"/>
        <name val="Calibri"/>
        <family val="2"/>
        <scheme val="minor"/>
      </font>
      <alignment horizontal="general" textRotation="0" wrapText="1" indent="0" justifyLastLine="0" shrinkToFit="0" readingOrder="0"/>
    </dxf>
    <dxf>
      <font>
        <strike val="0"/>
        <outline val="0"/>
        <shadow val="0"/>
        <vertAlign val="baseline"/>
        <sz val="11"/>
        <name val="Calibri"/>
        <family val="2"/>
        <scheme val="minor"/>
      </font>
      <alignment horizontal="general" textRotation="0" wrapText="1" indent="0" justifyLastLine="0" shrinkToFit="0" readingOrder="0"/>
    </dxf>
    <dxf>
      <font>
        <strike val="0"/>
        <outline val="0"/>
        <shadow val="0"/>
        <vertAlign val="baseline"/>
        <sz val="11"/>
        <name val="Calibri"/>
        <family val="2"/>
        <scheme val="minor"/>
      </font>
      <alignment horizontal="general" textRotation="0" wrapText="1" indent="0" justifyLastLine="0" shrinkToFit="0" readingOrder="0"/>
    </dxf>
    <dxf>
      <font>
        <strike val="0"/>
        <outline val="0"/>
        <shadow val="0"/>
        <vertAlign val="baseline"/>
        <sz val="11"/>
        <name val="Calibri"/>
        <family val="2"/>
        <scheme val="minor"/>
      </font>
      <alignment horizontal="general" textRotation="0" wrapText="1" indent="0" justifyLastLine="0" shrinkToFit="0" readingOrder="0"/>
    </dxf>
    <dxf>
      <font>
        <strike val="0"/>
        <outline val="0"/>
        <shadow val="0"/>
        <vertAlign val="baseline"/>
        <sz val="11"/>
        <name val="Calibri"/>
        <family val="2"/>
        <scheme val="minor"/>
      </font>
      <alignment horizontal="general"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FF4F1F"/>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color rgb="FF006100"/>
      </font>
      <fill>
        <patternFill>
          <bgColor rgb="FFC6EFCE"/>
        </patternFill>
      </fill>
    </dxf>
    <dxf>
      <fill>
        <patternFill patternType="solid">
          <bgColor theme="5" tint="0.59999389629810485"/>
        </patternFill>
      </fill>
    </dxf>
    <dxf>
      <font>
        <color rgb="FF9C0006"/>
      </font>
      <fill>
        <patternFill patternType="solid">
          <bgColor theme="7" tint="0.59999389629810485"/>
        </patternFill>
      </fill>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vertAlign val="baseline"/>
        <sz val="11"/>
        <name val="Calibri"/>
        <family val="2"/>
        <scheme val="minor"/>
      </font>
      <alignment horizontal="general" textRotation="0" wrapText="1" indent="0" justifyLastLine="0" shrinkToFit="0" readingOrder="0"/>
    </dxf>
    <dxf>
      <font>
        <strike val="0"/>
        <outline val="0"/>
        <shadow val="0"/>
        <vertAlign val="baseline"/>
        <sz val="11"/>
        <name val="Calibri"/>
        <family val="2"/>
        <scheme val="minor"/>
      </font>
      <alignment horizontal="general" textRotation="0" wrapText="1" indent="0" justifyLastLine="0" shrinkToFit="0" readingOrder="0"/>
    </dxf>
    <dxf>
      <font>
        <strike val="0"/>
        <outline val="0"/>
        <shadow val="0"/>
        <vertAlign val="baseline"/>
        <sz val="11"/>
        <name val="Calibri"/>
        <family val="2"/>
        <scheme val="minor"/>
      </font>
      <alignment horizontal="general" textRotation="0" wrapText="1" indent="0" justifyLastLine="0" shrinkToFit="0" readingOrder="0"/>
    </dxf>
    <dxf>
      <font>
        <strike val="0"/>
        <outline val="0"/>
        <shadow val="0"/>
        <vertAlign val="baseline"/>
        <sz val="11"/>
        <name val="Calibri"/>
        <family val="2"/>
        <scheme val="minor"/>
      </font>
      <alignment horizontal="general" textRotation="0" wrapText="1" indent="0" justifyLastLine="0" shrinkToFit="0" readingOrder="0"/>
    </dxf>
    <dxf>
      <font>
        <strike val="0"/>
        <outline val="0"/>
        <shadow val="0"/>
        <vertAlign val="baseline"/>
        <sz val="11"/>
        <name val="Calibri"/>
        <family val="2"/>
        <scheme val="minor"/>
      </font>
      <alignment horizontal="general" textRotation="0" wrapText="1" indent="0" justifyLastLine="0" shrinkToFit="0" readingOrder="0"/>
    </dxf>
    <dxf>
      <font>
        <strike val="0"/>
        <outline val="0"/>
        <shadow val="0"/>
        <vertAlign val="baseline"/>
        <sz val="11"/>
        <name val="Calibri"/>
        <family val="2"/>
        <scheme val="minor"/>
      </font>
      <alignment horizontal="general" textRotation="0" wrapText="1" indent="0" justifyLastLine="0" shrinkToFit="0" readingOrder="0"/>
    </dxf>
    <dxf>
      <font>
        <strike val="0"/>
        <outline val="0"/>
        <shadow val="0"/>
        <vertAlign val="baseline"/>
        <sz val="11"/>
        <name val="Calibri"/>
        <family val="2"/>
        <scheme val="minor"/>
      </font>
      <alignment horizontal="general" textRotation="0" wrapText="1" indent="0" justifyLastLine="0" shrinkToFit="0" readingOrder="0"/>
    </dxf>
    <dxf>
      <font>
        <strike val="0"/>
        <outline val="0"/>
        <shadow val="0"/>
        <vertAlign val="baseline"/>
        <sz val="11"/>
        <name val="Calibri"/>
        <family val="2"/>
        <scheme val="minor"/>
      </font>
      <alignment horizontal="general" textRotation="0" wrapText="1" indent="0" justifyLastLine="0" shrinkToFit="0" readingOrder="0"/>
    </dxf>
    <dxf>
      <font>
        <strike val="0"/>
        <outline val="0"/>
        <shadow val="0"/>
        <vertAlign val="baseline"/>
        <sz val="11"/>
        <name val="Calibri"/>
        <family val="2"/>
        <scheme val="minor"/>
      </font>
      <alignment horizontal="general" textRotation="0" wrapText="1" indent="0" justifyLastLine="0" shrinkToFit="0" readingOrder="0"/>
    </dxf>
    <dxf>
      <font>
        <strike val="0"/>
        <outline val="0"/>
        <shadow val="0"/>
        <vertAlign val="baseline"/>
        <sz val="11"/>
        <name val="Calibri"/>
        <family val="2"/>
        <scheme val="minor"/>
      </font>
      <alignment horizontal="general" textRotation="0" wrapText="1" indent="0" justifyLastLine="0" shrinkToFit="0" readingOrder="0"/>
    </dxf>
    <dxf>
      <font>
        <strike val="0"/>
        <outline val="0"/>
        <shadow val="0"/>
        <vertAlign val="baseline"/>
        <sz val="11"/>
        <name val="Calibri"/>
        <family val="2"/>
        <scheme val="minor"/>
      </font>
      <alignment horizontal="general" textRotation="0" wrapText="1" indent="0" justifyLastLine="0" shrinkToFit="0" readingOrder="0"/>
    </dxf>
    <dxf>
      <font>
        <strike val="0"/>
        <outline val="0"/>
        <shadow val="0"/>
        <vertAlign val="baseline"/>
        <sz val="11"/>
        <name val="Calibri"/>
        <family val="2"/>
        <scheme val="minor"/>
      </font>
      <alignment horizontal="general" textRotation="0" wrapText="1" indent="0" justifyLastLine="0" shrinkToFit="0" readingOrder="0"/>
    </dxf>
    <dxf>
      <font>
        <strike val="0"/>
        <outline val="0"/>
        <shadow val="0"/>
        <vertAlign val="baseline"/>
        <sz val="11"/>
        <name val="Calibri"/>
        <family val="2"/>
        <scheme val="minor"/>
      </font>
      <alignment horizontal="general"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FF4F1F"/>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color rgb="FF006100"/>
      </font>
      <fill>
        <patternFill>
          <bgColor rgb="FFC6EFCE"/>
        </patternFill>
      </fill>
    </dxf>
    <dxf>
      <fill>
        <patternFill patternType="solid">
          <bgColor theme="5" tint="0.59999389629810485"/>
        </patternFill>
      </fill>
    </dxf>
    <dxf>
      <font>
        <color rgb="FF9C0006"/>
      </font>
      <fill>
        <patternFill patternType="solid">
          <bgColor theme="7" tint="0.59999389629810485"/>
        </patternFill>
      </fill>
    </dxf>
    <dxf>
      <font>
        <color rgb="FF006100"/>
      </font>
      <fill>
        <patternFill>
          <bgColor rgb="FFC6EFCE"/>
        </patternFill>
      </fill>
    </dxf>
    <dxf>
      <fill>
        <patternFill patternType="solid">
          <bgColor theme="5" tint="0.59999389629810485"/>
        </patternFill>
      </fill>
    </dxf>
    <dxf>
      <font>
        <color rgb="FF9C0006"/>
      </font>
      <fill>
        <patternFill patternType="solid">
          <bgColor theme="7" tint="0.59999389629810485"/>
        </patternFill>
      </fill>
    </dxf>
    <dxf>
      <font>
        <color rgb="FF006100"/>
      </font>
      <fill>
        <patternFill>
          <bgColor rgb="FFC6EFCE"/>
        </patternFill>
      </fill>
    </dxf>
    <dxf>
      <fill>
        <patternFill patternType="solid">
          <bgColor theme="5" tint="0.59999389629810485"/>
        </patternFill>
      </fill>
    </dxf>
    <dxf>
      <font>
        <color rgb="FF9C0006"/>
      </font>
      <fill>
        <patternFill patternType="solid">
          <bgColor theme="7" tint="0.59999389629810485"/>
        </patternFill>
      </fill>
    </dxf>
    <dxf>
      <font>
        <color rgb="FF006100"/>
      </font>
      <fill>
        <patternFill>
          <bgColor rgb="FFC6EFCE"/>
        </patternFill>
      </fill>
    </dxf>
    <dxf>
      <fill>
        <patternFill patternType="solid">
          <bgColor theme="5" tint="0.59999389629810485"/>
        </patternFill>
      </fill>
    </dxf>
    <dxf>
      <font>
        <color rgb="FF9C0006"/>
      </font>
      <fill>
        <patternFill patternType="solid">
          <bgColor theme="7" tint="0.59999389629810485"/>
        </patternFill>
      </fill>
    </dxf>
    <dxf>
      <font>
        <color rgb="FF006100"/>
      </font>
      <fill>
        <patternFill>
          <bgColor rgb="FFC6EFCE"/>
        </patternFill>
      </fill>
    </dxf>
    <dxf>
      <fill>
        <patternFill patternType="solid">
          <bgColor theme="5" tint="0.59999389629810485"/>
        </patternFill>
      </fill>
    </dxf>
    <dxf>
      <font>
        <color rgb="FF9C0006"/>
      </font>
      <fill>
        <patternFill patternType="solid">
          <bgColor theme="7" tint="0.59999389629810485"/>
        </patternFill>
      </fill>
    </dxf>
  </dxfs>
  <tableStyles count="0" defaultTableStyle="TableStyleMedium2" defaultPivotStyle="PivotStyleLight16"/>
  <colors>
    <mruColors>
      <color rgb="FFFF4F1F"/>
      <color rgb="FF545487"/>
      <color rgb="FFFFFFCC"/>
      <color rgb="FFFEB4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microsoft.com/office/2017/10/relationships/person" Target="persons/person.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editAs="oneCell">
    <xdr:from>
      <xdr:col>3</xdr:col>
      <xdr:colOff>200025</xdr:colOff>
      <xdr:row>5</xdr:row>
      <xdr:rowOff>638175</xdr:rowOff>
    </xdr:from>
    <xdr:to>
      <xdr:col>3</xdr:col>
      <xdr:colOff>409575</xdr:colOff>
      <xdr:row>7</xdr:row>
      <xdr:rowOff>32657</xdr:rowOff>
    </xdr:to>
    <xdr:sp macro="" textlink="">
      <xdr:nvSpPr>
        <xdr:cNvPr id="5136" name="Check Box 16" hidden="1">
          <a:extLst>
            <a:ext uri="{63B3BB69-23CF-44E3-9099-C40C66FF867C}">
              <a14:compatExt xmlns:a14="http://schemas.microsoft.com/office/drawing/2010/main" spid="_x0000_s5136"/>
            </a:ext>
            <a:ext uri="{FF2B5EF4-FFF2-40B4-BE49-F238E27FC236}">
              <a16:creationId xmlns:a16="http://schemas.microsoft.com/office/drawing/2014/main" id="{00000000-0008-0000-0A00-000010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4</xdr:col>
      <xdr:colOff>333375</xdr:colOff>
      <xdr:row>5</xdr:row>
      <xdr:rowOff>638175</xdr:rowOff>
    </xdr:from>
    <xdr:to>
      <xdr:col>4</xdr:col>
      <xdr:colOff>542925</xdr:colOff>
      <xdr:row>7</xdr:row>
      <xdr:rowOff>32657</xdr:rowOff>
    </xdr:to>
    <xdr:sp macro="" textlink="">
      <xdr:nvSpPr>
        <xdr:cNvPr id="5138" name="Check Box 18" hidden="1">
          <a:extLst>
            <a:ext uri="{63B3BB69-23CF-44E3-9099-C40C66FF867C}">
              <a14:compatExt xmlns:a14="http://schemas.microsoft.com/office/drawing/2010/main" spid="_x0000_s5138"/>
            </a:ext>
            <a:ext uri="{FF2B5EF4-FFF2-40B4-BE49-F238E27FC236}">
              <a16:creationId xmlns:a16="http://schemas.microsoft.com/office/drawing/2014/main" id="{00000000-0008-0000-0A00-000012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6</xdr:col>
      <xdr:colOff>304800</xdr:colOff>
      <xdr:row>5</xdr:row>
      <xdr:rowOff>638175</xdr:rowOff>
    </xdr:from>
    <xdr:to>
      <xdr:col>6</xdr:col>
      <xdr:colOff>514350</xdr:colOff>
      <xdr:row>7</xdr:row>
      <xdr:rowOff>32657</xdr:rowOff>
    </xdr:to>
    <xdr:sp macro="" textlink="">
      <xdr:nvSpPr>
        <xdr:cNvPr id="5139" name="Check Box 19" hidden="1">
          <a:extLst>
            <a:ext uri="{63B3BB69-23CF-44E3-9099-C40C66FF867C}">
              <a14:compatExt xmlns:a14="http://schemas.microsoft.com/office/drawing/2010/main" spid="_x0000_s5139"/>
            </a:ext>
            <a:ext uri="{FF2B5EF4-FFF2-40B4-BE49-F238E27FC236}">
              <a16:creationId xmlns:a16="http://schemas.microsoft.com/office/drawing/2014/main" id="{00000000-0008-0000-0A00-000013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7</xdr:col>
      <xdr:colOff>190500</xdr:colOff>
      <xdr:row>5</xdr:row>
      <xdr:rowOff>523875</xdr:rowOff>
    </xdr:from>
    <xdr:to>
      <xdr:col>7</xdr:col>
      <xdr:colOff>400050</xdr:colOff>
      <xdr:row>7</xdr:row>
      <xdr:rowOff>23132</xdr:rowOff>
    </xdr:to>
    <xdr:sp macro="" textlink="">
      <xdr:nvSpPr>
        <xdr:cNvPr id="5140" name="Check Box 20" hidden="1">
          <a:extLst>
            <a:ext uri="{63B3BB69-23CF-44E3-9099-C40C66FF867C}">
              <a14:compatExt xmlns:a14="http://schemas.microsoft.com/office/drawing/2010/main" spid="_x0000_s5140"/>
            </a:ext>
            <a:ext uri="{FF2B5EF4-FFF2-40B4-BE49-F238E27FC236}">
              <a16:creationId xmlns:a16="http://schemas.microsoft.com/office/drawing/2014/main" id="{00000000-0008-0000-0A00-000014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8</xdr:col>
      <xdr:colOff>228600</xdr:colOff>
      <xdr:row>5</xdr:row>
      <xdr:rowOff>523875</xdr:rowOff>
    </xdr:from>
    <xdr:to>
      <xdr:col>8</xdr:col>
      <xdr:colOff>428625</xdr:colOff>
      <xdr:row>7</xdr:row>
      <xdr:rowOff>23132</xdr:rowOff>
    </xdr:to>
    <xdr:sp macro="" textlink="">
      <xdr:nvSpPr>
        <xdr:cNvPr id="5141" name="Check Box 21" hidden="1">
          <a:extLst>
            <a:ext uri="{63B3BB69-23CF-44E3-9099-C40C66FF867C}">
              <a14:compatExt xmlns:a14="http://schemas.microsoft.com/office/drawing/2010/main" spid="_x0000_s5141"/>
            </a:ext>
            <a:ext uri="{FF2B5EF4-FFF2-40B4-BE49-F238E27FC236}">
              <a16:creationId xmlns:a16="http://schemas.microsoft.com/office/drawing/2014/main" id="{00000000-0008-0000-0A00-000015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3</xdr:col>
      <xdr:colOff>200025</xdr:colOff>
      <xdr:row>6</xdr:row>
      <xdr:rowOff>0</xdr:rowOff>
    </xdr:from>
    <xdr:to>
      <xdr:col>3</xdr:col>
      <xdr:colOff>409575</xdr:colOff>
      <xdr:row>7</xdr:row>
      <xdr:rowOff>32463</xdr:rowOff>
    </xdr:to>
    <xdr:sp macro="" textlink="">
      <xdr:nvSpPr>
        <xdr:cNvPr id="5152" name="Check Box 32" hidden="1">
          <a:extLst>
            <a:ext uri="{63B3BB69-23CF-44E3-9099-C40C66FF867C}">
              <a14:compatExt xmlns:a14="http://schemas.microsoft.com/office/drawing/2010/main" spid="_x0000_s5152"/>
            </a:ext>
            <a:ext uri="{FF2B5EF4-FFF2-40B4-BE49-F238E27FC236}">
              <a16:creationId xmlns:a16="http://schemas.microsoft.com/office/drawing/2014/main" id="{00000000-0008-0000-0A00-000020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3</xdr:col>
      <xdr:colOff>200025</xdr:colOff>
      <xdr:row>6</xdr:row>
      <xdr:rowOff>638175</xdr:rowOff>
    </xdr:from>
    <xdr:to>
      <xdr:col>3</xdr:col>
      <xdr:colOff>409575</xdr:colOff>
      <xdr:row>8</xdr:row>
      <xdr:rowOff>28576</xdr:rowOff>
    </xdr:to>
    <xdr:sp macro="" textlink="">
      <xdr:nvSpPr>
        <xdr:cNvPr id="5153" name="Check Box 33" hidden="1">
          <a:extLst>
            <a:ext uri="{63B3BB69-23CF-44E3-9099-C40C66FF867C}">
              <a14:compatExt xmlns:a14="http://schemas.microsoft.com/office/drawing/2010/main" spid="_x0000_s5153"/>
            </a:ext>
            <a:ext uri="{FF2B5EF4-FFF2-40B4-BE49-F238E27FC236}">
              <a16:creationId xmlns:a16="http://schemas.microsoft.com/office/drawing/2014/main" id="{00000000-0008-0000-0A00-000021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3</xdr:col>
      <xdr:colOff>200025</xdr:colOff>
      <xdr:row>7</xdr:row>
      <xdr:rowOff>638175</xdr:rowOff>
    </xdr:from>
    <xdr:to>
      <xdr:col>3</xdr:col>
      <xdr:colOff>409575</xdr:colOff>
      <xdr:row>9</xdr:row>
      <xdr:rowOff>28769</xdr:rowOff>
    </xdr:to>
    <xdr:sp macro="" textlink="">
      <xdr:nvSpPr>
        <xdr:cNvPr id="5154" name="Check Box 34" hidden="1">
          <a:extLst>
            <a:ext uri="{63B3BB69-23CF-44E3-9099-C40C66FF867C}">
              <a14:compatExt xmlns:a14="http://schemas.microsoft.com/office/drawing/2010/main" spid="_x0000_s5154"/>
            </a:ext>
            <a:ext uri="{FF2B5EF4-FFF2-40B4-BE49-F238E27FC236}">
              <a16:creationId xmlns:a16="http://schemas.microsoft.com/office/drawing/2014/main" id="{00000000-0008-0000-0A00-000022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3</xdr:col>
      <xdr:colOff>200025</xdr:colOff>
      <xdr:row>8</xdr:row>
      <xdr:rowOff>638175</xdr:rowOff>
    </xdr:from>
    <xdr:to>
      <xdr:col>3</xdr:col>
      <xdr:colOff>409575</xdr:colOff>
      <xdr:row>10</xdr:row>
      <xdr:rowOff>28769</xdr:rowOff>
    </xdr:to>
    <xdr:sp macro="" textlink="">
      <xdr:nvSpPr>
        <xdr:cNvPr id="5155" name="Check Box 35" hidden="1">
          <a:extLst>
            <a:ext uri="{63B3BB69-23CF-44E3-9099-C40C66FF867C}">
              <a14:compatExt xmlns:a14="http://schemas.microsoft.com/office/drawing/2010/main" spid="_x0000_s5155"/>
            </a:ext>
            <a:ext uri="{FF2B5EF4-FFF2-40B4-BE49-F238E27FC236}">
              <a16:creationId xmlns:a16="http://schemas.microsoft.com/office/drawing/2014/main" id="{00000000-0008-0000-0A00-000023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3</xdr:col>
      <xdr:colOff>200025</xdr:colOff>
      <xdr:row>9</xdr:row>
      <xdr:rowOff>638175</xdr:rowOff>
    </xdr:from>
    <xdr:to>
      <xdr:col>3</xdr:col>
      <xdr:colOff>409575</xdr:colOff>
      <xdr:row>11</xdr:row>
      <xdr:rowOff>28575</xdr:rowOff>
    </xdr:to>
    <xdr:sp macro="" textlink="">
      <xdr:nvSpPr>
        <xdr:cNvPr id="5156" name="Check Box 36" hidden="1">
          <a:extLst>
            <a:ext uri="{63B3BB69-23CF-44E3-9099-C40C66FF867C}">
              <a14:compatExt xmlns:a14="http://schemas.microsoft.com/office/drawing/2010/main" spid="_x0000_s5156"/>
            </a:ext>
            <a:ext uri="{FF2B5EF4-FFF2-40B4-BE49-F238E27FC236}">
              <a16:creationId xmlns:a16="http://schemas.microsoft.com/office/drawing/2014/main" id="{00000000-0008-0000-0A00-000024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3</xdr:col>
      <xdr:colOff>200025</xdr:colOff>
      <xdr:row>10</xdr:row>
      <xdr:rowOff>638175</xdr:rowOff>
    </xdr:from>
    <xdr:to>
      <xdr:col>3</xdr:col>
      <xdr:colOff>409575</xdr:colOff>
      <xdr:row>12</xdr:row>
      <xdr:rowOff>38100</xdr:rowOff>
    </xdr:to>
    <xdr:sp macro="" textlink="">
      <xdr:nvSpPr>
        <xdr:cNvPr id="5157" name="Check Box 37" hidden="1">
          <a:extLst>
            <a:ext uri="{63B3BB69-23CF-44E3-9099-C40C66FF867C}">
              <a14:compatExt xmlns:a14="http://schemas.microsoft.com/office/drawing/2010/main" spid="_x0000_s5157"/>
            </a:ext>
            <a:ext uri="{FF2B5EF4-FFF2-40B4-BE49-F238E27FC236}">
              <a16:creationId xmlns:a16="http://schemas.microsoft.com/office/drawing/2014/main" id="{00000000-0008-0000-0A00-000025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3</xdr:col>
      <xdr:colOff>200025</xdr:colOff>
      <xdr:row>12</xdr:row>
      <xdr:rowOff>638175</xdr:rowOff>
    </xdr:from>
    <xdr:to>
      <xdr:col>3</xdr:col>
      <xdr:colOff>409575</xdr:colOff>
      <xdr:row>13</xdr:row>
      <xdr:rowOff>222963</xdr:rowOff>
    </xdr:to>
    <xdr:sp macro="" textlink="">
      <xdr:nvSpPr>
        <xdr:cNvPr id="5158" name="Check Box 38" hidden="1">
          <a:extLst>
            <a:ext uri="{63B3BB69-23CF-44E3-9099-C40C66FF867C}">
              <a14:compatExt xmlns:a14="http://schemas.microsoft.com/office/drawing/2010/main" spid="_x0000_s5158"/>
            </a:ext>
            <a:ext uri="{FF2B5EF4-FFF2-40B4-BE49-F238E27FC236}">
              <a16:creationId xmlns:a16="http://schemas.microsoft.com/office/drawing/2014/main" id="{00000000-0008-0000-0A00-000026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3</xdr:col>
      <xdr:colOff>200025</xdr:colOff>
      <xdr:row>13</xdr:row>
      <xdr:rowOff>638175</xdr:rowOff>
    </xdr:from>
    <xdr:to>
      <xdr:col>3</xdr:col>
      <xdr:colOff>409575</xdr:colOff>
      <xdr:row>15</xdr:row>
      <xdr:rowOff>35574</xdr:rowOff>
    </xdr:to>
    <xdr:sp macro="" textlink="">
      <xdr:nvSpPr>
        <xdr:cNvPr id="5159" name="Check Box 39" hidden="1">
          <a:extLst>
            <a:ext uri="{63B3BB69-23CF-44E3-9099-C40C66FF867C}">
              <a14:compatExt xmlns:a14="http://schemas.microsoft.com/office/drawing/2010/main" spid="_x0000_s5159"/>
            </a:ext>
            <a:ext uri="{FF2B5EF4-FFF2-40B4-BE49-F238E27FC236}">
              <a16:creationId xmlns:a16="http://schemas.microsoft.com/office/drawing/2014/main" id="{00000000-0008-0000-0A00-000027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3</xdr:col>
      <xdr:colOff>200025</xdr:colOff>
      <xdr:row>13</xdr:row>
      <xdr:rowOff>638175</xdr:rowOff>
    </xdr:from>
    <xdr:to>
      <xdr:col>3</xdr:col>
      <xdr:colOff>409575</xdr:colOff>
      <xdr:row>15</xdr:row>
      <xdr:rowOff>35573</xdr:rowOff>
    </xdr:to>
    <xdr:sp macro="" textlink="">
      <xdr:nvSpPr>
        <xdr:cNvPr id="5160" name="Check Box 40" hidden="1">
          <a:extLst>
            <a:ext uri="{63B3BB69-23CF-44E3-9099-C40C66FF867C}">
              <a14:compatExt xmlns:a14="http://schemas.microsoft.com/office/drawing/2010/main" spid="_x0000_s5160"/>
            </a:ext>
            <a:ext uri="{FF2B5EF4-FFF2-40B4-BE49-F238E27FC236}">
              <a16:creationId xmlns:a16="http://schemas.microsoft.com/office/drawing/2014/main" id="{00000000-0008-0000-0A00-000028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3</xdr:col>
      <xdr:colOff>200025</xdr:colOff>
      <xdr:row>14</xdr:row>
      <xdr:rowOff>638175</xdr:rowOff>
    </xdr:from>
    <xdr:to>
      <xdr:col>3</xdr:col>
      <xdr:colOff>409575</xdr:colOff>
      <xdr:row>16</xdr:row>
      <xdr:rowOff>28575</xdr:rowOff>
    </xdr:to>
    <xdr:sp macro="" textlink="">
      <xdr:nvSpPr>
        <xdr:cNvPr id="5161" name="Check Box 41" hidden="1">
          <a:extLst>
            <a:ext uri="{63B3BB69-23CF-44E3-9099-C40C66FF867C}">
              <a14:compatExt xmlns:a14="http://schemas.microsoft.com/office/drawing/2010/main" spid="_x0000_s5161"/>
            </a:ext>
            <a:ext uri="{FF2B5EF4-FFF2-40B4-BE49-F238E27FC236}">
              <a16:creationId xmlns:a16="http://schemas.microsoft.com/office/drawing/2014/main" id="{00000000-0008-0000-0A00-000029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3</xdr:col>
      <xdr:colOff>200025</xdr:colOff>
      <xdr:row>15</xdr:row>
      <xdr:rowOff>638175</xdr:rowOff>
    </xdr:from>
    <xdr:to>
      <xdr:col>3</xdr:col>
      <xdr:colOff>409575</xdr:colOff>
      <xdr:row>17</xdr:row>
      <xdr:rowOff>28575</xdr:rowOff>
    </xdr:to>
    <xdr:sp macro="" textlink="">
      <xdr:nvSpPr>
        <xdr:cNvPr id="5162" name="Check Box 42" hidden="1">
          <a:extLst>
            <a:ext uri="{63B3BB69-23CF-44E3-9099-C40C66FF867C}">
              <a14:compatExt xmlns:a14="http://schemas.microsoft.com/office/drawing/2010/main" spid="_x0000_s5162"/>
            </a:ext>
            <a:ext uri="{FF2B5EF4-FFF2-40B4-BE49-F238E27FC236}">
              <a16:creationId xmlns:a16="http://schemas.microsoft.com/office/drawing/2014/main" id="{00000000-0008-0000-0A00-00002A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3</xdr:col>
      <xdr:colOff>200025</xdr:colOff>
      <xdr:row>16</xdr:row>
      <xdr:rowOff>638175</xdr:rowOff>
    </xdr:from>
    <xdr:to>
      <xdr:col>3</xdr:col>
      <xdr:colOff>409575</xdr:colOff>
      <xdr:row>18</xdr:row>
      <xdr:rowOff>28575</xdr:rowOff>
    </xdr:to>
    <xdr:sp macro="" textlink="">
      <xdr:nvSpPr>
        <xdr:cNvPr id="5163" name="Check Box 43" hidden="1">
          <a:extLst>
            <a:ext uri="{63B3BB69-23CF-44E3-9099-C40C66FF867C}">
              <a14:compatExt xmlns:a14="http://schemas.microsoft.com/office/drawing/2010/main" spid="_x0000_s5163"/>
            </a:ext>
            <a:ext uri="{FF2B5EF4-FFF2-40B4-BE49-F238E27FC236}">
              <a16:creationId xmlns:a16="http://schemas.microsoft.com/office/drawing/2014/main" id="{00000000-0008-0000-0A00-00002B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3</xdr:col>
      <xdr:colOff>200025</xdr:colOff>
      <xdr:row>17</xdr:row>
      <xdr:rowOff>638175</xdr:rowOff>
    </xdr:from>
    <xdr:to>
      <xdr:col>3</xdr:col>
      <xdr:colOff>409575</xdr:colOff>
      <xdr:row>19</xdr:row>
      <xdr:rowOff>28575</xdr:rowOff>
    </xdr:to>
    <xdr:sp macro="" textlink="">
      <xdr:nvSpPr>
        <xdr:cNvPr id="5164" name="Check Box 44" hidden="1">
          <a:extLst>
            <a:ext uri="{63B3BB69-23CF-44E3-9099-C40C66FF867C}">
              <a14:compatExt xmlns:a14="http://schemas.microsoft.com/office/drawing/2010/main" spid="_x0000_s5164"/>
            </a:ext>
            <a:ext uri="{FF2B5EF4-FFF2-40B4-BE49-F238E27FC236}">
              <a16:creationId xmlns:a16="http://schemas.microsoft.com/office/drawing/2014/main" id="{00000000-0008-0000-0A00-00002C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3</xdr:col>
      <xdr:colOff>200025</xdr:colOff>
      <xdr:row>18</xdr:row>
      <xdr:rowOff>638175</xdr:rowOff>
    </xdr:from>
    <xdr:to>
      <xdr:col>3</xdr:col>
      <xdr:colOff>409575</xdr:colOff>
      <xdr:row>20</xdr:row>
      <xdr:rowOff>28575</xdr:rowOff>
    </xdr:to>
    <xdr:sp macro="" textlink="">
      <xdr:nvSpPr>
        <xdr:cNvPr id="5165" name="Check Box 45" hidden="1">
          <a:extLst>
            <a:ext uri="{63B3BB69-23CF-44E3-9099-C40C66FF867C}">
              <a14:compatExt xmlns:a14="http://schemas.microsoft.com/office/drawing/2010/main" spid="_x0000_s5165"/>
            </a:ext>
            <a:ext uri="{FF2B5EF4-FFF2-40B4-BE49-F238E27FC236}">
              <a16:creationId xmlns:a16="http://schemas.microsoft.com/office/drawing/2014/main" id="{00000000-0008-0000-0A00-00002D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3</xdr:col>
      <xdr:colOff>200025</xdr:colOff>
      <xdr:row>19</xdr:row>
      <xdr:rowOff>638175</xdr:rowOff>
    </xdr:from>
    <xdr:to>
      <xdr:col>3</xdr:col>
      <xdr:colOff>409575</xdr:colOff>
      <xdr:row>21</xdr:row>
      <xdr:rowOff>28575</xdr:rowOff>
    </xdr:to>
    <xdr:sp macro="" textlink="">
      <xdr:nvSpPr>
        <xdr:cNvPr id="5166" name="Check Box 46" hidden="1">
          <a:extLst>
            <a:ext uri="{63B3BB69-23CF-44E3-9099-C40C66FF867C}">
              <a14:compatExt xmlns:a14="http://schemas.microsoft.com/office/drawing/2010/main" spid="_x0000_s5166"/>
            </a:ext>
            <a:ext uri="{FF2B5EF4-FFF2-40B4-BE49-F238E27FC236}">
              <a16:creationId xmlns:a16="http://schemas.microsoft.com/office/drawing/2014/main" id="{00000000-0008-0000-0A00-00002E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3</xdr:col>
      <xdr:colOff>200025</xdr:colOff>
      <xdr:row>20</xdr:row>
      <xdr:rowOff>638175</xdr:rowOff>
    </xdr:from>
    <xdr:to>
      <xdr:col>3</xdr:col>
      <xdr:colOff>409575</xdr:colOff>
      <xdr:row>22</xdr:row>
      <xdr:rowOff>28575</xdr:rowOff>
    </xdr:to>
    <xdr:sp macro="" textlink="">
      <xdr:nvSpPr>
        <xdr:cNvPr id="5167" name="Check Box 47" hidden="1">
          <a:extLst>
            <a:ext uri="{63B3BB69-23CF-44E3-9099-C40C66FF867C}">
              <a14:compatExt xmlns:a14="http://schemas.microsoft.com/office/drawing/2010/main" spid="_x0000_s5167"/>
            </a:ext>
            <a:ext uri="{FF2B5EF4-FFF2-40B4-BE49-F238E27FC236}">
              <a16:creationId xmlns:a16="http://schemas.microsoft.com/office/drawing/2014/main" id="{00000000-0008-0000-0A00-00002F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3</xdr:col>
      <xdr:colOff>200025</xdr:colOff>
      <xdr:row>21</xdr:row>
      <xdr:rowOff>638175</xdr:rowOff>
    </xdr:from>
    <xdr:to>
      <xdr:col>3</xdr:col>
      <xdr:colOff>409575</xdr:colOff>
      <xdr:row>23</xdr:row>
      <xdr:rowOff>28575</xdr:rowOff>
    </xdr:to>
    <xdr:sp macro="" textlink="">
      <xdr:nvSpPr>
        <xdr:cNvPr id="5168" name="Check Box 48" hidden="1">
          <a:extLst>
            <a:ext uri="{63B3BB69-23CF-44E3-9099-C40C66FF867C}">
              <a14:compatExt xmlns:a14="http://schemas.microsoft.com/office/drawing/2010/main" spid="_x0000_s5168"/>
            </a:ext>
            <a:ext uri="{FF2B5EF4-FFF2-40B4-BE49-F238E27FC236}">
              <a16:creationId xmlns:a16="http://schemas.microsoft.com/office/drawing/2014/main" id="{00000000-0008-0000-0A00-000030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3</xdr:col>
      <xdr:colOff>200025</xdr:colOff>
      <xdr:row>22</xdr:row>
      <xdr:rowOff>638175</xdr:rowOff>
    </xdr:from>
    <xdr:to>
      <xdr:col>3</xdr:col>
      <xdr:colOff>409575</xdr:colOff>
      <xdr:row>24</xdr:row>
      <xdr:rowOff>28575</xdr:rowOff>
    </xdr:to>
    <xdr:sp macro="" textlink="">
      <xdr:nvSpPr>
        <xdr:cNvPr id="5169" name="Check Box 49" hidden="1">
          <a:extLst>
            <a:ext uri="{63B3BB69-23CF-44E3-9099-C40C66FF867C}">
              <a14:compatExt xmlns:a14="http://schemas.microsoft.com/office/drawing/2010/main" spid="_x0000_s5169"/>
            </a:ext>
            <a:ext uri="{FF2B5EF4-FFF2-40B4-BE49-F238E27FC236}">
              <a16:creationId xmlns:a16="http://schemas.microsoft.com/office/drawing/2014/main" id="{00000000-0008-0000-0A00-000031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3</xdr:col>
      <xdr:colOff>200025</xdr:colOff>
      <xdr:row>23</xdr:row>
      <xdr:rowOff>638175</xdr:rowOff>
    </xdr:from>
    <xdr:to>
      <xdr:col>3</xdr:col>
      <xdr:colOff>409575</xdr:colOff>
      <xdr:row>25</xdr:row>
      <xdr:rowOff>28575</xdr:rowOff>
    </xdr:to>
    <xdr:sp macro="" textlink="">
      <xdr:nvSpPr>
        <xdr:cNvPr id="5170" name="Check Box 50" hidden="1">
          <a:extLst>
            <a:ext uri="{63B3BB69-23CF-44E3-9099-C40C66FF867C}">
              <a14:compatExt xmlns:a14="http://schemas.microsoft.com/office/drawing/2010/main" spid="_x0000_s5170"/>
            </a:ext>
            <a:ext uri="{FF2B5EF4-FFF2-40B4-BE49-F238E27FC236}">
              <a16:creationId xmlns:a16="http://schemas.microsoft.com/office/drawing/2014/main" id="{00000000-0008-0000-0A00-000032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4</xdr:col>
      <xdr:colOff>333375</xdr:colOff>
      <xdr:row>6</xdr:row>
      <xdr:rowOff>0</xdr:rowOff>
    </xdr:from>
    <xdr:to>
      <xdr:col>4</xdr:col>
      <xdr:colOff>542925</xdr:colOff>
      <xdr:row>7</xdr:row>
      <xdr:rowOff>32463</xdr:rowOff>
    </xdr:to>
    <xdr:sp macro="" textlink="">
      <xdr:nvSpPr>
        <xdr:cNvPr id="5171" name="Check Box 51" hidden="1">
          <a:extLst>
            <a:ext uri="{63B3BB69-23CF-44E3-9099-C40C66FF867C}">
              <a14:compatExt xmlns:a14="http://schemas.microsoft.com/office/drawing/2010/main" spid="_x0000_s5171"/>
            </a:ext>
            <a:ext uri="{FF2B5EF4-FFF2-40B4-BE49-F238E27FC236}">
              <a16:creationId xmlns:a16="http://schemas.microsoft.com/office/drawing/2014/main" id="{00000000-0008-0000-0A00-000033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4</xdr:col>
      <xdr:colOff>333375</xdr:colOff>
      <xdr:row>6</xdr:row>
      <xdr:rowOff>638175</xdr:rowOff>
    </xdr:from>
    <xdr:to>
      <xdr:col>4</xdr:col>
      <xdr:colOff>542925</xdr:colOff>
      <xdr:row>8</xdr:row>
      <xdr:rowOff>28576</xdr:rowOff>
    </xdr:to>
    <xdr:sp macro="" textlink="">
      <xdr:nvSpPr>
        <xdr:cNvPr id="5172" name="Check Box 52" hidden="1">
          <a:extLst>
            <a:ext uri="{63B3BB69-23CF-44E3-9099-C40C66FF867C}">
              <a14:compatExt xmlns:a14="http://schemas.microsoft.com/office/drawing/2010/main" spid="_x0000_s5172"/>
            </a:ext>
            <a:ext uri="{FF2B5EF4-FFF2-40B4-BE49-F238E27FC236}">
              <a16:creationId xmlns:a16="http://schemas.microsoft.com/office/drawing/2014/main" id="{00000000-0008-0000-0A00-000034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4</xdr:col>
      <xdr:colOff>333375</xdr:colOff>
      <xdr:row>7</xdr:row>
      <xdr:rowOff>638175</xdr:rowOff>
    </xdr:from>
    <xdr:to>
      <xdr:col>4</xdr:col>
      <xdr:colOff>542925</xdr:colOff>
      <xdr:row>9</xdr:row>
      <xdr:rowOff>28769</xdr:rowOff>
    </xdr:to>
    <xdr:sp macro="" textlink="">
      <xdr:nvSpPr>
        <xdr:cNvPr id="5173" name="Check Box 53" hidden="1">
          <a:extLst>
            <a:ext uri="{63B3BB69-23CF-44E3-9099-C40C66FF867C}">
              <a14:compatExt xmlns:a14="http://schemas.microsoft.com/office/drawing/2010/main" spid="_x0000_s5173"/>
            </a:ext>
            <a:ext uri="{FF2B5EF4-FFF2-40B4-BE49-F238E27FC236}">
              <a16:creationId xmlns:a16="http://schemas.microsoft.com/office/drawing/2014/main" id="{00000000-0008-0000-0A00-000035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4</xdr:col>
      <xdr:colOff>333375</xdr:colOff>
      <xdr:row>8</xdr:row>
      <xdr:rowOff>638175</xdr:rowOff>
    </xdr:from>
    <xdr:to>
      <xdr:col>4</xdr:col>
      <xdr:colOff>542925</xdr:colOff>
      <xdr:row>10</xdr:row>
      <xdr:rowOff>28769</xdr:rowOff>
    </xdr:to>
    <xdr:sp macro="" textlink="">
      <xdr:nvSpPr>
        <xdr:cNvPr id="5174" name="Check Box 54" hidden="1">
          <a:extLst>
            <a:ext uri="{63B3BB69-23CF-44E3-9099-C40C66FF867C}">
              <a14:compatExt xmlns:a14="http://schemas.microsoft.com/office/drawing/2010/main" spid="_x0000_s5174"/>
            </a:ext>
            <a:ext uri="{FF2B5EF4-FFF2-40B4-BE49-F238E27FC236}">
              <a16:creationId xmlns:a16="http://schemas.microsoft.com/office/drawing/2014/main" id="{00000000-0008-0000-0A00-000036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4</xdr:col>
      <xdr:colOff>333375</xdr:colOff>
      <xdr:row>9</xdr:row>
      <xdr:rowOff>638175</xdr:rowOff>
    </xdr:from>
    <xdr:to>
      <xdr:col>4</xdr:col>
      <xdr:colOff>542925</xdr:colOff>
      <xdr:row>11</xdr:row>
      <xdr:rowOff>28575</xdr:rowOff>
    </xdr:to>
    <xdr:sp macro="" textlink="">
      <xdr:nvSpPr>
        <xdr:cNvPr id="5175" name="Check Box 55" hidden="1">
          <a:extLst>
            <a:ext uri="{63B3BB69-23CF-44E3-9099-C40C66FF867C}">
              <a14:compatExt xmlns:a14="http://schemas.microsoft.com/office/drawing/2010/main" spid="_x0000_s5175"/>
            </a:ext>
            <a:ext uri="{FF2B5EF4-FFF2-40B4-BE49-F238E27FC236}">
              <a16:creationId xmlns:a16="http://schemas.microsoft.com/office/drawing/2014/main" id="{00000000-0008-0000-0A00-000037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4</xdr:col>
      <xdr:colOff>333375</xdr:colOff>
      <xdr:row>10</xdr:row>
      <xdr:rowOff>638175</xdr:rowOff>
    </xdr:from>
    <xdr:to>
      <xdr:col>4</xdr:col>
      <xdr:colOff>542925</xdr:colOff>
      <xdr:row>12</xdr:row>
      <xdr:rowOff>38100</xdr:rowOff>
    </xdr:to>
    <xdr:sp macro="" textlink="">
      <xdr:nvSpPr>
        <xdr:cNvPr id="5176" name="Check Box 56" hidden="1">
          <a:extLst>
            <a:ext uri="{63B3BB69-23CF-44E3-9099-C40C66FF867C}">
              <a14:compatExt xmlns:a14="http://schemas.microsoft.com/office/drawing/2010/main" spid="_x0000_s5176"/>
            </a:ext>
            <a:ext uri="{FF2B5EF4-FFF2-40B4-BE49-F238E27FC236}">
              <a16:creationId xmlns:a16="http://schemas.microsoft.com/office/drawing/2014/main" id="{00000000-0008-0000-0A00-000038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4</xdr:col>
      <xdr:colOff>333375</xdr:colOff>
      <xdr:row>12</xdr:row>
      <xdr:rowOff>638175</xdr:rowOff>
    </xdr:from>
    <xdr:to>
      <xdr:col>4</xdr:col>
      <xdr:colOff>542925</xdr:colOff>
      <xdr:row>13</xdr:row>
      <xdr:rowOff>222963</xdr:rowOff>
    </xdr:to>
    <xdr:sp macro="" textlink="">
      <xdr:nvSpPr>
        <xdr:cNvPr id="5177" name="Check Box 57" hidden="1">
          <a:extLst>
            <a:ext uri="{63B3BB69-23CF-44E3-9099-C40C66FF867C}">
              <a14:compatExt xmlns:a14="http://schemas.microsoft.com/office/drawing/2010/main" spid="_x0000_s5177"/>
            </a:ext>
            <a:ext uri="{FF2B5EF4-FFF2-40B4-BE49-F238E27FC236}">
              <a16:creationId xmlns:a16="http://schemas.microsoft.com/office/drawing/2014/main" id="{00000000-0008-0000-0A00-000039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4</xdr:col>
      <xdr:colOff>333375</xdr:colOff>
      <xdr:row>13</xdr:row>
      <xdr:rowOff>638175</xdr:rowOff>
    </xdr:from>
    <xdr:to>
      <xdr:col>4</xdr:col>
      <xdr:colOff>542925</xdr:colOff>
      <xdr:row>15</xdr:row>
      <xdr:rowOff>35574</xdr:rowOff>
    </xdr:to>
    <xdr:sp macro="" textlink="">
      <xdr:nvSpPr>
        <xdr:cNvPr id="5178" name="Check Box 58" hidden="1">
          <a:extLst>
            <a:ext uri="{63B3BB69-23CF-44E3-9099-C40C66FF867C}">
              <a14:compatExt xmlns:a14="http://schemas.microsoft.com/office/drawing/2010/main" spid="_x0000_s5178"/>
            </a:ext>
            <a:ext uri="{FF2B5EF4-FFF2-40B4-BE49-F238E27FC236}">
              <a16:creationId xmlns:a16="http://schemas.microsoft.com/office/drawing/2014/main" id="{00000000-0008-0000-0A00-00003A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4</xdr:col>
      <xdr:colOff>333375</xdr:colOff>
      <xdr:row>13</xdr:row>
      <xdr:rowOff>638175</xdr:rowOff>
    </xdr:from>
    <xdr:to>
      <xdr:col>4</xdr:col>
      <xdr:colOff>542925</xdr:colOff>
      <xdr:row>15</xdr:row>
      <xdr:rowOff>35573</xdr:rowOff>
    </xdr:to>
    <xdr:sp macro="" textlink="">
      <xdr:nvSpPr>
        <xdr:cNvPr id="5179" name="Check Box 59" hidden="1">
          <a:extLst>
            <a:ext uri="{63B3BB69-23CF-44E3-9099-C40C66FF867C}">
              <a14:compatExt xmlns:a14="http://schemas.microsoft.com/office/drawing/2010/main" spid="_x0000_s5179"/>
            </a:ext>
            <a:ext uri="{FF2B5EF4-FFF2-40B4-BE49-F238E27FC236}">
              <a16:creationId xmlns:a16="http://schemas.microsoft.com/office/drawing/2014/main" id="{00000000-0008-0000-0A00-00003B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4</xdr:col>
      <xdr:colOff>333375</xdr:colOff>
      <xdr:row>14</xdr:row>
      <xdr:rowOff>638175</xdr:rowOff>
    </xdr:from>
    <xdr:to>
      <xdr:col>4</xdr:col>
      <xdr:colOff>542925</xdr:colOff>
      <xdr:row>16</xdr:row>
      <xdr:rowOff>28575</xdr:rowOff>
    </xdr:to>
    <xdr:sp macro="" textlink="">
      <xdr:nvSpPr>
        <xdr:cNvPr id="5180" name="Check Box 60" hidden="1">
          <a:extLst>
            <a:ext uri="{63B3BB69-23CF-44E3-9099-C40C66FF867C}">
              <a14:compatExt xmlns:a14="http://schemas.microsoft.com/office/drawing/2010/main" spid="_x0000_s5180"/>
            </a:ext>
            <a:ext uri="{FF2B5EF4-FFF2-40B4-BE49-F238E27FC236}">
              <a16:creationId xmlns:a16="http://schemas.microsoft.com/office/drawing/2014/main" id="{00000000-0008-0000-0A00-00003C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4</xdr:col>
      <xdr:colOff>333375</xdr:colOff>
      <xdr:row>15</xdr:row>
      <xdr:rowOff>638175</xdr:rowOff>
    </xdr:from>
    <xdr:to>
      <xdr:col>4</xdr:col>
      <xdr:colOff>542925</xdr:colOff>
      <xdr:row>17</xdr:row>
      <xdr:rowOff>28575</xdr:rowOff>
    </xdr:to>
    <xdr:sp macro="" textlink="">
      <xdr:nvSpPr>
        <xdr:cNvPr id="5181" name="Check Box 61" hidden="1">
          <a:extLst>
            <a:ext uri="{63B3BB69-23CF-44E3-9099-C40C66FF867C}">
              <a14:compatExt xmlns:a14="http://schemas.microsoft.com/office/drawing/2010/main" spid="_x0000_s5181"/>
            </a:ext>
            <a:ext uri="{FF2B5EF4-FFF2-40B4-BE49-F238E27FC236}">
              <a16:creationId xmlns:a16="http://schemas.microsoft.com/office/drawing/2014/main" id="{00000000-0008-0000-0A00-00003D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4</xdr:col>
      <xdr:colOff>333375</xdr:colOff>
      <xdr:row>16</xdr:row>
      <xdr:rowOff>638175</xdr:rowOff>
    </xdr:from>
    <xdr:to>
      <xdr:col>4</xdr:col>
      <xdr:colOff>542925</xdr:colOff>
      <xdr:row>18</xdr:row>
      <xdr:rowOff>28575</xdr:rowOff>
    </xdr:to>
    <xdr:sp macro="" textlink="">
      <xdr:nvSpPr>
        <xdr:cNvPr id="5182" name="Check Box 62" hidden="1">
          <a:extLst>
            <a:ext uri="{63B3BB69-23CF-44E3-9099-C40C66FF867C}">
              <a14:compatExt xmlns:a14="http://schemas.microsoft.com/office/drawing/2010/main" spid="_x0000_s5182"/>
            </a:ext>
            <a:ext uri="{FF2B5EF4-FFF2-40B4-BE49-F238E27FC236}">
              <a16:creationId xmlns:a16="http://schemas.microsoft.com/office/drawing/2014/main" id="{00000000-0008-0000-0A00-00003E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4</xdr:col>
      <xdr:colOff>333375</xdr:colOff>
      <xdr:row>17</xdr:row>
      <xdr:rowOff>638175</xdr:rowOff>
    </xdr:from>
    <xdr:to>
      <xdr:col>4</xdr:col>
      <xdr:colOff>542925</xdr:colOff>
      <xdr:row>19</xdr:row>
      <xdr:rowOff>28575</xdr:rowOff>
    </xdr:to>
    <xdr:sp macro="" textlink="">
      <xdr:nvSpPr>
        <xdr:cNvPr id="5183" name="Check Box 63" hidden="1">
          <a:extLst>
            <a:ext uri="{63B3BB69-23CF-44E3-9099-C40C66FF867C}">
              <a14:compatExt xmlns:a14="http://schemas.microsoft.com/office/drawing/2010/main" spid="_x0000_s5183"/>
            </a:ext>
            <a:ext uri="{FF2B5EF4-FFF2-40B4-BE49-F238E27FC236}">
              <a16:creationId xmlns:a16="http://schemas.microsoft.com/office/drawing/2014/main" id="{00000000-0008-0000-0A00-00003F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4</xdr:col>
      <xdr:colOff>333375</xdr:colOff>
      <xdr:row>18</xdr:row>
      <xdr:rowOff>638175</xdr:rowOff>
    </xdr:from>
    <xdr:to>
      <xdr:col>4</xdr:col>
      <xdr:colOff>542925</xdr:colOff>
      <xdr:row>20</xdr:row>
      <xdr:rowOff>28575</xdr:rowOff>
    </xdr:to>
    <xdr:sp macro="" textlink="">
      <xdr:nvSpPr>
        <xdr:cNvPr id="5184" name="Check Box 64" hidden="1">
          <a:extLst>
            <a:ext uri="{63B3BB69-23CF-44E3-9099-C40C66FF867C}">
              <a14:compatExt xmlns:a14="http://schemas.microsoft.com/office/drawing/2010/main" spid="_x0000_s5184"/>
            </a:ext>
            <a:ext uri="{FF2B5EF4-FFF2-40B4-BE49-F238E27FC236}">
              <a16:creationId xmlns:a16="http://schemas.microsoft.com/office/drawing/2014/main" id="{00000000-0008-0000-0A00-000040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4</xdr:col>
      <xdr:colOff>333375</xdr:colOff>
      <xdr:row>19</xdr:row>
      <xdr:rowOff>638175</xdr:rowOff>
    </xdr:from>
    <xdr:to>
      <xdr:col>4</xdr:col>
      <xdr:colOff>542925</xdr:colOff>
      <xdr:row>21</xdr:row>
      <xdr:rowOff>28575</xdr:rowOff>
    </xdr:to>
    <xdr:sp macro="" textlink="">
      <xdr:nvSpPr>
        <xdr:cNvPr id="5185" name="Check Box 65" hidden="1">
          <a:extLst>
            <a:ext uri="{63B3BB69-23CF-44E3-9099-C40C66FF867C}">
              <a14:compatExt xmlns:a14="http://schemas.microsoft.com/office/drawing/2010/main" spid="_x0000_s5185"/>
            </a:ext>
            <a:ext uri="{FF2B5EF4-FFF2-40B4-BE49-F238E27FC236}">
              <a16:creationId xmlns:a16="http://schemas.microsoft.com/office/drawing/2014/main" id="{00000000-0008-0000-0A00-000041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4</xdr:col>
      <xdr:colOff>333375</xdr:colOff>
      <xdr:row>20</xdr:row>
      <xdr:rowOff>638175</xdr:rowOff>
    </xdr:from>
    <xdr:to>
      <xdr:col>4</xdr:col>
      <xdr:colOff>542925</xdr:colOff>
      <xdr:row>22</xdr:row>
      <xdr:rowOff>28575</xdr:rowOff>
    </xdr:to>
    <xdr:sp macro="" textlink="">
      <xdr:nvSpPr>
        <xdr:cNvPr id="5186" name="Check Box 66" hidden="1">
          <a:extLst>
            <a:ext uri="{63B3BB69-23CF-44E3-9099-C40C66FF867C}">
              <a14:compatExt xmlns:a14="http://schemas.microsoft.com/office/drawing/2010/main" spid="_x0000_s5186"/>
            </a:ext>
            <a:ext uri="{FF2B5EF4-FFF2-40B4-BE49-F238E27FC236}">
              <a16:creationId xmlns:a16="http://schemas.microsoft.com/office/drawing/2014/main" id="{00000000-0008-0000-0A00-000042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4</xdr:col>
      <xdr:colOff>333375</xdr:colOff>
      <xdr:row>21</xdr:row>
      <xdr:rowOff>638175</xdr:rowOff>
    </xdr:from>
    <xdr:to>
      <xdr:col>4</xdr:col>
      <xdr:colOff>542925</xdr:colOff>
      <xdr:row>23</xdr:row>
      <xdr:rowOff>28575</xdr:rowOff>
    </xdr:to>
    <xdr:sp macro="" textlink="">
      <xdr:nvSpPr>
        <xdr:cNvPr id="5187" name="Check Box 67" hidden="1">
          <a:extLst>
            <a:ext uri="{63B3BB69-23CF-44E3-9099-C40C66FF867C}">
              <a14:compatExt xmlns:a14="http://schemas.microsoft.com/office/drawing/2010/main" spid="_x0000_s5187"/>
            </a:ext>
            <a:ext uri="{FF2B5EF4-FFF2-40B4-BE49-F238E27FC236}">
              <a16:creationId xmlns:a16="http://schemas.microsoft.com/office/drawing/2014/main" id="{00000000-0008-0000-0A00-000043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4</xdr:col>
      <xdr:colOff>333375</xdr:colOff>
      <xdr:row>22</xdr:row>
      <xdr:rowOff>638175</xdr:rowOff>
    </xdr:from>
    <xdr:to>
      <xdr:col>4</xdr:col>
      <xdr:colOff>542925</xdr:colOff>
      <xdr:row>24</xdr:row>
      <xdr:rowOff>28575</xdr:rowOff>
    </xdr:to>
    <xdr:sp macro="" textlink="">
      <xdr:nvSpPr>
        <xdr:cNvPr id="5188" name="Check Box 68" hidden="1">
          <a:extLst>
            <a:ext uri="{63B3BB69-23CF-44E3-9099-C40C66FF867C}">
              <a14:compatExt xmlns:a14="http://schemas.microsoft.com/office/drawing/2010/main" spid="_x0000_s5188"/>
            </a:ext>
            <a:ext uri="{FF2B5EF4-FFF2-40B4-BE49-F238E27FC236}">
              <a16:creationId xmlns:a16="http://schemas.microsoft.com/office/drawing/2014/main" id="{00000000-0008-0000-0A00-000044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4</xdr:col>
      <xdr:colOff>333375</xdr:colOff>
      <xdr:row>23</xdr:row>
      <xdr:rowOff>638175</xdr:rowOff>
    </xdr:from>
    <xdr:to>
      <xdr:col>4</xdr:col>
      <xdr:colOff>542925</xdr:colOff>
      <xdr:row>25</xdr:row>
      <xdr:rowOff>28575</xdr:rowOff>
    </xdr:to>
    <xdr:sp macro="" textlink="">
      <xdr:nvSpPr>
        <xdr:cNvPr id="5189" name="Check Box 69" hidden="1">
          <a:extLst>
            <a:ext uri="{63B3BB69-23CF-44E3-9099-C40C66FF867C}">
              <a14:compatExt xmlns:a14="http://schemas.microsoft.com/office/drawing/2010/main" spid="_x0000_s5189"/>
            </a:ext>
            <a:ext uri="{FF2B5EF4-FFF2-40B4-BE49-F238E27FC236}">
              <a16:creationId xmlns:a16="http://schemas.microsoft.com/office/drawing/2014/main" id="{00000000-0008-0000-0A00-000045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6</xdr:col>
      <xdr:colOff>304800</xdr:colOff>
      <xdr:row>6</xdr:row>
      <xdr:rowOff>0</xdr:rowOff>
    </xdr:from>
    <xdr:to>
      <xdr:col>6</xdr:col>
      <xdr:colOff>514350</xdr:colOff>
      <xdr:row>7</xdr:row>
      <xdr:rowOff>32463</xdr:rowOff>
    </xdr:to>
    <xdr:sp macro="" textlink="">
      <xdr:nvSpPr>
        <xdr:cNvPr id="5190" name="Check Box 70" hidden="1">
          <a:extLst>
            <a:ext uri="{63B3BB69-23CF-44E3-9099-C40C66FF867C}">
              <a14:compatExt xmlns:a14="http://schemas.microsoft.com/office/drawing/2010/main" spid="_x0000_s5190"/>
            </a:ext>
            <a:ext uri="{FF2B5EF4-FFF2-40B4-BE49-F238E27FC236}">
              <a16:creationId xmlns:a16="http://schemas.microsoft.com/office/drawing/2014/main" id="{00000000-0008-0000-0A00-000046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6</xdr:col>
      <xdr:colOff>304800</xdr:colOff>
      <xdr:row>6</xdr:row>
      <xdr:rowOff>638175</xdr:rowOff>
    </xdr:from>
    <xdr:to>
      <xdr:col>6</xdr:col>
      <xdr:colOff>514350</xdr:colOff>
      <xdr:row>8</xdr:row>
      <xdr:rowOff>28576</xdr:rowOff>
    </xdr:to>
    <xdr:sp macro="" textlink="">
      <xdr:nvSpPr>
        <xdr:cNvPr id="5191" name="Check Box 71" hidden="1">
          <a:extLst>
            <a:ext uri="{63B3BB69-23CF-44E3-9099-C40C66FF867C}">
              <a14:compatExt xmlns:a14="http://schemas.microsoft.com/office/drawing/2010/main" spid="_x0000_s5191"/>
            </a:ext>
            <a:ext uri="{FF2B5EF4-FFF2-40B4-BE49-F238E27FC236}">
              <a16:creationId xmlns:a16="http://schemas.microsoft.com/office/drawing/2014/main" id="{00000000-0008-0000-0A00-000047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6</xdr:col>
      <xdr:colOff>304800</xdr:colOff>
      <xdr:row>7</xdr:row>
      <xdr:rowOff>638175</xdr:rowOff>
    </xdr:from>
    <xdr:to>
      <xdr:col>6</xdr:col>
      <xdr:colOff>514350</xdr:colOff>
      <xdr:row>9</xdr:row>
      <xdr:rowOff>28769</xdr:rowOff>
    </xdr:to>
    <xdr:sp macro="" textlink="">
      <xdr:nvSpPr>
        <xdr:cNvPr id="5192" name="Check Box 72" hidden="1">
          <a:extLst>
            <a:ext uri="{63B3BB69-23CF-44E3-9099-C40C66FF867C}">
              <a14:compatExt xmlns:a14="http://schemas.microsoft.com/office/drawing/2010/main" spid="_x0000_s5192"/>
            </a:ext>
            <a:ext uri="{FF2B5EF4-FFF2-40B4-BE49-F238E27FC236}">
              <a16:creationId xmlns:a16="http://schemas.microsoft.com/office/drawing/2014/main" id="{00000000-0008-0000-0A00-000048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6</xdr:col>
      <xdr:colOff>304800</xdr:colOff>
      <xdr:row>8</xdr:row>
      <xdr:rowOff>638175</xdr:rowOff>
    </xdr:from>
    <xdr:to>
      <xdr:col>6</xdr:col>
      <xdr:colOff>514350</xdr:colOff>
      <xdr:row>10</xdr:row>
      <xdr:rowOff>28769</xdr:rowOff>
    </xdr:to>
    <xdr:sp macro="" textlink="">
      <xdr:nvSpPr>
        <xdr:cNvPr id="5193" name="Check Box 73" hidden="1">
          <a:extLst>
            <a:ext uri="{63B3BB69-23CF-44E3-9099-C40C66FF867C}">
              <a14:compatExt xmlns:a14="http://schemas.microsoft.com/office/drawing/2010/main" spid="_x0000_s5193"/>
            </a:ext>
            <a:ext uri="{FF2B5EF4-FFF2-40B4-BE49-F238E27FC236}">
              <a16:creationId xmlns:a16="http://schemas.microsoft.com/office/drawing/2014/main" id="{00000000-0008-0000-0A00-000049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6</xdr:col>
      <xdr:colOff>304800</xdr:colOff>
      <xdr:row>9</xdr:row>
      <xdr:rowOff>638175</xdr:rowOff>
    </xdr:from>
    <xdr:to>
      <xdr:col>6</xdr:col>
      <xdr:colOff>514350</xdr:colOff>
      <xdr:row>11</xdr:row>
      <xdr:rowOff>28575</xdr:rowOff>
    </xdr:to>
    <xdr:sp macro="" textlink="">
      <xdr:nvSpPr>
        <xdr:cNvPr id="5194" name="Check Box 74" hidden="1">
          <a:extLst>
            <a:ext uri="{63B3BB69-23CF-44E3-9099-C40C66FF867C}">
              <a14:compatExt xmlns:a14="http://schemas.microsoft.com/office/drawing/2010/main" spid="_x0000_s5194"/>
            </a:ext>
            <a:ext uri="{FF2B5EF4-FFF2-40B4-BE49-F238E27FC236}">
              <a16:creationId xmlns:a16="http://schemas.microsoft.com/office/drawing/2014/main" id="{00000000-0008-0000-0A00-00004A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6</xdr:col>
      <xdr:colOff>304800</xdr:colOff>
      <xdr:row>10</xdr:row>
      <xdr:rowOff>638175</xdr:rowOff>
    </xdr:from>
    <xdr:to>
      <xdr:col>6</xdr:col>
      <xdr:colOff>514350</xdr:colOff>
      <xdr:row>12</xdr:row>
      <xdr:rowOff>38100</xdr:rowOff>
    </xdr:to>
    <xdr:sp macro="" textlink="">
      <xdr:nvSpPr>
        <xdr:cNvPr id="5195" name="Check Box 75" hidden="1">
          <a:extLst>
            <a:ext uri="{63B3BB69-23CF-44E3-9099-C40C66FF867C}">
              <a14:compatExt xmlns:a14="http://schemas.microsoft.com/office/drawing/2010/main" spid="_x0000_s5195"/>
            </a:ext>
            <a:ext uri="{FF2B5EF4-FFF2-40B4-BE49-F238E27FC236}">
              <a16:creationId xmlns:a16="http://schemas.microsoft.com/office/drawing/2014/main" id="{00000000-0008-0000-0A00-00004B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6</xdr:col>
      <xdr:colOff>304800</xdr:colOff>
      <xdr:row>12</xdr:row>
      <xdr:rowOff>638175</xdr:rowOff>
    </xdr:from>
    <xdr:to>
      <xdr:col>6</xdr:col>
      <xdr:colOff>514350</xdr:colOff>
      <xdr:row>13</xdr:row>
      <xdr:rowOff>222963</xdr:rowOff>
    </xdr:to>
    <xdr:sp macro="" textlink="">
      <xdr:nvSpPr>
        <xdr:cNvPr id="5196" name="Check Box 76" hidden="1">
          <a:extLst>
            <a:ext uri="{63B3BB69-23CF-44E3-9099-C40C66FF867C}">
              <a14:compatExt xmlns:a14="http://schemas.microsoft.com/office/drawing/2010/main" spid="_x0000_s5196"/>
            </a:ext>
            <a:ext uri="{FF2B5EF4-FFF2-40B4-BE49-F238E27FC236}">
              <a16:creationId xmlns:a16="http://schemas.microsoft.com/office/drawing/2014/main" id="{00000000-0008-0000-0A00-00004C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6</xdr:col>
      <xdr:colOff>304800</xdr:colOff>
      <xdr:row>13</xdr:row>
      <xdr:rowOff>638175</xdr:rowOff>
    </xdr:from>
    <xdr:to>
      <xdr:col>6</xdr:col>
      <xdr:colOff>514350</xdr:colOff>
      <xdr:row>15</xdr:row>
      <xdr:rowOff>35574</xdr:rowOff>
    </xdr:to>
    <xdr:sp macro="" textlink="">
      <xdr:nvSpPr>
        <xdr:cNvPr id="5197" name="Check Box 77" hidden="1">
          <a:extLst>
            <a:ext uri="{63B3BB69-23CF-44E3-9099-C40C66FF867C}">
              <a14:compatExt xmlns:a14="http://schemas.microsoft.com/office/drawing/2010/main" spid="_x0000_s5197"/>
            </a:ext>
            <a:ext uri="{FF2B5EF4-FFF2-40B4-BE49-F238E27FC236}">
              <a16:creationId xmlns:a16="http://schemas.microsoft.com/office/drawing/2014/main" id="{00000000-0008-0000-0A00-00004D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6</xdr:col>
      <xdr:colOff>304800</xdr:colOff>
      <xdr:row>13</xdr:row>
      <xdr:rowOff>638175</xdr:rowOff>
    </xdr:from>
    <xdr:to>
      <xdr:col>6</xdr:col>
      <xdr:colOff>514350</xdr:colOff>
      <xdr:row>15</xdr:row>
      <xdr:rowOff>35573</xdr:rowOff>
    </xdr:to>
    <xdr:sp macro="" textlink="">
      <xdr:nvSpPr>
        <xdr:cNvPr id="5198" name="Check Box 78" hidden="1">
          <a:extLst>
            <a:ext uri="{63B3BB69-23CF-44E3-9099-C40C66FF867C}">
              <a14:compatExt xmlns:a14="http://schemas.microsoft.com/office/drawing/2010/main" spid="_x0000_s5198"/>
            </a:ext>
            <a:ext uri="{FF2B5EF4-FFF2-40B4-BE49-F238E27FC236}">
              <a16:creationId xmlns:a16="http://schemas.microsoft.com/office/drawing/2014/main" id="{00000000-0008-0000-0A00-00004E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6</xdr:col>
      <xdr:colOff>304800</xdr:colOff>
      <xdr:row>14</xdr:row>
      <xdr:rowOff>638175</xdr:rowOff>
    </xdr:from>
    <xdr:to>
      <xdr:col>6</xdr:col>
      <xdr:colOff>514350</xdr:colOff>
      <xdr:row>16</xdr:row>
      <xdr:rowOff>28575</xdr:rowOff>
    </xdr:to>
    <xdr:sp macro="" textlink="">
      <xdr:nvSpPr>
        <xdr:cNvPr id="5199" name="Check Box 79" hidden="1">
          <a:extLst>
            <a:ext uri="{63B3BB69-23CF-44E3-9099-C40C66FF867C}">
              <a14:compatExt xmlns:a14="http://schemas.microsoft.com/office/drawing/2010/main" spid="_x0000_s5199"/>
            </a:ext>
            <a:ext uri="{FF2B5EF4-FFF2-40B4-BE49-F238E27FC236}">
              <a16:creationId xmlns:a16="http://schemas.microsoft.com/office/drawing/2014/main" id="{00000000-0008-0000-0A00-00004F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6</xdr:col>
      <xdr:colOff>304800</xdr:colOff>
      <xdr:row>15</xdr:row>
      <xdr:rowOff>638175</xdr:rowOff>
    </xdr:from>
    <xdr:to>
      <xdr:col>6</xdr:col>
      <xdr:colOff>514350</xdr:colOff>
      <xdr:row>17</xdr:row>
      <xdr:rowOff>28575</xdr:rowOff>
    </xdr:to>
    <xdr:sp macro="" textlink="">
      <xdr:nvSpPr>
        <xdr:cNvPr id="5200" name="Check Box 80" hidden="1">
          <a:extLst>
            <a:ext uri="{63B3BB69-23CF-44E3-9099-C40C66FF867C}">
              <a14:compatExt xmlns:a14="http://schemas.microsoft.com/office/drawing/2010/main" spid="_x0000_s5200"/>
            </a:ext>
            <a:ext uri="{FF2B5EF4-FFF2-40B4-BE49-F238E27FC236}">
              <a16:creationId xmlns:a16="http://schemas.microsoft.com/office/drawing/2014/main" id="{00000000-0008-0000-0A00-000050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6</xdr:col>
      <xdr:colOff>304800</xdr:colOff>
      <xdr:row>16</xdr:row>
      <xdr:rowOff>638175</xdr:rowOff>
    </xdr:from>
    <xdr:to>
      <xdr:col>6</xdr:col>
      <xdr:colOff>514350</xdr:colOff>
      <xdr:row>18</xdr:row>
      <xdr:rowOff>28575</xdr:rowOff>
    </xdr:to>
    <xdr:sp macro="" textlink="">
      <xdr:nvSpPr>
        <xdr:cNvPr id="5201" name="Check Box 81" hidden="1">
          <a:extLst>
            <a:ext uri="{63B3BB69-23CF-44E3-9099-C40C66FF867C}">
              <a14:compatExt xmlns:a14="http://schemas.microsoft.com/office/drawing/2010/main" spid="_x0000_s5201"/>
            </a:ext>
            <a:ext uri="{FF2B5EF4-FFF2-40B4-BE49-F238E27FC236}">
              <a16:creationId xmlns:a16="http://schemas.microsoft.com/office/drawing/2014/main" id="{00000000-0008-0000-0A00-000051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6</xdr:col>
      <xdr:colOff>304800</xdr:colOff>
      <xdr:row>17</xdr:row>
      <xdr:rowOff>638175</xdr:rowOff>
    </xdr:from>
    <xdr:to>
      <xdr:col>6</xdr:col>
      <xdr:colOff>514350</xdr:colOff>
      <xdr:row>19</xdr:row>
      <xdr:rowOff>28575</xdr:rowOff>
    </xdr:to>
    <xdr:sp macro="" textlink="">
      <xdr:nvSpPr>
        <xdr:cNvPr id="5202" name="Check Box 82" hidden="1">
          <a:extLst>
            <a:ext uri="{63B3BB69-23CF-44E3-9099-C40C66FF867C}">
              <a14:compatExt xmlns:a14="http://schemas.microsoft.com/office/drawing/2010/main" spid="_x0000_s5202"/>
            </a:ext>
            <a:ext uri="{FF2B5EF4-FFF2-40B4-BE49-F238E27FC236}">
              <a16:creationId xmlns:a16="http://schemas.microsoft.com/office/drawing/2014/main" id="{00000000-0008-0000-0A00-000052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6</xdr:col>
      <xdr:colOff>304800</xdr:colOff>
      <xdr:row>18</xdr:row>
      <xdr:rowOff>638175</xdr:rowOff>
    </xdr:from>
    <xdr:to>
      <xdr:col>6</xdr:col>
      <xdr:colOff>514350</xdr:colOff>
      <xdr:row>20</xdr:row>
      <xdr:rowOff>28575</xdr:rowOff>
    </xdr:to>
    <xdr:sp macro="" textlink="">
      <xdr:nvSpPr>
        <xdr:cNvPr id="5203" name="Check Box 83" hidden="1">
          <a:extLst>
            <a:ext uri="{63B3BB69-23CF-44E3-9099-C40C66FF867C}">
              <a14:compatExt xmlns:a14="http://schemas.microsoft.com/office/drawing/2010/main" spid="_x0000_s5203"/>
            </a:ext>
            <a:ext uri="{FF2B5EF4-FFF2-40B4-BE49-F238E27FC236}">
              <a16:creationId xmlns:a16="http://schemas.microsoft.com/office/drawing/2014/main" id="{00000000-0008-0000-0A00-000053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6</xdr:col>
      <xdr:colOff>304800</xdr:colOff>
      <xdr:row>19</xdr:row>
      <xdr:rowOff>638175</xdr:rowOff>
    </xdr:from>
    <xdr:to>
      <xdr:col>6</xdr:col>
      <xdr:colOff>514350</xdr:colOff>
      <xdr:row>21</xdr:row>
      <xdr:rowOff>28575</xdr:rowOff>
    </xdr:to>
    <xdr:sp macro="" textlink="">
      <xdr:nvSpPr>
        <xdr:cNvPr id="5204" name="Check Box 84" hidden="1">
          <a:extLst>
            <a:ext uri="{63B3BB69-23CF-44E3-9099-C40C66FF867C}">
              <a14:compatExt xmlns:a14="http://schemas.microsoft.com/office/drawing/2010/main" spid="_x0000_s5204"/>
            </a:ext>
            <a:ext uri="{FF2B5EF4-FFF2-40B4-BE49-F238E27FC236}">
              <a16:creationId xmlns:a16="http://schemas.microsoft.com/office/drawing/2014/main" id="{00000000-0008-0000-0A00-000054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6</xdr:col>
      <xdr:colOff>304800</xdr:colOff>
      <xdr:row>20</xdr:row>
      <xdr:rowOff>638175</xdr:rowOff>
    </xdr:from>
    <xdr:to>
      <xdr:col>6</xdr:col>
      <xdr:colOff>514350</xdr:colOff>
      <xdr:row>22</xdr:row>
      <xdr:rowOff>28575</xdr:rowOff>
    </xdr:to>
    <xdr:sp macro="" textlink="">
      <xdr:nvSpPr>
        <xdr:cNvPr id="5205" name="Check Box 85" hidden="1">
          <a:extLst>
            <a:ext uri="{63B3BB69-23CF-44E3-9099-C40C66FF867C}">
              <a14:compatExt xmlns:a14="http://schemas.microsoft.com/office/drawing/2010/main" spid="_x0000_s5205"/>
            </a:ext>
            <a:ext uri="{FF2B5EF4-FFF2-40B4-BE49-F238E27FC236}">
              <a16:creationId xmlns:a16="http://schemas.microsoft.com/office/drawing/2014/main" id="{00000000-0008-0000-0A00-000055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6</xdr:col>
      <xdr:colOff>304800</xdr:colOff>
      <xdr:row>21</xdr:row>
      <xdr:rowOff>638175</xdr:rowOff>
    </xdr:from>
    <xdr:to>
      <xdr:col>6</xdr:col>
      <xdr:colOff>514350</xdr:colOff>
      <xdr:row>23</xdr:row>
      <xdr:rowOff>28575</xdr:rowOff>
    </xdr:to>
    <xdr:sp macro="" textlink="">
      <xdr:nvSpPr>
        <xdr:cNvPr id="5206" name="Check Box 86" hidden="1">
          <a:extLst>
            <a:ext uri="{63B3BB69-23CF-44E3-9099-C40C66FF867C}">
              <a14:compatExt xmlns:a14="http://schemas.microsoft.com/office/drawing/2010/main" spid="_x0000_s5206"/>
            </a:ext>
            <a:ext uri="{FF2B5EF4-FFF2-40B4-BE49-F238E27FC236}">
              <a16:creationId xmlns:a16="http://schemas.microsoft.com/office/drawing/2014/main" id="{00000000-0008-0000-0A00-000056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6</xdr:col>
      <xdr:colOff>304800</xdr:colOff>
      <xdr:row>22</xdr:row>
      <xdr:rowOff>638175</xdr:rowOff>
    </xdr:from>
    <xdr:to>
      <xdr:col>6</xdr:col>
      <xdr:colOff>514350</xdr:colOff>
      <xdr:row>24</xdr:row>
      <xdr:rowOff>28575</xdr:rowOff>
    </xdr:to>
    <xdr:sp macro="" textlink="">
      <xdr:nvSpPr>
        <xdr:cNvPr id="5207" name="Check Box 87" hidden="1">
          <a:extLst>
            <a:ext uri="{63B3BB69-23CF-44E3-9099-C40C66FF867C}">
              <a14:compatExt xmlns:a14="http://schemas.microsoft.com/office/drawing/2010/main" spid="_x0000_s5207"/>
            </a:ext>
            <a:ext uri="{FF2B5EF4-FFF2-40B4-BE49-F238E27FC236}">
              <a16:creationId xmlns:a16="http://schemas.microsoft.com/office/drawing/2014/main" id="{00000000-0008-0000-0A00-000057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6</xdr:col>
      <xdr:colOff>304800</xdr:colOff>
      <xdr:row>23</xdr:row>
      <xdr:rowOff>638175</xdr:rowOff>
    </xdr:from>
    <xdr:to>
      <xdr:col>6</xdr:col>
      <xdr:colOff>514350</xdr:colOff>
      <xdr:row>25</xdr:row>
      <xdr:rowOff>28575</xdr:rowOff>
    </xdr:to>
    <xdr:sp macro="" textlink="">
      <xdr:nvSpPr>
        <xdr:cNvPr id="5208" name="Check Box 88" hidden="1">
          <a:extLst>
            <a:ext uri="{63B3BB69-23CF-44E3-9099-C40C66FF867C}">
              <a14:compatExt xmlns:a14="http://schemas.microsoft.com/office/drawing/2010/main" spid="_x0000_s5208"/>
            </a:ext>
            <a:ext uri="{FF2B5EF4-FFF2-40B4-BE49-F238E27FC236}">
              <a16:creationId xmlns:a16="http://schemas.microsoft.com/office/drawing/2014/main" id="{00000000-0008-0000-0A00-000058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7</xdr:col>
      <xdr:colOff>190500</xdr:colOff>
      <xdr:row>6</xdr:row>
      <xdr:rowOff>0</xdr:rowOff>
    </xdr:from>
    <xdr:to>
      <xdr:col>7</xdr:col>
      <xdr:colOff>400050</xdr:colOff>
      <xdr:row>7</xdr:row>
      <xdr:rowOff>13413</xdr:rowOff>
    </xdr:to>
    <xdr:sp macro="" textlink="">
      <xdr:nvSpPr>
        <xdr:cNvPr id="5209" name="Check Box 89" hidden="1">
          <a:extLst>
            <a:ext uri="{63B3BB69-23CF-44E3-9099-C40C66FF867C}">
              <a14:compatExt xmlns:a14="http://schemas.microsoft.com/office/drawing/2010/main" spid="_x0000_s5209"/>
            </a:ext>
            <a:ext uri="{FF2B5EF4-FFF2-40B4-BE49-F238E27FC236}">
              <a16:creationId xmlns:a16="http://schemas.microsoft.com/office/drawing/2014/main" id="{00000000-0008-0000-0A00-000059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7</xdr:col>
      <xdr:colOff>190500</xdr:colOff>
      <xdr:row>6</xdr:row>
      <xdr:rowOff>523875</xdr:rowOff>
    </xdr:from>
    <xdr:to>
      <xdr:col>7</xdr:col>
      <xdr:colOff>400050</xdr:colOff>
      <xdr:row>8</xdr:row>
      <xdr:rowOff>9526</xdr:rowOff>
    </xdr:to>
    <xdr:sp macro="" textlink="">
      <xdr:nvSpPr>
        <xdr:cNvPr id="5210" name="Check Box 90" hidden="1">
          <a:extLst>
            <a:ext uri="{63B3BB69-23CF-44E3-9099-C40C66FF867C}">
              <a14:compatExt xmlns:a14="http://schemas.microsoft.com/office/drawing/2010/main" spid="_x0000_s5210"/>
            </a:ext>
            <a:ext uri="{FF2B5EF4-FFF2-40B4-BE49-F238E27FC236}">
              <a16:creationId xmlns:a16="http://schemas.microsoft.com/office/drawing/2014/main" id="{00000000-0008-0000-0A00-00005A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7</xdr:col>
      <xdr:colOff>190500</xdr:colOff>
      <xdr:row>7</xdr:row>
      <xdr:rowOff>523875</xdr:rowOff>
    </xdr:from>
    <xdr:to>
      <xdr:col>7</xdr:col>
      <xdr:colOff>400050</xdr:colOff>
      <xdr:row>9</xdr:row>
      <xdr:rowOff>9719</xdr:rowOff>
    </xdr:to>
    <xdr:sp macro="" textlink="">
      <xdr:nvSpPr>
        <xdr:cNvPr id="5211" name="Check Box 91" hidden="1">
          <a:extLst>
            <a:ext uri="{63B3BB69-23CF-44E3-9099-C40C66FF867C}">
              <a14:compatExt xmlns:a14="http://schemas.microsoft.com/office/drawing/2010/main" spid="_x0000_s5211"/>
            </a:ext>
            <a:ext uri="{FF2B5EF4-FFF2-40B4-BE49-F238E27FC236}">
              <a16:creationId xmlns:a16="http://schemas.microsoft.com/office/drawing/2014/main" id="{00000000-0008-0000-0A00-00005B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7</xdr:col>
      <xdr:colOff>190500</xdr:colOff>
      <xdr:row>8</xdr:row>
      <xdr:rowOff>523875</xdr:rowOff>
    </xdr:from>
    <xdr:to>
      <xdr:col>7</xdr:col>
      <xdr:colOff>400050</xdr:colOff>
      <xdr:row>10</xdr:row>
      <xdr:rowOff>9719</xdr:rowOff>
    </xdr:to>
    <xdr:sp macro="" textlink="">
      <xdr:nvSpPr>
        <xdr:cNvPr id="5212" name="Check Box 92" hidden="1">
          <a:extLst>
            <a:ext uri="{63B3BB69-23CF-44E3-9099-C40C66FF867C}">
              <a14:compatExt xmlns:a14="http://schemas.microsoft.com/office/drawing/2010/main" spid="_x0000_s5212"/>
            </a:ext>
            <a:ext uri="{FF2B5EF4-FFF2-40B4-BE49-F238E27FC236}">
              <a16:creationId xmlns:a16="http://schemas.microsoft.com/office/drawing/2014/main" id="{00000000-0008-0000-0A00-00005C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7</xdr:col>
      <xdr:colOff>190500</xdr:colOff>
      <xdr:row>9</xdr:row>
      <xdr:rowOff>523875</xdr:rowOff>
    </xdr:from>
    <xdr:to>
      <xdr:col>7</xdr:col>
      <xdr:colOff>400050</xdr:colOff>
      <xdr:row>11</xdr:row>
      <xdr:rowOff>9525</xdr:rowOff>
    </xdr:to>
    <xdr:sp macro="" textlink="">
      <xdr:nvSpPr>
        <xdr:cNvPr id="5213" name="Check Box 93" hidden="1">
          <a:extLst>
            <a:ext uri="{63B3BB69-23CF-44E3-9099-C40C66FF867C}">
              <a14:compatExt xmlns:a14="http://schemas.microsoft.com/office/drawing/2010/main" spid="_x0000_s5213"/>
            </a:ext>
            <a:ext uri="{FF2B5EF4-FFF2-40B4-BE49-F238E27FC236}">
              <a16:creationId xmlns:a16="http://schemas.microsoft.com/office/drawing/2014/main" id="{00000000-0008-0000-0A00-00005D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7</xdr:col>
      <xdr:colOff>190500</xdr:colOff>
      <xdr:row>10</xdr:row>
      <xdr:rowOff>523875</xdr:rowOff>
    </xdr:from>
    <xdr:to>
      <xdr:col>7</xdr:col>
      <xdr:colOff>400050</xdr:colOff>
      <xdr:row>12</xdr:row>
      <xdr:rowOff>9525</xdr:rowOff>
    </xdr:to>
    <xdr:sp macro="" textlink="">
      <xdr:nvSpPr>
        <xdr:cNvPr id="5214" name="Check Box 94" hidden="1">
          <a:extLst>
            <a:ext uri="{63B3BB69-23CF-44E3-9099-C40C66FF867C}">
              <a14:compatExt xmlns:a14="http://schemas.microsoft.com/office/drawing/2010/main" spid="_x0000_s5214"/>
            </a:ext>
            <a:ext uri="{FF2B5EF4-FFF2-40B4-BE49-F238E27FC236}">
              <a16:creationId xmlns:a16="http://schemas.microsoft.com/office/drawing/2014/main" id="{00000000-0008-0000-0A00-00005E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7</xdr:col>
      <xdr:colOff>190500</xdr:colOff>
      <xdr:row>12</xdr:row>
      <xdr:rowOff>523875</xdr:rowOff>
    </xdr:from>
    <xdr:to>
      <xdr:col>7</xdr:col>
      <xdr:colOff>400050</xdr:colOff>
      <xdr:row>13</xdr:row>
      <xdr:rowOff>203913</xdr:rowOff>
    </xdr:to>
    <xdr:sp macro="" textlink="">
      <xdr:nvSpPr>
        <xdr:cNvPr id="5215" name="Check Box 95" hidden="1">
          <a:extLst>
            <a:ext uri="{63B3BB69-23CF-44E3-9099-C40C66FF867C}">
              <a14:compatExt xmlns:a14="http://schemas.microsoft.com/office/drawing/2010/main" spid="_x0000_s5215"/>
            </a:ext>
            <a:ext uri="{FF2B5EF4-FFF2-40B4-BE49-F238E27FC236}">
              <a16:creationId xmlns:a16="http://schemas.microsoft.com/office/drawing/2014/main" id="{00000000-0008-0000-0A00-00005F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7</xdr:col>
      <xdr:colOff>190500</xdr:colOff>
      <xdr:row>13</xdr:row>
      <xdr:rowOff>523875</xdr:rowOff>
    </xdr:from>
    <xdr:to>
      <xdr:col>7</xdr:col>
      <xdr:colOff>400050</xdr:colOff>
      <xdr:row>15</xdr:row>
      <xdr:rowOff>16524</xdr:rowOff>
    </xdr:to>
    <xdr:sp macro="" textlink="">
      <xdr:nvSpPr>
        <xdr:cNvPr id="5216" name="Check Box 96" hidden="1">
          <a:extLst>
            <a:ext uri="{63B3BB69-23CF-44E3-9099-C40C66FF867C}">
              <a14:compatExt xmlns:a14="http://schemas.microsoft.com/office/drawing/2010/main" spid="_x0000_s5216"/>
            </a:ext>
            <a:ext uri="{FF2B5EF4-FFF2-40B4-BE49-F238E27FC236}">
              <a16:creationId xmlns:a16="http://schemas.microsoft.com/office/drawing/2014/main" id="{00000000-0008-0000-0A00-000060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7</xdr:col>
      <xdr:colOff>190500</xdr:colOff>
      <xdr:row>13</xdr:row>
      <xdr:rowOff>523875</xdr:rowOff>
    </xdr:from>
    <xdr:to>
      <xdr:col>7</xdr:col>
      <xdr:colOff>400050</xdr:colOff>
      <xdr:row>15</xdr:row>
      <xdr:rowOff>16523</xdr:rowOff>
    </xdr:to>
    <xdr:sp macro="" textlink="">
      <xdr:nvSpPr>
        <xdr:cNvPr id="5217" name="Check Box 97" hidden="1">
          <a:extLst>
            <a:ext uri="{63B3BB69-23CF-44E3-9099-C40C66FF867C}">
              <a14:compatExt xmlns:a14="http://schemas.microsoft.com/office/drawing/2010/main" spid="_x0000_s5217"/>
            </a:ext>
            <a:ext uri="{FF2B5EF4-FFF2-40B4-BE49-F238E27FC236}">
              <a16:creationId xmlns:a16="http://schemas.microsoft.com/office/drawing/2014/main" id="{00000000-0008-0000-0A00-000061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7</xdr:col>
      <xdr:colOff>190500</xdr:colOff>
      <xdr:row>14</xdr:row>
      <xdr:rowOff>523875</xdr:rowOff>
    </xdr:from>
    <xdr:to>
      <xdr:col>7</xdr:col>
      <xdr:colOff>400050</xdr:colOff>
      <xdr:row>16</xdr:row>
      <xdr:rowOff>9525</xdr:rowOff>
    </xdr:to>
    <xdr:sp macro="" textlink="">
      <xdr:nvSpPr>
        <xdr:cNvPr id="5218" name="Check Box 98" hidden="1">
          <a:extLst>
            <a:ext uri="{63B3BB69-23CF-44E3-9099-C40C66FF867C}">
              <a14:compatExt xmlns:a14="http://schemas.microsoft.com/office/drawing/2010/main" spid="_x0000_s5218"/>
            </a:ext>
            <a:ext uri="{FF2B5EF4-FFF2-40B4-BE49-F238E27FC236}">
              <a16:creationId xmlns:a16="http://schemas.microsoft.com/office/drawing/2014/main" id="{00000000-0008-0000-0A00-000062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7</xdr:col>
      <xdr:colOff>190500</xdr:colOff>
      <xdr:row>15</xdr:row>
      <xdr:rowOff>523875</xdr:rowOff>
    </xdr:from>
    <xdr:to>
      <xdr:col>7</xdr:col>
      <xdr:colOff>400050</xdr:colOff>
      <xdr:row>17</xdr:row>
      <xdr:rowOff>9525</xdr:rowOff>
    </xdr:to>
    <xdr:sp macro="" textlink="">
      <xdr:nvSpPr>
        <xdr:cNvPr id="5219" name="Check Box 99" hidden="1">
          <a:extLst>
            <a:ext uri="{63B3BB69-23CF-44E3-9099-C40C66FF867C}">
              <a14:compatExt xmlns:a14="http://schemas.microsoft.com/office/drawing/2010/main" spid="_x0000_s5219"/>
            </a:ext>
            <a:ext uri="{FF2B5EF4-FFF2-40B4-BE49-F238E27FC236}">
              <a16:creationId xmlns:a16="http://schemas.microsoft.com/office/drawing/2014/main" id="{00000000-0008-0000-0A00-000063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7</xdr:col>
      <xdr:colOff>190500</xdr:colOff>
      <xdr:row>16</xdr:row>
      <xdr:rowOff>523875</xdr:rowOff>
    </xdr:from>
    <xdr:to>
      <xdr:col>7</xdr:col>
      <xdr:colOff>400050</xdr:colOff>
      <xdr:row>18</xdr:row>
      <xdr:rowOff>9525</xdr:rowOff>
    </xdr:to>
    <xdr:sp macro="" textlink="">
      <xdr:nvSpPr>
        <xdr:cNvPr id="5220" name="Check Box 100" hidden="1">
          <a:extLst>
            <a:ext uri="{63B3BB69-23CF-44E3-9099-C40C66FF867C}">
              <a14:compatExt xmlns:a14="http://schemas.microsoft.com/office/drawing/2010/main" spid="_x0000_s5220"/>
            </a:ext>
            <a:ext uri="{FF2B5EF4-FFF2-40B4-BE49-F238E27FC236}">
              <a16:creationId xmlns:a16="http://schemas.microsoft.com/office/drawing/2014/main" id="{00000000-0008-0000-0A00-000064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7</xdr:col>
      <xdr:colOff>190500</xdr:colOff>
      <xdr:row>17</xdr:row>
      <xdr:rowOff>523875</xdr:rowOff>
    </xdr:from>
    <xdr:to>
      <xdr:col>7</xdr:col>
      <xdr:colOff>400050</xdr:colOff>
      <xdr:row>19</xdr:row>
      <xdr:rowOff>9525</xdr:rowOff>
    </xdr:to>
    <xdr:sp macro="" textlink="">
      <xdr:nvSpPr>
        <xdr:cNvPr id="5221" name="Check Box 101" hidden="1">
          <a:extLst>
            <a:ext uri="{63B3BB69-23CF-44E3-9099-C40C66FF867C}">
              <a14:compatExt xmlns:a14="http://schemas.microsoft.com/office/drawing/2010/main" spid="_x0000_s5221"/>
            </a:ext>
            <a:ext uri="{FF2B5EF4-FFF2-40B4-BE49-F238E27FC236}">
              <a16:creationId xmlns:a16="http://schemas.microsoft.com/office/drawing/2014/main" id="{00000000-0008-0000-0A00-000065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7</xdr:col>
      <xdr:colOff>190500</xdr:colOff>
      <xdr:row>18</xdr:row>
      <xdr:rowOff>523875</xdr:rowOff>
    </xdr:from>
    <xdr:to>
      <xdr:col>7</xdr:col>
      <xdr:colOff>400050</xdr:colOff>
      <xdr:row>20</xdr:row>
      <xdr:rowOff>9525</xdr:rowOff>
    </xdr:to>
    <xdr:sp macro="" textlink="">
      <xdr:nvSpPr>
        <xdr:cNvPr id="5222" name="Check Box 102" hidden="1">
          <a:extLst>
            <a:ext uri="{63B3BB69-23CF-44E3-9099-C40C66FF867C}">
              <a14:compatExt xmlns:a14="http://schemas.microsoft.com/office/drawing/2010/main" spid="_x0000_s5222"/>
            </a:ext>
            <a:ext uri="{FF2B5EF4-FFF2-40B4-BE49-F238E27FC236}">
              <a16:creationId xmlns:a16="http://schemas.microsoft.com/office/drawing/2014/main" id="{00000000-0008-0000-0A00-000066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7</xdr:col>
      <xdr:colOff>190500</xdr:colOff>
      <xdr:row>19</xdr:row>
      <xdr:rowOff>523875</xdr:rowOff>
    </xdr:from>
    <xdr:to>
      <xdr:col>7</xdr:col>
      <xdr:colOff>400050</xdr:colOff>
      <xdr:row>21</xdr:row>
      <xdr:rowOff>9525</xdr:rowOff>
    </xdr:to>
    <xdr:sp macro="" textlink="">
      <xdr:nvSpPr>
        <xdr:cNvPr id="5223" name="Check Box 103" hidden="1">
          <a:extLst>
            <a:ext uri="{63B3BB69-23CF-44E3-9099-C40C66FF867C}">
              <a14:compatExt xmlns:a14="http://schemas.microsoft.com/office/drawing/2010/main" spid="_x0000_s5223"/>
            </a:ext>
            <a:ext uri="{FF2B5EF4-FFF2-40B4-BE49-F238E27FC236}">
              <a16:creationId xmlns:a16="http://schemas.microsoft.com/office/drawing/2014/main" id="{00000000-0008-0000-0A00-000067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7</xdr:col>
      <xdr:colOff>190500</xdr:colOff>
      <xdr:row>20</xdr:row>
      <xdr:rowOff>523875</xdr:rowOff>
    </xdr:from>
    <xdr:to>
      <xdr:col>7</xdr:col>
      <xdr:colOff>400050</xdr:colOff>
      <xdr:row>22</xdr:row>
      <xdr:rowOff>9525</xdr:rowOff>
    </xdr:to>
    <xdr:sp macro="" textlink="">
      <xdr:nvSpPr>
        <xdr:cNvPr id="5224" name="Check Box 104" hidden="1">
          <a:extLst>
            <a:ext uri="{63B3BB69-23CF-44E3-9099-C40C66FF867C}">
              <a14:compatExt xmlns:a14="http://schemas.microsoft.com/office/drawing/2010/main" spid="_x0000_s5224"/>
            </a:ext>
            <a:ext uri="{FF2B5EF4-FFF2-40B4-BE49-F238E27FC236}">
              <a16:creationId xmlns:a16="http://schemas.microsoft.com/office/drawing/2014/main" id="{00000000-0008-0000-0A00-000068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7</xdr:col>
      <xdr:colOff>190500</xdr:colOff>
      <xdr:row>21</xdr:row>
      <xdr:rowOff>523875</xdr:rowOff>
    </xdr:from>
    <xdr:to>
      <xdr:col>7</xdr:col>
      <xdr:colOff>400050</xdr:colOff>
      <xdr:row>23</xdr:row>
      <xdr:rowOff>9525</xdr:rowOff>
    </xdr:to>
    <xdr:sp macro="" textlink="">
      <xdr:nvSpPr>
        <xdr:cNvPr id="5225" name="Check Box 105" hidden="1">
          <a:extLst>
            <a:ext uri="{63B3BB69-23CF-44E3-9099-C40C66FF867C}">
              <a14:compatExt xmlns:a14="http://schemas.microsoft.com/office/drawing/2010/main" spid="_x0000_s5225"/>
            </a:ext>
            <a:ext uri="{FF2B5EF4-FFF2-40B4-BE49-F238E27FC236}">
              <a16:creationId xmlns:a16="http://schemas.microsoft.com/office/drawing/2014/main" id="{00000000-0008-0000-0A00-000069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7</xdr:col>
      <xdr:colOff>190500</xdr:colOff>
      <xdr:row>22</xdr:row>
      <xdr:rowOff>523875</xdr:rowOff>
    </xdr:from>
    <xdr:to>
      <xdr:col>7</xdr:col>
      <xdr:colOff>400050</xdr:colOff>
      <xdr:row>24</xdr:row>
      <xdr:rowOff>9525</xdr:rowOff>
    </xdr:to>
    <xdr:sp macro="" textlink="">
      <xdr:nvSpPr>
        <xdr:cNvPr id="5226" name="Check Box 106" hidden="1">
          <a:extLst>
            <a:ext uri="{63B3BB69-23CF-44E3-9099-C40C66FF867C}">
              <a14:compatExt xmlns:a14="http://schemas.microsoft.com/office/drawing/2010/main" spid="_x0000_s5226"/>
            </a:ext>
            <a:ext uri="{FF2B5EF4-FFF2-40B4-BE49-F238E27FC236}">
              <a16:creationId xmlns:a16="http://schemas.microsoft.com/office/drawing/2014/main" id="{00000000-0008-0000-0A00-00006A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7</xdr:col>
      <xdr:colOff>190500</xdr:colOff>
      <xdr:row>23</xdr:row>
      <xdr:rowOff>523875</xdr:rowOff>
    </xdr:from>
    <xdr:to>
      <xdr:col>7</xdr:col>
      <xdr:colOff>400050</xdr:colOff>
      <xdr:row>25</xdr:row>
      <xdr:rowOff>9525</xdr:rowOff>
    </xdr:to>
    <xdr:sp macro="" textlink="">
      <xdr:nvSpPr>
        <xdr:cNvPr id="5227" name="Check Box 107" hidden="1">
          <a:extLst>
            <a:ext uri="{63B3BB69-23CF-44E3-9099-C40C66FF867C}">
              <a14:compatExt xmlns:a14="http://schemas.microsoft.com/office/drawing/2010/main" spid="_x0000_s5227"/>
            </a:ext>
            <a:ext uri="{FF2B5EF4-FFF2-40B4-BE49-F238E27FC236}">
              <a16:creationId xmlns:a16="http://schemas.microsoft.com/office/drawing/2014/main" id="{00000000-0008-0000-0A00-00006B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8</xdr:col>
      <xdr:colOff>228600</xdr:colOff>
      <xdr:row>6</xdr:row>
      <xdr:rowOff>0</xdr:rowOff>
    </xdr:from>
    <xdr:to>
      <xdr:col>8</xdr:col>
      <xdr:colOff>428625</xdr:colOff>
      <xdr:row>7</xdr:row>
      <xdr:rowOff>22938</xdr:rowOff>
    </xdr:to>
    <xdr:sp macro="" textlink="">
      <xdr:nvSpPr>
        <xdr:cNvPr id="5228" name="Check Box 108" hidden="1">
          <a:extLst>
            <a:ext uri="{63B3BB69-23CF-44E3-9099-C40C66FF867C}">
              <a14:compatExt xmlns:a14="http://schemas.microsoft.com/office/drawing/2010/main" spid="_x0000_s5228"/>
            </a:ext>
            <a:ext uri="{FF2B5EF4-FFF2-40B4-BE49-F238E27FC236}">
              <a16:creationId xmlns:a16="http://schemas.microsoft.com/office/drawing/2014/main" id="{00000000-0008-0000-0A00-00006C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8</xdr:col>
      <xdr:colOff>228600</xdr:colOff>
      <xdr:row>6</xdr:row>
      <xdr:rowOff>523875</xdr:rowOff>
    </xdr:from>
    <xdr:to>
      <xdr:col>8</xdr:col>
      <xdr:colOff>428625</xdr:colOff>
      <xdr:row>8</xdr:row>
      <xdr:rowOff>19051</xdr:rowOff>
    </xdr:to>
    <xdr:sp macro="" textlink="">
      <xdr:nvSpPr>
        <xdr:cNvPr id="5229" name="Check Box 109" hidden="1">
          <a:extLst>
            <a:ext uri="{63B3BB69-23CF-44E3-9099-C40C66FF867C}">
              <a14:compatExt xmlns:a14="http://schemas.microsoft.com/office/drawing/2010/main" spid="_x0000_s5229"/>
            </a:ext>
            <a:ext uri="{FF2B5EF4-FFF2-40B4-BE49-F238E27FC236}">
              <a16:creationId xmlns:a16="http://schemas.microsoft.com/office/drawing/2014/main" id="{00000000-0008-0000-0A00-00006D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8</xdr:col>
      <xdr:colOff>228600</xdr:colOff>
      <xdr:row>7</xdr:row>
      <xdr:rowOff>523875</xdr:rowOff>
    </xdr:from>
    <xdr:to>
      <xdr:col>8</xdr:col>
      <xdr:colOff>428625</xdr:colOff>
      <xdr:row>9</xdr:row>
      <xdr:rowOff>19244</xdr:rowOff>
    </xdr:to>
    <xdr:sp macro="" textlink="">
      <xdr:nvSpPr>
        <xdr:cNvPr id="5230" name="Check Box 110" hidden="1">
          <a:extLst>
            <a:ext uri="{63B3BB69-23CF-44E3-9099-C40C66FF867C}">
              <a14:compatExt xmlns:a14="http://schemas.microsoft.com/office/drawing/2010/main" spid="_x0000_s5230"/>
            </a:ext>
            <a:ext uri="{FF2B5EF4-FFF2-40B4-BE49-F238E27FC236}">
              <a16:creationId xmlns:a16="http://schemas.microsoft.com/office/drawing/2014/main" id="{00000000-0008-0000-0A00-00006E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8</xdr:col>
      <xdr:colOff>228600</xdr:colOff>
      <xdr:row>8</xdr:row>
      <xdr:rowOff>523875</xdr:rowOff>
    </xdr:from>
    <xdr:to>
      <xdr:col>8</xdr:col>
      <xdr:colOff>428625</xdr:colOff>
      <xdr:row>10</xdr:row>
      <xdr:rowOff>19244</xdr:rowOff>
    </xdr:to>
    <xdr:sp macro="" textlink="">
      <xdr:nvSpPr>
        <xdr:cNvPr id="5231" name="Check Box 111" hidden="1">
          <a:extLst>
            <a:ext uri="{63B3BB69-23CF-44E3-9099-C40C66FF867C}">
              <a14:compatExt xmlns:a14="http://schemas.microsoft.com/office/drawing/2010/main" spid="_x0000_s5231"/>
            </a:ext>
            <a:ext uri="{FF2B5EF4-FFF2-40B4-BE49-F238E27FC236}">
              <a16:creationId xmlns:a16="http://schemas.microsoft.com/office/drawing/2014/main" id="{00000000-0008-0000-0A00-00006F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8</xdr:col>
      <xdr:colOff>228600</xdr:colOff>
      <xdr:row>9</xdr:row>
      <xdr:rowOff>523875</xdr:rowOff>
    </xdr:from>
    <xdr:to>
      <xdr:col>8</xdr:col>
      <xdr:colOff>428625</xdr:colOff>
      <xdr:row>11</xdr:row>
      <xdr:rowOff>19050</xdr:rowOff>
    </xdr:to>
    <xdr:sp macro="" textlink="">
      <xdr:nvSpPr>
        <xdr:cNvPr id="5232" name="Check Box 112" hidden="1">
          <a:extLst>
            <a:ext uri="{63B3BB69-23CF-44E3-9099-C40C66FF867C}">
              <a14:compatExt xmlns:a14="http://schemas.microsoft.com/office/drawing/2010/main" spid="_x0000_s5232"/>
            </a:ext>
            <a:ext uri="{FF2B5EF4-FFF2-40B4-BE49-F238E27FC236}">
              <a16:creationId xmlns:a16="http://schemas.microsoft.com/office/drawing/2014/main" id="{00000000-0008-0000-0A00-000070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8</xdr:col>
      <xdr:colOff>228600</xdr:colOff>
      <xdr:row>10</xdr:row>
      <xdr:rowOff>523875</xdr:rowOff>
    </xdr:from>
    <xdr:to>
      <xdr:col>8</xdr:col>
      <xdr:colOff>428625</xdr:colOff>
      <xdr:row>12</xdr:row>
      <xdr:rowOff>19050</xdr:rowOff>
    </xdr:to>
    <xdr:sp macro="" textlink="">
      <xdr:nvSpPr>
        <xdr:cNvPr id="5233" name="Check Box 113" hidden="1">
          <a:extLst>
            <a:ext uri="{63B3BB69-23CF-44E3-9099-C40C66FF867C}">
              <a14:compatExt xmlns:a14="http://schemas.microsoft.com/office/drawing/2010/main" spid="_x0000_s5233"/>
            </a:ext>
            <a:ext uri="{FF2B5EF4-FFF2-40B4-BE49-F238E27FC236}">
              <a16:creationId xmlns:a16="http://schemas.microsoft.com/office/drawing/2014/main" id="{00000000-0008-0000-0A00-000071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8</xdr:col>
      <xdr:colOff>228600</xdr:colOff>
      <xdr:row>12</xdr:row>
      <xdr:rowOff>523875</xdr:rowOff>
    </xdr:from>
    <xdr:to>
      <xdr:col>8</xdr:col>
      <xdr:colOff>428625</xdr:colOff>
      <xdr:row>13</xdr:row>
      <xdr:rowOff>213438</xdr:rowOff>
    </xdr:to>
    <xdr:sp macro="" textlink="">
      <xdr:nvSpPr>
        <xdr:cNvPr id="5234" name="Check Box 114" hidden="1">
          <a:extLst>
            <a:ext uri="{63B3BB69-23CF-44E3-9099-C40C66FF867C}">
              <a14:compatExt xmlns:a14="http://schemas.microsoft.com/office/drawing/2010/main" spid="_x0000_s5234"/>
            </a:ext>
            <a:ext uri="{FF2B5EF4-FFF2-40B4-BE49-F238E27FC236}">
              <a16:creationId xmlns:a16="http://schemas.microsoft.com/office/drawing/2014/main" id="{00000000-0008-0000-0A00-000072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8</xdr:col>
      <xdr:colOff>228600</xdr:colOff>
      <xdr:row>13</xdr:row>
      <xdr:rowOff>523875</xdr:rowOff>
    </xdr:from>
    <xdr:to>
      <xdr:col>8</xdr:col>
      <xdr:colOff>428625</xdr:colOff>
      <xdr:row>15</xdr:row>
      <xdr:rowOff>26049</xdr:rowOff>
    </xdr:to>
    <xdr:sp macro="" textlink="">
      <xdr:nvSpPr>
        <xdr:cNvPr id="5235" name="Check Box 115" hidden="1">
          <a:extLst>
            <a:ext uri="{63B3BB69-23CF-44E3-9099-C40C66FF867C}">
              <a14:compatExt xmlns:a14="http://schemas.microsoft.com/office/drawing/2010/main" spid="_x0000_s5235"/>
            </a:ext>
            <a:ext uri="{FF2B5EF4-FFF2-40B4-BE49-F238E27FC236}">
              <a16:creationId xmlns:a16="http://schemas.microsoft.com/office/drawing/2014/main" id="{00000000-0008-0000-0A00-000073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8</xdr:col>
      <xdr:colOff>228600</xdr:colOff>
      <xdr:row>13</xdr:row>
      <xdr:rowOff>523875</xdr:rowOff>
    </xdr:from>
    <xdr:to>
      <xdr:col>8</xdr:col>
      <xdr:colOff>428625</xdr:colOff>
      <xdr:row>15</xdr:row>
      <xdr:rowOff>26048</xdr:rowOff>
    </xdr:to>
    <xdr:sp macro="" textlink="">
      <xdr:nvSpPr>
        <xdr:cNvPr id="5236" name="Check Box 116" hidden="1">
          <a:extLst>
            <a:ext uri="{63B3BB69-23CF-44E3-9099-C40C66FF867C}">
              <a14:compatExt xmlns:a14="http://schemas.microsoft.com/office/drawing/2010/main" spid="_x0000_s5236"/>
            </a:ext>
            <a:ext uri="{FF2B5EF4-FFF2-40B4-BE49-F238E27FC236}">
              <a16:creationId xmlns:a16="http://schemas.microsoft.com/office/drawing/2014/main" id="{00000000-0008-0000-0A00-000074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8</xdr:col>
      <xdr:colOff>228600</xdr:colOff>
      <xdr:row>14</xdr:row>
      <xdr:rowOff>523875</xdr:rowOff>
    </xdr:from>
    <xdr:to>
      <xdr:col>8</xdr:col>
      <xdr:colOff>428625</xdr:colOff>
      <xdr:row>16</xdr:row>
      <xdr:rowOff>19050</xdr:rowOff>
    </xdr:to>
    <xdr:sp macro="" textlink="">
      <xdr:nvSpPr>
        <xdr:cNvPr id="5237" name="Check Box 117" hidden="1">
          <a:extLst>
            <a:ext uri="{63B3BB69-23CF-44E3-9099-C40C66FF867C}">
              <a14:compatExt xmlns:a14="http://schemas.microsoft.com/office/drawing/2010/main" spid="_x0000_s5237"/>
            </a:ext>
            <a:ext uri="{FF2B5EF4-FFF2-40B4-BE49-F238E27FC236}">
              <a16:creationId xmlns:a16="http://schemas.microsoft.com/office/drawing/2014/main" id="{00000000-0008-0000-0A00-000075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8</xdr:col>
      <xdr:colOff>228600</xdr:colOff>
      <xdr:row>15</xdr:row>
      <xdr:rowOff>523875</xdr:rowOff>
    </xdr:from>
    <xdr:to>
      <xdr:col>8</xdr:col>
      <xdr:colOff>428625</xdr:colOff>
      <xdr:row>17</xdr:row>
      <xdr:rowOff>19050</xdr:rowOff>
    </xdr:to>
    <xdr:sp macro="" textlink="">
      <xdr:nvSpPr>
        <xdr:cNvPr id="5238" name="Check Box 118" hidden="1">
          <a:extLst>
            <a:ext uri="{63B3BB69-23CF-44E3-9099-C40C66FF867C}">
              <a14:compatExt xmlns:a14="http://schemas.microsoft.com/office/drawing/2010/main" spid="_x0000_s5238"/>
            </a:ext>
            <a:ext uri="{FF2B5EF4-FFF2-40B4-BE49-F238E27FC236}">
              <a16:creationId xmlns:a16="http://schemas.microsoft.com/office/drawing/2014/main" id="{00000000-0008-0000-0A00-000076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8</xdr:col>
      <xdr:colOff>228600</xdr:colOff>
      <xdr:row>16</xdr:row>
      <xdr:rowOff>523875</xdr:rowOff>
    </xdr:from>
    <xdr:to>
      <xdr:col>8</xdr:col>
      <xdr:colOff>428625</xdr:colOff>
      <xdr:row>18</xdr:row>
      <xdr:rowOff>19050</xdr:rowOff>
    </xdr:to>
    <xdr:sp macro="" textlink="">
      <xdr:nvSpPr>
        <xdr:cNvPr id="5239" name="Check Box 119" hidden="1">
          <a:extLst>
            <a:ext uri="{63B3BB69-23CF-44E3-9099-C40C66FF867C}">
              <a14:compatExt xmlns:a14="http://schemas.microsoft.com/office/drawing/2010/main" spid="_x0000_s5239"/>
            </a:ext>
            <a:ext uri="{FF2B5EF4-FFF2-40B4-BE49-F238E27FC236}">
              <a16:creationId xmlns:a16="http://schemas.microsoft.com/office/drawing/2014/main" id="{00000000-0008-0000-0A00-000077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8</xdr:col>
      <xdr:colOff>228600</xdr:colOff>
      <xdr:row>17</xdr:row>
      <xdr:rowOff>523875</xdr:rowOff>
    </xdr:from>
    <xdr:to>
      <xdr:col>8</xdr:col>
      <xdr:colOff>428625</xdr:colOff>
      <xdr:row>19</xdr:row>
      <xdr:rowOff>19050</xdr:rowOff>
    </xdr:to>
    <xdr:sp macro="" textlink="">
      <xdr:nvSpPr>
        <xdr:cNvPr id="5240" name="Check Box 120" hidden="1">
          <a:extLst>
            <a:ext uri="{63B3BB69-23CF-44E3-9099-C40C66FF867C}">
              <a14:compatExt xmlns:a14="http://schemas.microsoft.com/office/drawing/2010/main" spid="_x0000_s5240"/>
            </a:ext>
            <a:ext uri="{FF2B5EF4-FFF2-40B4-BE49-F238E27FC236}">
              <a16:creationId xmlns:a16="http://schemas.microsoft.com/office/drawing/2014/main" id="{00000000-0008-0000-0A00-000078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8</xdr:col>
      <xdr:colOff>228600</xdr:colOff>
      <xdr:row>18</xdr:row>
      <xdr:rowOff>523875</xdr:rowOff>
    </xdr:from>
    <xdr:to>
      <xdr:col>8</xdr:col>
      <xdr:colOff>428625</xdr:colOff>
      <xdr:row>20</xdr:row>
      <xdr:rowOff>19050</xdr:rowOff>
    </xdr:to>
    <xdr:sp macro="" textlink="">
      <xdr:nvSpPr>
        <xdr:cNvPr id="5241" name="Check Box 121" hidden="1">
          <a:extLst>
            <a:ext uri="{63B3BB69-23CF-44E3-9099-C40C66FF867C}">
              <a14:compatExt xmlns:a14="http://schemas.microsoft.com/office/drawing/2010/main" spid="_x0000_s5241"/>
            </a:ext>
            <a:ext uri="{FF2B5EF4-FFF2-40B4-BE49-F238E27FC236}">
              <a16:creationId xmlns:a16="http://schemas.microsoft.com/office/drawing/2014/main" id="{00000000-0008-0000-0A00-000079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8</xdr:col>
      <xdr:colOff>228600</xdr:colOff>
      <xdr:row>19</xdr:row>
      <xdr:rowOff>523875</xdr:rowOff>
    </xdr:from>
    <xdr:to>
      <xdr:col>8</xdr:col>
      <xdr:colOff>428625</xdr:colOff>
      <xdr:row>21</xdr:row>
      <xdr:rowOff>19050</xdr:rowOff>
    </xdr:to>
    <xdr:sp macro="" textlink="">
      <xdr:nvSpPr>
        <xdr:cNvPr id="5242" name="Check Box 122" hidden="1">
          <a:extLst>
            <a:ext uri="{63B3BB69-23CF-44E3-9099-C40C66FF867C}">
              <a14:compatExt xmlns:a14="http://schemas.microsoft.com/office/drawing/2010/main" spid="_x0000_s5242"/>
            </a:ext>
            <a:ext uri="{FF2B5EF4-FFF2-40B4-BE49-F238E27FC236}">
              <a16:creationId xmlns:a16="http://schemas.microsoft.com/office/drawing/2014/main" id="{00000000-0008-0000-0A00-00007A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8</xdr:col>
      <xdr:colOff>228600</xdr:colOff>
      <xdr:row>20</xdr:row>
      <xdr:rowOff>523875</xdr:rowOff>
    </xdr:from>
    <xdr:to>
      <xdr:col>8</xdr:col>
      <xdr:colOff>428625</xdr:colOff>
      <xdr:row>22</xdr:row>
      <xdr:rowOff>19050</xdr:rowOff>
    </xdr:to>
    <xdr:sp macro="" textlink="">
      <xdr:nvSpPr>
        <xdr:cNvPr id="5243" name="Check Box 123" hidden="1">
          <a:extLst>
            <a:ext uri="{63B3BB69-23CF-44E3-9099-C40C66FF867C}">
              <a14:compatExt xmlns:a14="http://schemas.microsoft.com/office/drawing/2010/main" spid="_x0000_s5243"/>
            </a:ext>
            <a:ext uri="{FF2B5EF4-FFF2-40B4-BE49-F238E27FC236}">
              <a16:creationId xmlns:a16="http://schemas.microsoft.com/office/drawing/2014/main" id="{00000000-0008-0000-0A00-00007B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8</xdr:col>
      <xdr:colOff>228600</xdr:colOff>
      <xdr:row>21</xdr:row>
      <xdr:rowOff>523875</xdr:rowOff>
    </xdr:from>
    <xdr:to>
      <xdr:col>8</xdr:col>
      <xdr:colOff>428625</xdr:colOff>
      <xdr:row>23</xdr:row>
      <xdr:rowOff>19050</xdr:rowOff>
    </xdr:to>
    <xdr:sp macro="" textlink="">
      <xdr:nvSpPr>
        <xdr:cNvPr id="5244" name="Check Box 124" hidden="1">
          <a:extLst>
            <a:ext uri="{63B3BB69-23CF-44E3-9099-C40C66FF867C}">
              <a14:compatExt xmlns:a14="http://schemas.microsoft.com/office/drawing/2010/main" spid="_x0000_s5244"/>
            </a:ext>
            <a:ext uri="{FF2B5EF4-FFF2-40B4-BE49-F238E27FC236}">
              <a16:creationId xmlns:a16="http://schemas.microsoft.com/office/drawing/2014/main" id="{00000000-0008-0000-0A00-00007C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8</xdr:col>
      <xdr:colOff>228600</xdr:colOff>
      <xdr:row>22</xdr:row>
      <xdr:rowOff>523875</xdr:rowOff>
    </xdr:from>
    <xdr:to>
      <xdr:col>8</xdr:col>
      <xdr:colOff>428625</xdr:colOff>
      <xdr:row>24</xdr:row>
      <xdr:rowOff>19050</xdr:rowOff>
    </xdr:to>
    <xdr:sp macro="" textlink="">
      <xdr:nvSpPr>
        <xdr:cNvPr id="5245" name="Check Box 125" hidden="1">
          <a:extLst>
            <a:ext uri="{63B3BB69-23CF-44E3-9099-C40C66FF867C}">
              <a14:compatExt xmlns:a14="http://schemas.microsoft.com/office/drawing/2010/main" spid="_x0000_s5245"/>
            </a:ext>
            <a:ext uri="{FF2B5EF4-FFF2-40B4-BE49-F238E27FC236}">
              <a16:creationId xmlns:a16="http://schemas.microsoft.com/office/drawing/2014/main" id="{00000000-0008-0000-0A00-00007D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8</xdr:col>
      <xdr:colOff>228600</xdr:colOff>
      <xdr:row>23</xdr:row>
      <xdr:rowOff>523875</xdr:rowOff>
    </xdr:from>
    <xdr:to>
      <xdr:col>8</xdr:col>
      <xdr:colOff>428625</xdr:colOff>
      <xdr:row>25</xdr:row>
      <xdr:rowOff>19050</xdr:rowOff>
    </xdr:to>
    <xdr:sp macro="" textlink="">
      <xdr:nvSpPr>
        <xdr:cNvPr id="5246" name="Check Box 126" hidden="1">
          <a:extLst>
            <a:ext uri="{63B3BB69-23CF-44E3-9099-C40C66FF867C}">
              <a14:compatExt xmlns:a14="http://schemas.microsoft.com/office/drawing/2010/main" spid="_x0000_s5246"/>
            </a:ext>
            <a:ext uri="{FF2B5EF4-FFF2-40B4-BE49-F238E27FC236}">
              <a16:creationId xmlns:a16="http://schemas.microsoft.com/office/drawing/2014/main" id="{00000000-0008-0000-0A00-00007E1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wsDr>
</file>

<file path=xl/persons/person.xml><?xml version="1.0" encoding="utf-8"?>
<personList xmlns="http://schemas.microsoft.com/office/spreadsheetml/2018/threadedcomments" xmlns:x="http://schemas.openxmlformats.org/spreadsheetml/2006/main">
  <person displayName="Mike Witting" id="{19124CCA-5CF6-421C-9A6B-B2D0B31048B0}" userId="S::mike.witting@genesys.com::d1296cb9-3be0-48d4-99b7-99b96cb97ebb" providerId="AD"/>
  <person displayName="Massimo Di Fiore" id="{7B5B8B43-142E-4794-BCCF-C9B60F64A150}" userId="S::massimo.difiore@genesys.com::dd7bddee-73c8-475f-97dd-dbb70abbac4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FC1CF8-4CE6-4F31-9B6A-BFBFC2AAB877}" name="Table2" displayName="Table2" ref="A1:M2000" totalsRowShown="0" headerRowDxfId="125" dataDxfId="124">
  <autoFilter ref="A1:M2000" xr:uid="{90469A7E-4AE1-4C44-BEEA-1CFA68B7CAA8}"/>
  <tableColumns count="13">
    <tableColumn id="1" xr3:uid="{372AFCD0-093B-4D67-9CD0-B8FC970C6658}" name="name" dataDxfId="123"/>
    <tableColumn id="2" xr3:uid="{D3C1B81F-90F0-46F1-A814-E1A28E3DE2F6}" name="email" dataDxfId="122"/>
    <tableColumn id="3" xr3:uid="{20D923B6-B40A-4E96-AE85-7068CF6E0622}" name="phone_work" dataDxfId="121"/>
    <tableColumn id="4" xr3:uid="{3845A7BE-0E44-42B6-A162-47A7C2A15B3D}" name="extension" dataDxfId="120"/>
    <tableColumn id="5" xr3:uid="{494FE467-A86F-42A3-BAB2-6BD34AC8B066}" name="title" dataDxfId="119"/>
    <tableColumn id="6" xr3:uid="{1D78AD41-EE9C-4218-90EB-DCA9C0EB1F32}" name="department" dataDxfId="118"/>
    <tableColumn id="7" xr3:uid="{488A76D4-3D41-4B97-8159-159873D7DB8D}" name="email_manager" dataDxfId="117"/>
    <tableColumn id="8" xr3:uid="{9378C091-BB9D-4D76-846A-5F6C7263C739}" name="location_work" dataDxfId="116"/>
    <tableColumn id="9" xr3:uid="{02D4C3CC-835F-4FF1-8994-53BCEA5474D5}" name="roles_divisions" dataDxfId="115"/>
    <tableColumn id="10" xr3:uid="{01DA1C51-2D35-445F-8BD3-38C37229EE79}" name="queues" dataDxfId="114"/>
    <tableColumn id="11" xr3:uid="{89E9545E-3C15-4ED8-B240-F808ECABCC5E}" name="division" dataDxfId="113"/>
    <tableColumn id="12" xr3:uid="{7F17FE52-3E1B-4649-818B-6050B31048ED}" name="skills" dataDxfId="112"/>
    <tableColumn id="15" xr3:uid="{3821C9D7-182C-4283-961D-CE63E80E1313}" name="enable auto_answer" dataDxfId="111"/>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1094EB-C4CC-4021-BB81-84519A835E59}" name="Table22" displayName="Table22" ref="A1:K2000" totalsRowShown="0" headerRowDxfId="107" dataDxfId="106">
  <autoFilter ref="A1:K2000" xr:uid="{90469A7E-4AE1-4C44-BEEA-1CFA68B7CAA8}"/>
  <tableColumns count="11">
    <tableColumn id="1" xr3:uid="{7C03F43B-6B84-462F-AEA8-220D857F5703}" name="name" dataDxfId="105"/>
    <tableColumn id="2" xr3:uid="{B2E0FC7C-24CC-4F5A-A5C6-EF77EFFBCB73}" name="base" dataDxfId="104"/>
    <tableColumn id="3" xr3:uid="{6D58DC03-5682-42BF-AFCF-A59DB5BD6A98}" name="site" dataDxfId="103"/>
    <tableColumn id="4" xr3:uid="{9C0E8551-C557-439C-998F-EB2568FB5B5C}" name="email" dataDxfId="102"/>
    <tableColumn id="5" xr3:uid="{E4D5898C-02B0-4D20-A410-5824B6741BA0}" name="remoteAddress" dataDxfId="101"/>
    <tableColumn id="6" xr3:uid="{B6BC327F-F19C-4C37-BD95-B3BC277AAC71}" name="hardwareId" dataDxfId="100"/>
    <tableColumn id="7" xr3:uid="{D733AB24-2966-4A99-A09B-E0F9261F6909}" name="keyLabel" dataDxfId="99"/>
    <tableColumn id="8" xr3:uid="{37080855-1B49-45F4-8D87-2C144FC90100}" name="lineAppearanceId" dataDxfId="98"/>
    <tableColumn id="9" xr3:uid="{2FEE99D8-7F75-4CD1-BEBC-3C94198DA392}" name="did" dataDxfId="97"/>
    <tableColumn id="10" xr3:uid="{EE125A78-B75C-4D06-A0AC-0F0FCD15B4AF}" name="extension" dataDxfId="96"/>
    <tableColumn id="11" xr3:uid="{9D7056A2-DB67-4569-B1CB-517C23C166B4}" name="Built" dataDxfId="95"/>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53307B-3AB2-4F6F-B1E7-296D53DA4C60}" name="Table224" displayName="Table224" ref="A1:K2000" totalsRowShown="0" headerRowDxfId="91" dataDxfId="90">
  <autoFilter ref="A1:K2000" xr:uid="{90469A7E-4AE1-4C44-BEEA-1CFA68B7CAA8}"/>
  <tableColumns count="11">
    <tableColumn id="1" xr3:uid="{1DA589FC-AAC2-49FF-9517-962CD39EB03B}" name="name" dataDxfId="89"/>
    <tableColumn id="2" xr3:uid="{76BC2A6C-0608-450C-8D8A-EDFB1A10158E}" name="base" dataDxfId="88"/>
    <tableColumn id="3" xr3:uid="{05CD4D8C-F70D-4401-A94E-283BEECFC750}" name="site" dataDxfId="87"/>
    <tableColumn id="4" xr3:uid="{F4F88DA4-8CD3-4651-A22B-DED8CEE44E5C}" name="email" dataDxfId="86"/>
    <tableColumn id="5" xr3:uid="{0BC8A6C5-9230-4B24-AB35-1F0433DE20F5}" name="remoteAddress" dataDxfId="85"/>
    <tableColumn id="6" xr3:uid="{19F0EB32-1DBD-4D3B-A6F0-DED74F005DE7}" name="hardwareId" dataDxfId="84"/>
    <tableColumn id="7" xr3:uid="{C9B1C24E-6494-4A5A-8237-63F7FF74B10C}" name="keyLabel" dataDxfId="83"/>
    <tableColumn id="8" xr3:uid="{93F6564D-E286-4C5C-BE3C-2F1EEAF7048B}" name="lineAppearanceId" dataDxfId="82"/>
    <tableColumn id="9" xr3:uid="{6E4899DE-6C58-41D0-AD23-26F545515420}" name="did" dataDxfId="81"/>
    <tableColumn id="10" xr3:uid="{EAE150FB-E4FA-4FB9-91D3-9C7609959383}" name="extension" dataDxfId="80"/>
    <tableColumn id="11" xr3:uid="{59E11A05-9931-4D95-B4F4-0A4AC3D95611}" name="Built" dataDxfId="79"/>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DE4BC6B-9BA7-4120-9018-2C8D845DA129}" name="Table35" displayName="Table35" ref="C1:AZ229" totalsRowShown="0" headerRowDxfId="56" dataDxfId="54" headerRowBorderDxfId="55" tableBorderDxfId="53">
  <autoFilter ref="C1:AZ229" xr:uid="{0194FFC0-11E3-4DB6-98B7-4EDC5BFA2F6D}"/>
  <tableColumns count="50">
    <tableColumn id="1" xr3:uid="{3CC62A5D-90EF-454A-92D2-87721AA2506E}" name="Queue Name" dataDxfId="52"/>
    <tableColumn id="10" xr3:uid="{AD0E0C4F-1D8B-4C62-ADC4-50ED15A11BE9}" name="Description" dataDxfId="51"/>
    <tableColumn id="16" xr3:uid="{BFD05C48-1459-45C4-917E-97DA0BEE1174}" name="Division" dataDxfId="50"/>
    <tableColumn id="15" xr3:uid="{725B92CD-8C56-463A-818D-84B8646AB626}" name="Peer ID" dataDxfId="49"/>
    <tableColumn id="2" xr3:uid="{AF396DAD-FFD3-4C70-BBA7-53041D15AEA8}" name="Outbound CID" dataDxfId="48"/>
    <tableColumn id="3" xr3:uid="{6059D9B1-9765-4AD5-95A4-A6FA16E364E9}" name="Outbound CID Name" dataDxfId="47"/>
    <tableColumn id="4" xr3:uid="{652E4A4D-9D70-427D-803A-040E31855DEE}" name="ACW Method" dataDxfId="46"/>
    <tableColumn id="5" xr3:uid="{EE854773-413A-4034-A5CE-E01C0AE02D52}" name="ACW Timeout" dataDxfId="45"/>
    <tableColumn id="21" xr3:uid="{437B533E-FDF0-48D0-AEE4-6A1A234CF05F}" name="Scoring Method" dataDxfId="44"/>
    <tableColumn id="22" xr3:uid="{631DE27D-3E73-4C69-93CA-B534ECD9AC8D}" name="Routing Method" dataDxfId="43"/>
    <tableColumn id="7" xr3:uid="{BE0904A0-5DC3-4EFB-813D-55D43485F64E}" name="Queue Evaluation Method" dataDxfId="42"/>
    <tableColumn id="26" xr3:uid="{E7DAC001-D676-42BE-9E97-A75842E64689}" name="BR1 EX" dataDxfId="41"/>
    <tableColumn id="46" xr3:uid="{6BC115FD-45B8-422D-84D9-C85573C2BAE9}" name="BR1 TO" dataDxfId="40"/>
    <tableColumn id="47" xr3:uid="{22420EC0-405E-4DE1-A93C-DA431383175E}" name="BR1 Skills" dataDxfId="39"/>
    <tableColumn id="48" xr3:uid="{2F5900ED-A6DF-4B59-9EA3-8688C5F89547}" name="BR1 SG" dataDxfId="38"/>
    <tableColumn id="49" xr3:uid="{AC37A5CF-132A-479B-B07A-E5E1BFE5542E}" name="BR1 MG" dataDxfId="37"/>
    <tableColumn id="50" xr3:uid="{C36117F0-61C5-4149-872D-81153512C261}" name="Column6" dataDxfId="36"/>
    <tableColumn id="6" xr3:uid="{41073F0F-8849-48EE-9874-BB407409AE91}" name="Voice Alerting Timeout" dataDxfId="35"/>
    <tableColumn id="8" xr3:uid="{D0746E9B-A173-486C-8AC2-63DAC068ACB3}" name="Voice Whisper Audio" dataDxfId="34"/>
    <tableColumn id="9" xr3:uid="{C06BFAE0-0B5E-4F8D-B276-CF30AD2CB7D3}" name="Voice SLA % (ex. 80)" dataDxfId="33"/>
    <tableColumn id="19" xr3:uid="{7149232A-6F8E-4A13-ABB4-93D78F34C4BF}" name="Voice SLA Target (20 seconds)" dataDxfId="32"/>
    <tableColumn id="11" xr3:uid="{A66AFEB0-64A7-4209-80C1-2C34CD5DE4EA}" name="Voice In Queue Flow" dataDxfId="31"/>
    <tableColumn id="12" xr3:uid="{937B4995-0AC7-4884-BF29-B18896A1E5A6}" name="Script" dataDxfId="30"/>
    <tableColumn id="25" xr3:uid="{05B4F27A-9595-41AB-835C-A7FCE28885D6}" name="Chat Alerting Timeout (30)" dataDxfId="29"/>
    <tableColumn id="24" xr3:uid="{B9B6AABC-CAE7-4C75-94B3-7A87CBD24B38}" name="Chat Service Sevel %" dataDxfId="28"/>
    <tableColumn id="23" xr3:uid="{B1078BD1-1550-43B4-A1E1-A8BBE5CDBAD1}" name="Chat Service Level Target (20)" dataDxfId="27"/>
    <tableColumn id="20" xr3:uid="{253FB186-10F8-49FA-A5F2-B1F99DCD2B50}" name="Chat Default Script" dataDxfId="26"/>
    <tableColumn id="32" xr3:uid="{62B34680-B95B-4D5B-9888-F683C09CE113}" name="SMS Service Level % (80)" dataDxfId="25"/>
    <tableColumn id="31" xr3:uid="{D26ACBE6-F5ED-4BD0-A978-07EBA4F527AE}" name="SMS Service Level Target (20)" dataDxfId="24"/>
    <tableColumn id="30" xr3:uid="{9C9B87DD-B36B-4952-86D7-08268C51B4AC}" name="Alerting Timeout (30)" dataDxfId="23"/>
    <tableColumn id="29" xr3:uid="{64482404-77E9-4481-962E-180DCD8739D4}" name="SMS Default Script" dataDxfId="22"/>
    <tableColumn id="28" xr3:uid="{9A2ECBB0-1B00-460F-8F08-EDC91D7F988A}" name="SMS In-Queue Flow" dataDxfId="21"/>
    <tableColumn id="27" xr3:uid="{B078DEC9-A521-4087-854E-B42DCAE70B67}" name="Outbound SMS Number" dataDxfId="20"/>
    <tableColumn id="38" xr3:uid="{0745C5A0-BB6A-44FE-958D-47318BBFAAF5}" name="Email Service Level %" dataDxfId="19"/>
    <tableColumn id="37" xr3:uid="{4D382F20-51C6-4819-B101-68089B42F80E}" name="Email Service Level Target (86400)" dataDxfId="18"/>
    <tableColumn id="36" xr3:uid="{2DD1A199-58E1-47DF-BC1F-77679E387333}" name="Email Alerting Timeout (300)" dataDxfId="17"/>
    <tableColumn id="35" xr3:uid="{F66B4242-E492-4B64-B8DE-C9F40241EC51}" name="Email Auto Answer" dataDxfId="16"/>
    <tableColumn id="34" xr3:uid="{BC4BBD11-3ED4-41E5-9E59-74DAF79B37BA}" name="Outbound Email Address" dataDxfId="15"/>
    <tableColumn id="33" xr3:uid="{45C5CE25-CB45-4AAD-A8C9-0ED0EBE2F14C}" name="In-queue Email Flow" dataDxfId="14"/>
    <tableColumn id="39" xr3:uid="{CE221DCD-D0BA-46ED-965A-941A7A3D30D3}" name="Email Default Script" dataDxfId="13"/>
    <tableColumn id="44" xr3:uid="{B59A1457-1A51-470A-A31A-29EB8931F67C}" name="Callback Service Level % (80)" dataDxfId="12"/>
    <tableColumn id="43" xr3:uid="{8029FACD-8A33-483D-974A-7E3EEAF466CB}" name="Callback Service Level Target (20)" dataDxfId="11"/>
    <tableColumn id="42" xr3:uid="{EA36C276-46A4-460A-A2D4-FF19ED560FA9}" name="Callback Alerting Timeout (30)" dataDxfId="10"/>
    <tableColumn id="41" xr3:uid="{27EA134B-F06C-4055-9C8F-3C73C968E5A2}" name="Allow Agents to take ownership " dataDxfId="9"/>
    <tableColumn id="45" xr3:uid="{9C8853C2-1A05-444D-80E8-7C402358AE67}" name="Own Schedule Callback Time" dataDxfId="8"/>
    <tableColumn id="40" xr3:uid="{31B76609-52D4-4C20-AFD2-88E73197F538}" name="Schedule Callback in Advance for" dataDxfId="7"/>
    <tableColumn id="14" xr3:uid="{97E3A51F-08BC-4FEB-BE37-DBFB153A8983}" name="Voice Transcription" dataDxfId="6"/>
    <tableColumn id="17" xr3:uid="{FF8543E3-5233-4290-819C-40636D6E050F}" name="Manual Assignment" dataDxfId="5"/>
    <tableColumn id="13" xr3:uid="{9C151A21-126A-4B15-87DA-14CA4C18797C}" name="Advanced Routing" dataDxfId="4"/>
    <tableColumn id="18" xr3:uid="{CAB98439-FEB1-4844-80AB-61652D00A18F}" name="Auto-Answer for all Digital Channels" dataDxfId="3"/>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2" dT="2024-06-18T20:29:39.32" personId="{19124CCA-5CF6-421C-9A6B-B2D0B31048B0}" id="{217E87FB-0A69-48A0-BD2C-5118265490F7}" done="1">
    <text>Need to be all three?</text>
  </threadedComment>
</ThreadedComments>
</file>

<file path=xl/threadedComments/threadedComment2.xml><?xml version="1.0" encoding="utf-8"?>
<ThreadedComments xmlns="http://schemas.microsoft.com/office/spreadsheetml/2018/threadedcomments" xmlns:x="http://schemas.openxmlformats.org/spreadsheetml/2006/main">
  <threadedComment ref="O31" dT="2024-08-22T20:06:39.37" personId="{7B5B8B43-142E-4794-BCCF-C9B60F64A150}" id="{6A4FDD11-EA0B-4838-AE44-FDD7DC8D227E}">
    <text xml:space="preserve">some users are in Wave7 and not available </text>
  </threadedComment>
</ThreadedComment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help.mypurecloud.com/articles/about-organization-setting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help.mypurecloud.com/articles/create-a-new-location/"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help.mypurecloud.com/articles/about-telephony/" TargetMode="External"/><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manager@email.com" TargetMode="External"/><Relationship Id="rId1" Type="http://schemas.openxmlformats.org/officeDocument/2006/relationships/hyperlink" Target="mailto:Agent@email.com" TargetMode="External"/><Relationship Id="rId6" Type="http://schemas.openxmlformats.org/officeDocument/2006/relationships/comments" Target="../comments3.xml"/><Relationship Id="rId5" Type="http://schemas.openxmlformats.org/officeDocument/2006/relationships/table" Target="../tables/table1.xml"/><Relationship Id="rId4"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hyperlink" Target="mailto:jon.doe@customer.com" TargetMode="External"/><Relationship Id="rId2" Type="http://schemas.openxmlformats.org/officeDocument/2006/relationships/hyperlink" Target="https://help.mypurecloud.com/articles/import-phones/" TargetMode="External"/><Relationship Id="rId1" Type="http://schemas.openxmlformats.org/officeDocument/2006/relationships/hyperlink" Target="mailto:Agent@email.com" TargetMode="External"/><Relationship Id="rId5" Type="http://schemas.openxmlformats.org/officeDocument/2006/relationships/table" Target="../tables/table2.xml"/><Relationship Id="rId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hyperlink" Target="mailto:jon.doe@customer.com" TargetMode="External"/><Relationship Id="rId2" Type="http://schemas.openxmlformats.org/officeDocument/2006/relationships/hyperlink" Target="https://help.mypurecloud.com/articles/import-phones/" TargetMode="External"/><Relationship Id="rId1" Type="http://schemas.openxmlformats.org/officeDocument/2006/relationships/hyperlink" Target="mailto:Agent@email.com" TargetMode="External"/><Relationship Id="rId4"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hyperlink" Target="https://help.mypurecloud.com/articles/about-roles-permission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help.mypurecloud.com/articles/products-roles-and-permissions-list/"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help.mypurecloud.com/articles/manage-did-and-toll-free-number-number-assignments/" TargetMode="External"/><Relationship Id="rId1" Type="http://schemas.openxmlformats.org/officeDocument/2006/relationships/hyperlink" Target="https://help.mypurecloud.com/articles/did-numbers/"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help.mypurecloud.com/articles/setting-groups-admins/" TargetMode="External"/><Relationship Id="rId1" Type="http://schemas.openxmlformats.org/officeDocument/2006/relationships/hyperlink" Target="https://help.mypurecloud.com/articles/about-groups/"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https://help.mypurecloud.com/articles/setting-groups-admins/" TargetMode="External"/><Relationship Id="rId1" Type="http://schemas.openxmlformats.org/officeDocument/2006/relationships/hyperlink" Target="https://help.mypurecloud.com/articles/about-groups/"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mailto:Suzanne_Seguin@glic.com,Lisa_M_Nagy@glic.com,Judy_Adler@glic.com,brenna_kern@glic.com,pavankumar_kothapalli@glic.com,karthikeyan_jaganathan@glic.com,Brianna_Zischang@glic.com" TargetMode="External"/><Relationship Id="rId7" Type="http://schemas.microsoft.com/office/2017/10/relationships/threadedComment" Target="../threadedComments/threadedComment2.xml"/><Relationship Id="rId2" Type="http://schemas.openxmlformats.org/officeDocument/2006/relationships/hyperlink" Target="https://help.mypurecloud.com/articles/setting-groups-admins/" TargetMode="External"/><Relationship Id="rId1" Type="http://schemas.openxmlformats.org/officeDocument/2006/relationships/hyperlink" Target="https://help.mypurecloud.com/articles/about-groups/" TargetMode="External"/><Relationship Id="rId6" Type="http://schemas.openxmlformats.org/officeDocument/2006/relationships/comments" Target="../comments4.xml"/><Relationship Id="rId5" Type="http://schemas.openxmlformats.org/officeDocument/2006/relationships/vmlDrawing" Target="../drawings/vmlDrawing4.vml"/><Relationship Id="rId4" Type="http://schemas.openxmlformats.org/officeDocument/2006/relationships/hyperlink" Target="mailto:brandy_dunlow@glic.com,Cindy_Delfosse@glic.com,Denise_Eckert@glic.com,Leah_Williamson@glic.com,pamela_olson@glic.com,rebecca_jansen@glic.com,regina_nelson@glic.com,robin_dobberstein@glic.com" TargetMode="External"/></Relationships>
</file>

<file path=xl/worksheets/_rels/sheet14.xml.rels><?xml version="1.0" encoding="UTF-8" standalone="yes"?>
<Relationships xmlns="http://schemas.openxmlformats.org/package/2006/relationships"><Relationship Id="rId2" Type="http://schemas.openxmlformats.org/officeDocument/2006/relationships/hyperlink" Target="https://genesyslab-my.sharepoint.com/:x:/r/sites/GenesysCloud/Shared%20Documents/Deployments/Guardian%20Life/Guardian%20Life%2098011%20-%20Customer%20Access/Guardian%20-%20Design%20and%20Config/FRS/Skills%20Expression%20Groups_values%20only.xlsx?d=w895c98ce955c4572942fa0b26fc30a7f&amp;csf=1&amp;web=1&amp;e=v6kqiV" TargetMode="External"/><Relationship Id="rId1" Type="http://schemas.openxmlformats.org/officeDocument/2006/relationships/hyperlink" Target="https://help.mypurecloud.com/articles/about-groups/"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help.mypurecloud.com/articles/about-external-contacts/" TargetMode="Externa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5.bin"/><Relationship Id="rId1" Type="http://schemas.openxmlformats.org/officeDocument/2006/relationships/hyperlink" Target="https://help.mypurecloud.com/articles/about-contact-center/" TargetMode="External"/><Relationship Id="rId5" Type="http://schemas.openxmlformats.org/officeDocument/2006/relationships/comments" Target="../comments5.xml"/><Relationship Id="rId4" Type="http://schemas.openxmlformats.org/officeDocument/2006/relationships/table" Target="../tables/table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1" Type="http://schemas.openxmlformats.org/officeDocument/2006/relationships/hyperlink" Target="https://help.mypurecloud.com/articles/about-wrap-up-codes/"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help.mypurecloud.com/articles/about-canned-responses/"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help.mypurecloud.com/articles/about-the-custom-smtp-server-integration-for-outbound-emails/" TargetMode="External"/><Relationship Id="rId2" Type="http://schemas.openxmlformats.org/officeDocument/2006/relationships/hyperlink" Target="https://help.mypurecloud.com/articles/about-acd-emails/" TargetMode="External"/><Relationship Id="rId1" Type="http://schemas.openxmlformats.org/officeDocument/2006/relationships/hyperlink" Target="mailto:domain2@pure.cloud" TargetMode="External"/><Relationship Id="rId4" Type="http://schemas.openxmlformats.org/officeDocument/2006/relationships/hyperlink" Target="https://help.mypurecloud.com/articles/email-routing-scenarios/"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help.mypurecloud.com/articles/email-routing-scenarios/" TargetMode="Externa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help.mypurecloud.com/articles/create-publish-evaluation-form/" TargetMode="External"/><Relationship Id="rId1" Type="http://schemas.openxmlformats.org/officeDocument/2006/relationships/hyperlink" Target="https://help.mypurecloud.com/articles/about-quality-management/" TargetMode="External"/><Relationship Id="rId6" Type="http://schemas.openxmlformats.org/officeDocument/2006/relationships/comments" Target="../comments6.xml"/><Relationship Id="rId5" Type="http://schemas.openxmlformats.org/officeDocument/2006/relationships/vmlDrawing" Target="../drawings/vmlDrawing6.v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718E7-F068-458D-9FD1-F230A4A565D8}">
  <dimension ref="A1:M34"/>
  <sheetViews>
    <sheetView topLeftCell="A11" workbookViewId="0">
      <selection activeCell="K29" sqref="K29"/>
    </sheetView>
  </sheetViews>
  <sheetFormatPr defaultRowHeight="15"/>
  <cols>
    <col min="1" max="1" width="26.42578125" customWidth="1"/>
    <col min="2" max="8" width="22.42578125" customWidth="1"/>
    <col min="9" max="9" width="25" customWidth="1"/>
    <col min="10" max="10" width="22.42578125" customWidth="1"/>
    <col min="11" max="12" width="11.42578125" customWidth="1"/>
    <col min="13" max="13" width="46.85546875" customWidth="1"/>
  </cols>
  <sheetData>
    <row r="1" spans="1:13">
      <c r="A1" s="155" t="s">
        <v>0</v>
      </c>
      <c r="B1" s="156" t="s">
        <v>1</v>
      </c>
      <c r="C1" s="156" t="s">
        <v>2</v>
      </c>
      <c r="D1" s="156" t="s">
        <v>3</v>
      </c>
      <c r="E1" s="156" t="s">
        <v>4</v>
      </c>
      <c r="F1" s="156" t="s">
        <v>5</v>
      </c>
      <c r="G1" s="156" t="s">
        <v>6</v>
      </c>
      <c r="H1" s="156" t="s">
        <v>7</v>
      </c>
      <c r="I1" s="156" t="s">
        <v>8</v>
      </c>
      <c r="J1" s="157" t="s">
        <v>9</v>
      </c>
      <c r="K1" s="157" t="s">
        <v>10</v>
      </c>
      <c r="L1" s="157"/>
      <c r="M1" s="157" t="s">
        <v>11</v>
      </c>
    </row>
    <row r="2" spans="1:13">
      <c r="A2" s="134" t="s">
        <v>12</v>
      </c>
      <c r="B2" s="196" t="s">
        <v>13</v>
      </c>
      <c r="C2" s="197"/>
      <c r="D2" s="197"/>
      <c r="E2" s="197"/>
      <c r="F2" s="197"/>
      <c r="G2" s="197"/>
      <c r="H2" s="197"/>
      <c r="I2" s="197"/>
      <c r="J2" s="197"/>
      <c r="K2" s="159"/>
      <c r="L2" s="159"/>
      <c r="M2" s="134"/>
    </row>
    <row r="3" spans="1:13">
      <c r="A3" s="134" t="s">
        <v>14</v>
      </c>
      <c r="B3" s="158" t="s">
        <v>15</v>
      </c>
      <c r="C3" s="158" t="s">
        <v>15</v>
      </c>
      <c r="D3" s="196" t="s">
        <v>16</v>
      </c>
      <c r="E3" s="197"/>
      <c r="F3" s="197"/>
      <c r="G3" s="197"/>
      <c r="H3" s="197"/>
      <c r="I3" s="197"/>
      <c r="J3" s="201"/>
      <c r="K3" s="159"/>
      <c r="L3" s="159"/>
      <c r="M3" s="134"/>
    </row>
    <row r="4" spans="1:13">
      <c r="A4" s="134" t="s">
        <v>17</v>
      </c>
      <c r="B4" s="158" t="s">
        <v>15</v>
      </c>
      <c r="C4" s="158" t="s">
        <v>15</v>
      </c>
      <c r="D4" s="198" t="s">
        <v>18</v>
      </c>
      <c r="E4" s="199"/>
      <c r="F4" s="199"/>
      <c r="G4" s="199"/>
      <c r="H4" s="199"/>
      <c r="I4" s="199"/>
      <c r="J4" s="200"/>
      <c r="K4" s="159"/>
      <c r="L4" s="159" t="s">
        <v>19</v>
      </c>
      <c r="M4" s="134"/>
    </row>
    <row r="5" spans="1:13">
      <c r="A5" s="134" t="s">
        <v>20</v>
      </c>
      <c r="B5" s="158" t="s">
        <v>21</v>
      </c>
      <c r="C5" s="158" t="s">
        <v>15</v>
      </c>
      <c r="D5" s="158" t="s">
        <v>15</v>
      </c>
      <c r="E5" s="158" t="s">
        <v>15</v>
      </c>
      <c r="F5" s="158" t="s">
        <v>15</v>
      </c>
      <c r="G5" s="158" t="s">
        <v>15</v>
      </c>
      <c r="H5" s="158" t="s">
        <v>15</v>
      </c>
      <c r="I5" s="158" t="s">
        <v>15</v>
      </c>
      <c r="J5" s="158" t="s">
        <v>15</v>
      </c>
      <c r="K5" s="159"/>
      <c r="L5" s="134" t="s">
        <v>19</v>
      </c>
      <c r="M5" s="134" t="s">
        <v>22</v>
      </c>
    </row>
    <row r="6" spans="1:13">
      <c r="A6" s="134" t="s">
        <v>23</v>
      </c>
      <c r="B6" s="158" t="s">
        <v>21</v>
      </c>
      <c r="C6" s="158" t="s">
        <v>15</v>
      </c>
      <c r="D6" s="158" t="s">
        <v>15</v>
      </c>
      <c r="E6" s="158" t="s">
        <v>15</v>
      </c>
      <c r="F6" s="158" t="s">
        <v>15</v>
      </c>
      <c r="G6" s="158" t="s">
        <v>15</v>
      </c>
      <c r="H6" s="158" t="s">
        <v>15</v>
      </c>
      <c r="I6" s="158" t="s">
        <v>15</v>
      </c>
      <c r="J6" s="158" t="s">
        <v>15</v>
      </c>
      <c r="K6" s="159"/>
      <c r="L6" s="134" t="s">
        <v>19</v>
      </c>
      <c r="M6" s="134" t="s">
        <v>22</v>
      </c>
    </row>
    <row r="7" spans="1:13">
      <c r="A7" s="134" t="s">
        <v>24</v>
      </c>
      <c r="B7" s="158" t="s">
        <v>21</v>
      </c>
      <c r="C7" s="158" t="s">
        <v>15</v>
      </c>
      <c r="D7" s="158" t="s">
        <v>15</v>
      </c>
      <c r="E7" s="158" t="s">
        <v>15</v>
      </c>
      <c r="F7" s="196" t="s">
        <v>25</v>
      </c>
      <c r="G7" s="197"/>
      <c r="H7" s="197"/>
      <c r="I7" s="197"/>
      <c r="J7" s="201"/>
      <c r="K7" s="159"/>
      <c r="L7" s="159"/>
      <c r="M7" s="134" t="s">
        <v>26</v>
      </c>
    </row>
    <row r="8" spans="1:13">
      <c r="A8" s="134" t="s">
        <v>27</v>
      </c>
      <c r="B8" s="158" t="s">
        <v>15</v>
      </c>
      <c r="C8" s="158" t="s">
        <v>15</v>
      </c>
      <c r="D8" s="158" t="s">
        <v>15</v>
      </c>
      <c r="E8" s="158" t="s">
        <v>15</v>
      </c>
      <c r="F8" s="158" t="s">
        <v>15</v>
      </c>
      <c r="G8" s="179" t="s">
        <v>28</v>
      </c>
      <c r="H8" s="179" t="s">
        <v>29</v>
      </c>
      <c r="I8" s="179" t="s">
        <v>30</v>
      </c>
      <c r="J8" s="179" t="s">
        <v>31</v>
      </c>
      <c r="K8" s="159">
        <v>45574</v>
      </c>
      <c r="L8" s="134"/>
      <c r="M8" s="134"/>
    </row>
    <row r="9" spans="1:13">
      <c r="A9" s="134" t="s">
        <v>32</v>
      </c>
      <c r="B9" s="196" t="s">
        <v>13</v>
      </c>
      <c r="C9" s="197"/>
      <c r="D9" s="197"/>
      <c r="E9" s="197"/>
      <c r="F9" s="197"/>
      <c r="G9" s="197"/>
      <c r="H9" s="197"/>
      <c r="I9" s="197"/>
      <c r="J9" s="197"/>
      <c r="K9" s="134"/>
      <c r="L9" s="134"/>
      <c r="M9" s="134"/>
    </row>
    <row r="10" spans="1:13">
      <c r="A10" s="134" t="s">
        <v>33</v>
      </c>
      <c r="B10" s="158" t="s">
        <v>21</v>
      </c>
      <c r="C10" s="158" t="s">
        <v>34</v>
      </c>
      <c r="D10" s="158" t="s">
        <v>15</v>
      </c>
      <c r="E10" s="158" t="s">
        <v>15</v>
      </c>
      <c r="F10" s="158" t="s">
        <v>21</v>
      </c>
      <c r="G10" s="158" t="s">
        <v>21</v>
      </c>
      <c r="H10" s="158" t="s">
        <v>15</v>
      </c>
      <c r="I10" s="158" t="s">
        <v>15</v>
      </c>
      <c r="J10" s="158" t="s">
        <v>15</v>
      </c>
      <c r="K10" s="159"/>
      <c r="L10" s="159"/>
      <c r="M10" s="134"/>
    </row>
    <row r="11" spans="1:13">
      <c r="A11" s="134" t="s">
        <v>35</v>
      </c>
      <c r="B11" s="158" t="s">
        <v>15</v>
      </c>
      <c r="C11" s="158" t="s">
        <v>15</v>
      </c>
      <c r="D11" s="158" t="s">
        <v>15</v>
      </c>
      <c r="E11" s="158" t="s">
        <v>15</v>
      </c>
      <c r="F11" s="158" t="s">
        <v>15</v>
      </c>
      <c r="G11" s="158" t="s">
        <v>15</v>
      </c>
      <c r="H11" s="158" t="s">
        <v>15</v>
      </c>
      <c r="I11" s="158" t="s">
        <v>15</v>
      </c>
      <c r="J11" s="158" t="s">
        <v>15</v>
      </c>
      <c r="K11" s="159"/>
      <c r="L11" s="134"/>
      <c r="M11" s="160"/>
    </row>
    <row r="12" spans="1:13">
      <c r="A12" s="134" t="s">
        <v>36</v>
      </c>
      <c r="B12" s="196" t="s">
        <v>13</v>
      </c>
      <c r="C12" s="197"/>
      <c r="D12" s="197"/>
      <c r="E12" s="197"/>
      <c r="F12" s="197"/>
      <c r="G12" s="197"/>
      <c r="H12" s="197"/>
      <c r="I12" s="197"/>
      <c r="J12" s="197"/>
      <c r="K12" s="134"/>
      <c r="L12" s="159"/>
      <c r="M12" s="134"/>
    </row>
    <row r="13" spans="1:13">
      <c r="A13" s="134" t="s">
        <v>37</v>
      </c>
      <c r="B13" s="158" t="s">
        <v>15</v>
      </c>
      <c r="C13" s="158" t="s">
        <v>15</v>
      </c>
      <c r="D13" s="196" t="s">
        <v>15</v>
      </c>
      <c r="E13" s="197"/>
      <c r="F13" s="197"/>
      <c r="G13" s="197"/>
      <c r="H13" s="197"/>
      <c r="I13" s="197"/>
      <c r="J13" s="201"/>
      <c r="K13" s="159"/>
      <c r="L13" s="169"/>
      <c r="M13" s="160"/>
    </row>
    <row r="14" spans="1:13">
      <c r="A14" s="134" t="s">
        <v>38</v>
      </c>
      <c r="B14" s="196" t="s">
        <v>13</v>
      </c>
      <c r="C14" s="197"/>
      <c r="D14" s="197"/>
      <c r="E14" s="197"/>
      <c r="F14" s="197"/>
      <c r="G14" s="197"/>
      <c r="H14" s="197"/>
      <c r="I14" s="197"/>
      <c r="J14" s="197"/>
      <c r="K14" s="134"/>
      <c r="L14" s="134"/>
      <c r="M14" s="134"/>
    </row>
    <row r="15" spans="1:13">
      <c r="A15" s="134" t="s">
        <v>39</v>
      </c>
      <c r="B15" s="158" t="s">
        <v>15</v>
      </c>
      <c r="C15" s="158" t="s">
        <v>15</v>
      </c>
      <c r="D15" s="196" t="s">
        <v>13</v>
      </c>
      <c r="E15" s="197"/>
      <c r="F15" s="197"/>
      <c r="G15" s="197"/>
      <c r="H15" s="197"/>
      <c r="I15" s="197"/>
      <c r="J15" s="201"/>
      <c r="K15" s="159"/>
      <c r="L15" s="134"/>
      <c r="M15" s="160"/>
    </row>
    <row r="16" spans="1:13">
      <c r="A16" s="134" t="s">
        <v>40</v>
      </c>
      <c r="B16" s="158" t="s">
        <v>15</v>
      </c>
      <c r="C16" s="202" t="s">
        <v>41</v>
      </c>
      <c r="D16" s="203"/>
      <c r="E16" s="203"/>
      <c r="F16" s="203"/>
      <c r="G16" s="203"/>
      <c r="H16" s="203"/>
      <c r="I16" s="203"/>
      <c r="J16" s="204"/>
      <c r="K16" s="134"/>
      <c r="L16" s="134"/>
      <c r="M16" s="134"/>
    </row>
    <row r="17" spans="1:13">
      <c r="A17" s="134" t="s">
        <v>42</v>
      </c>
      <c r="B17" s="158" t="s">
        <v>15</v>
      </c>
      <c r="C17" s="158" t="s">
        <v>15</v>
      </c>
      <c r="D17" s="158" t="s">
        <v>15</v>
      </c>
      <c r="E17" s="158" t="s">
        <v>15</v>
      </c>
      <c r="F17" s="158" t="s">
        <v>15</v>
      </c>
      <c r="G17" s="158" t="s">
        <v>15</v>
      </c>
      <c r="H17" s="158" t="s">
        <v>15</v>
      </c>
      <c r="I17" s="158" t="s">
        <v>15</v>
      </c>
      <c r="J17" s="158" t="s">
        <v>15</v>
      </c>
      <c r="K17" s="159"/>
      <c r="L17" s="134"/>
      <c r="M17" s="160"/>
    </row>
    <row r="18" spans="1:13">
      <c r="A18" s="134" t="s">
        <v>43</v>
      </c>
      <c r="B18" s="205" t="s">
        <v>44</v>
      </c>
      <c r="C18" s="206"/>
      <c r="D18" s="206"/>
      <c r="E18" s="206"/>
      <c r="F18" s="206"/>
      <c r="G18" s="206"/>
      <c r="H18" s="206"/>
      <c r="I18" s="206"/>
      <c r="J18" s="207"/>
      <c r="K18" s="134"/>
      <c r="L18" s="134"/>
      <c r="M18" s="134"/>
    </row>
    <row r="19" spans="1:13">
      <c r="A19" s="134" t="s">
        <v>45</v>
      </c>
      <c r="B19" s="196" t="s">
        <v>13</v>
      </c>
      <c r="C19" s="197"/>
      <c r="D19" s="197"/>
      <c r="E19" s="197"/>
      <c r="F19" s="197"/>
      <c r="G19" s="197"/>
      <c r="H19" s="197"/>
      <c r="I19" s="197"/>
      <c r="J19" s="197"/>
      <c r="K19" s="134"/>
      <c r="L19" s="134"/>
      <c r="M19" s="134"/>
    </row>
    <row r="20" spans="1:13">
      <c r="A20" s="134" t="s">
        <v>46</v>
      </c>
      <c r="B20" s="158" t="s">
        <v>21</v>
      </c>
      <c r="C20" s="158" t="s">
        <v>15</v>
      </c>
      <c r="D20" s="158" t="s">
        <v>21</v>
      </c>
      <c r="E20" s="158" t="s">
        <v>15</v>
      </c>
      <c r="F20" s="158" t="s">
        <v>21</v>
      </c>
      <c r="G20" s="158" t="s">
        <v>21</v>
      </c>
      <c r="H20" s="158" t="s">
        <v>21</v>
      </c>
      <c r="I20" s="158" t="s">
        <v>21</v>
      </c>
      <c r="J20" s="158" t="s">
        <v>21</v>
      </c>
      <c r="K20" s="159"/>
      <c r="L20" s="134"/>
      <c r="M20" s="134"/>
    </row>
    <row r="21" spans="1:13">
      <c r="A21" s="134" t="s">
        <v>47</v>
      </c>
      <c r="B21" s="196" t="s">
        <v>13</v>
      </c>
      <c r="C21" s="197"/>
      <c r="D21" s="197"/>
      <c r="E21" s="197"/>
      <c r="F21" s="197"/>
      <c r="G21" s="197"/>
      <c r="H21" s="197"/>
      <c r="I21" s="197"/>
      <c r="J21" s="197"/>
      <c r="K21" s="134"/>
      <c r="L21" s="134"/>
      <c r="M21" s="134"/>
    </row>
    <row r="22" spans="1:13">
      <c r="A22" s="134" t="s">
        <v>48</v>
      </c>
      <c r="B22" s="196" t="s">
        <v>13</v>
      </c>
      <c r="C22" s="197"/>
      <c r="D22" s="197"/>
      <c r="E22" s="197"/>
      <c r="F22" s="197"/>
      <c r="G22" s="197"/>
      <c r="H22" s="197"/>
      <c r="I22" s="197"/>
      <c r="J22" s="197"/>
      <c r="K22" s="134"/>
      <c r="L22" s="134"/>
      <c r="M22" s="134"/>
    </row>
    <row r="23" spans="1:13">
      <c r="A23" s="134" t="s">
        <v>49</v>
      </c>
      <c r="B23" s="158" t="s">
        <v>15</v>
      </c>
      <c r="C23" s="158" t="s">
        <v>15</v>
      </c>
      <c r="D23" s="158" t="s">
        <v>15</v>
      </c>
      <c r="E23" s="158" t="s">
        <v>15</v>
      </c>
      <c r="F23" s="158" t="s">
        <v>15</v>
      </c>
      <c r="G23" s="158" t="s">
        <v>15</v>
      </c>
      <c r="H23" s="158" t="s">
        <v>15</v>
      </c>
      <c r="I23" s="158" t="s">
        <v>15</v>
      </c>
      <c r="J23" s="158" t="s">
        <v>15</v>
      </c>
      <c r="K23" s="159"/>
      <c r="L23" s="134" t="s">
        <v>19</v>
      </c>
      <c r="M23" s="134"/>
    </row>
    <row r="24" spans="1:13">
      <c r="A24" s="134" t="s">
        <v>50</v>
      </c>
      <c r="B24" s="196" t="s">
        <v>13</v>
      </c>
      <c r="C24" s="197"/>
      <c r="D24" s="197"/>
      <c r="E24" s="197"/>
      <c r="F24" s="197"/>
      <c r="G24" s="197"/>
      <c r="H24" s="197"/>
      <c r="I24" s="197"/>
      <c r="J24" s="197"/>
      <c r="K24" s="134"/>
      <c r="L24" s="134"/>
      <c r="M24" s="134"/>
    </row>
    <row r="25" spans="1:13">
      <c r="A25" s="134" t="s">
        <v>51</v>
      </c>
      <c r="B25" s="196" t="s">
        <v>13</v>
      </c>
      <c r="C25" s="197"/>
      <c r="D25" s="197"/>
      <c r="E25" s="197"/>
      <c r="F25" s="197"/>
      <c r="G25" s="197"/>
      <c r="H25" s="197"/>
      <c r="I25" s="197"/>
      <c r="J25" s="197"/>
      <c r="K25" s="134"/>
      <c r="L25" s="134"/>
      <c r="M25" s="134"/>
    </row>
    <row r="26" spans="1:13">
      <c r="A26" s="134" t="s">
        <v>52</v>
      </c>
      <c r="B26" s="196" t="s">
        <v>13</v>
      </c>
      <c r="C26" s="197"/>
      <c r="D26" s="197"/>
      <c r="E26" s="197"/>
      <c r="F26" s="197"/>
      <c r="G26" s="197"/>
      <c r="H26" s="197"/>
      <c r="I26" s="197"/>
      <c r="J26" s="197"/>
      <c r="K26" s="134"/>
      <c r="L26" s="134"/>
      <c r="M26" s="134"/>
    </row>
    <row r="27" spans="1:13">
      <c r="A27" s="134" t="s">
        <v>53</v>
      </c>
      <c r="B27" s="158" t="s">
        <v>15</v>
      </c>
      <c r="C27" s="158" t="s">
        <v>15</v>
      </c>
      <c r="D27" s="158" t="s">
        <v>15</v>
      </c>
      <c r="E27" s="158" t="s">
        <v>15</v>
      </c>
      <c r="F27" s="158" t="s">
        <v>15</v>
      </c>
      <c r="G27" s="158" t="s">
        <v>15</v>
      </c>
      <c r="H27" s="158" t="s">
        <v>15</v>
      </c>
      <c r="I27" s="158" t="s">
        <v>15</v>
      </c>
      <c r="J27" s="158" t="s">
        <v>15</v>
      </c>
      <c r="K27" s="134"/>
      <c r="L27" s="134"/>
      <c r="M27" s="160"/>
    </row>
    <row r="28" spans="1:13">
      <c r="A28" s="134" t="s">
        <v>54</v>
      </c>
      <c r="B28" s="158" t="s">
        <v>15</v>
      </c>
      <c r="C28" s="158" t="s">
        <v>15</v>
      </c>
      <c r="D28" s="158" t="s">
        <v>15</v>
      </c>
      <c r="E28" s="158" t="s">
        <v>15</v>
      </c>
      <c r="F28" s="158" t="s">
        <v>15</v>
      </c>
      <c r="G28" s="158" t="s">
        <v>15</v>
      </c>
      <c r="H28" s="158" t="s">
        <v>15</v>
      </c>
      <c r="I28" s="158" t="s">
        <v>15</v>
      </c>
      <c r="J28" s="158" t="s">
        <v>15</v>
      </c>
      <c r="K28" s="159"/>
      <c r="L28" s="134" t="s">
        <v>19</v>
      </c>
      <c r="M28" s="134" t="s">
        <v>55</v>
      </c>
    </row>
    <row r="29" spans="1:13">
      <c r="A29" s="134" t="s">
        <v>56</v>
      </c>
      <c r="B29" s="196" t="s">
        <v>13</v>
      </c>
      <c r="C29" s="197"/>
      <c r="D29" s="197"/>
      <c r="E29" s="197"/>
      <c r="F29" s="197"/>
      <c r="G29" s="197"/>
      <c r="H29" s="197"/>
      <c r="I29" s="197"/>
      <c r="J29" s="197"/>
      <c r="K29" s="134"/>
      <c r="L29" s="134"/>
      <c r="M29" s="134"/>
    </row>
    <row r="30" spans="1:13">
      <c r="A30" s="134" t="s">
        <v>57</v>
      </c>
      <c r="B30" s="158" t="s">
        <v>21</v>
      </c>
      <c r="C30" s="158" t="s">
        <v>15</v>
      </c>
      <c r="D30" s="158" t="s">
        <v>15</v>
      </c>
      <c r="E30" s="158" t="s">
        <v>15</v>
      </c>
      <c r="F30" s="158" t="s">
        <v>15</v>
      </c>
      <c r="G30" s="198" t="s">
        <v>58</v>
      </c>
      <c r="H30" s="199"/>
      <c r="I30" s="199"/>
      <c r="J30" s="200"/>
      <c r="K30" s="159">
        <v>45569</v>
      </c>
      <c r="L30" s="134" t="s">
        <v>19</v>
      </c>
      <c r="M30" s="170" t="s">
        <v>59</v>
      </c>
    </row>
    <row r="32" spans="1:13">
      <c r="A32" s="177" t="s">
        <v>60</v>
      </c>
      <c r="B32" s="177"/>
      <c r="C32" s="177"/>
      <c r="D32" s="177"/>
      <c r="E32" s="177"/>
      <c r="F32" s="178">
        <v>45530</v>
      </c>
      <c r="G32" s="178">
        <v>45538</v>
      </c>
      <c r="H32" s="178">
        <v>45530</v>
      </c>
      <c r="I32" s="178">
        <v>45544</v>
      </c>
      <c r="J32" s="178">
        <v>45551</v>
      </c>
    </row>
    <row r="33" spans="1:10">
      <c r="A33" s="177" t="s">
        <v>61</v>
      </c>
      <c r="B33" s="177"/>
      <c r="C33" s="177"/>
      <c r="D33" s="177"/>
      <c r="E33" s="177"/>
      <c r="F33" s="178">
        <v>45544</v>
      </c>
      <c r="G33" s="178">
        <v>45546</v>
      </c>
      <c r="H33" s="178">
        <v>45553</v>
      </c>
      <c r="I33" s="178">
        <v>45558</v>
      </c>
      <c r="J33" s="178">
        <v>45565</v>
      </c>
    </row>
    <row r="34" spans="1:10">
      <c r="A34" s="177" t="s">
        <v>62</v>
      </c>
      <c r="B34" s="177"/>
      <c r="C34" s="177"/>
      <c r="D34" s="178">
        <v>45539</v>
      </c>
      <c r="E34" s="178">
        <v>45546</v>
      </c>
      <c r="F34" s="178">
        <v>45560</v>
      </c>
      <c r="G34" s="183">
        <v>45581</v>
      </c>
      <c r="H34" s="178">
        <v>45574</v>
      </c>
      <c r="I34" s="183">
        <v>45588</v>
      </c>
      <c r="J34" s="183">
        <v>45595</v>
      </c>
    </row>
  </sheetData>
  <mergeCells count="19">
    <mergeCell ref="B22:J22"/>
    <mergeCell ref="B24:J24"/>
    <mergeCell ref="B21:J21"/>
    <mergeCell ref="D15:J15"/>
    <mergeCell ref="G30:J30"/>
    <mergeCell ref="C16:J16"/>
    <mergeCell ref="B18:J18"/>
    <mergeCell ref="B19:J19"/>
    <mergeCell ref="B29:J29"/>
    <mergeCell ref="B25:J25"/>
    <mergeCell ref="B26:J26"/>
    <mergeCell ref="B2:J2"/>
    <mergeCell ref="B14:J14"/>
    <mergeCell ref="B12:J12"/>
    <mergeCell ref="D4:J4"/>
    <mergeCell ref="F7:J7"/>
    <mergeCell ref="B9:J9"/>
    <mergeCell ref="D13:J13"/>
    <mergeCell ref="D3:J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333DF-5E20-47B1-BC23-49199BDE741E}">
  <sheetPr codeName="Sheet3">
    <tabColor rgb="FF92D050"/>
  </sheetPr>
  <dimension ref="A1:D63"/>
  <sheetViews>
    <sheetView zoomScale="110" zoomScaleNormal="110" workbookViewId="0"/>
  </sheetViews>
  <sheetFormatPr defaultRowHeight="15"/>
  <cols>
    <col min="1" max="1" width="48.28515625" bestFit="1" customWidth="1"/>
    <col min="2" max="2" width="37.42578125" customWidth="1"/>
    <col min="3" max="3" width="41" customWidth="1"/>
    <col min="4" max="10" width="25.7109375" customWidth="1"/>
  </cols>
  <sheetData>
    <row r="1" spans="1:3" ht="18.75">
      <c r="A1" s="23" t="s">
        <v>63</v>
      </c>
      <c r="B1" s="24"/>
      <c r="C1" s="5" t="s">
        <v>64</v>
      </c>
    </row>
    <row r="2" spans="1:3" ht="20.100000000000001" customHeight="1">
      <c r="A2" s="76" t="s">
        <v>65</v>
      </c>
      <c r="B2" s="76" t="s">
        <v>66</v>
      </c>
      <c r="C2" s="76" t="s">
        <v>67</v>
      </c>
    </row>
    <row r="3" spans="1:3" ht="45.75">
      <c r="A3" s="85" t="s">
        <v>68</v>
      </c>
      <c r="B3" s="77" t="s">
        <v>69</v>
      </c>
    </row>
    <row r="4" spans="1:3" ht="34.5">
      <c r="A4" s="86" t="s">
        <v>70</v>
      </c>
      <c r="B4" s="78" t="s">
        <v>71</v>
      </c>
    </row>
    <row r="5" spans="1:3" ht="45.75">
      <c r="A5" s="87" t="s">
        <v>72</v>
      </c>
      <c r="B5" s="79" t="s">
        <v>73</v>
      </c>
      <c r="C5" s="90"/>
    </row>
    <row r="6" spans="1:3">
      <c r="A6" s="208" t="s">
        <v>74</v>
      </c>
      <c r="B6" s="209"/>
      <c r="C6" s="95"/>
    </row>
    <row r="7" spans="1:3" ht="34.5">
      <c r="A7" s="86" t="s">
        <v>75</v>
      </c>
      <c r="B7" s="80" t="s">
        <v>76</v>
      </c>
      <c r="C7" t="s">
        <v>77</v>
      </c>
    </row>
    <row r="8" spans="1:3" ht="22.5">
      <c r="A8" s="85" t="s">
        <v>78</v>
      </c>
      <c r="B8" s="82" t="s">
        <v>79</v>
      </c>
      <c r="C8" s="7" t="s">
        <v>80</v>
      </c>
    </row>
    <row r="9" spans="1:3" ht="22.5">
      <c r="A9" s="86" t="s">
        <v>81</v>
      </c>
      <c r="B9" s="82" t="s">
        <v>82</v>
      </c>
      <c r="C9" s="7" t="s">
        <v>83</v>
      </c>
    </row>
    <row r="10" spans="1:3" ht="45">
      <c r="A10" s="87" t="s">
        <v>84</v>
      </c>
      <c r="B10" s="82" t="s">
        <v>85</v>
      </c>
    </row>
    <row r="11" spans="1:3">
      <c r="A11" s="210" t="s">
        <v>86</v>
      </c>
      <c r="B11" s="211"/>
      <c r="C11" s="15"/>
    </row>
    <row r="12" spans="1:3" ht="23.25">
      <c r="A12" s="86" t="s">
        <v>87</v>
      </c>
      <c r="B12" s="80" t="s">
        <v>88</v>
      </c>
      <c r="C12" t="s">
        <v>89</v>
      </c>
    </row>
    <row r="13" spans="1:3" ht="45">
      <c r="A13" s="85" t="s">
        <v>90</v>
      </c>
      <c r="B13" s="117" t="s">
        <v>91</v>
      </c>
      <c r="C13" t="s">
        <v>89</v>
      </c>
    </row>
    <row r="14" spans="1:3" ht="34.5">
      <c r="A14" s="86" t="s">
        <v>92</v>
      </c>
      <c r="B14" s="80" t="s">
        <v>93</v>
      </c>
    </row>
    <row r="15" spans="1:3">
      <c r="A15" s="210" t="s">
        <v>94</v>
      </c>
      <c r="B15" s="211"/>
      <c r="C15" s="15"/>
    </row>
    <row r="16" spans="1:3" ht="23.25">
      <c r="A16" s="87" t="s">
        <v>95</v>
      </c>
      <c r="B16" s="80" t="s">
        <v>96</v>
      </c>
      <c r="C16" t="s">
        <v>89</v>
      </c>
    </row>
    <row r="17" spans="1:3" ht="34.5">
      <c r="A17" s="86" t="s">
        <v>97</v>
      </c>
      <c r="B17" s="80" t="s">
        <v>98</v>
      </c>
      <c r="C17" t="s">
        <v>89</v>
      </c>
    </row>
    <row r="18" spans="1:3" ht="23.25">
      <c r="A18" s="85" t="s">
        <v>99</v>
      </c>
      <c r="B18" s="80" t="s">
        <v>100</v>
      </c>
      <c r="C18">
        <v>12</v>
      </c>
    </row>
    <row r="19" spans="1:3" ht="23.25">
      <c r="A19" s="85" t="s">
        <v>101</v>
      </c>
      <c r="B19" s="80" t="s">
        <v>102</v>
      </c>
      <c r="C19">
        <v>5</v>
      </c>
    </row>
    <row r="20" spans="1:3">
      <c r="A20" s="86" t="s">
        <v>103</v>
      </c>
      <c r="B20" s="80" t="s">
        <v>104</v>
      </c>
      <c r="C20" t="s">
        <v>105</v>
      </c>
    </row>
    <row r="21" spans="1:3">
      <c r="A21" s="87" t="s">
        <v>106</v>
      </c>
      <c r="B21" s="79" t="s">
        <v>107</v>
      </c>
    </row>
    <row r="22" spans="1:3">
      <c r="A22" s="212" t="s">
        <v>108</v>
      </c>
      <c r="B22" s="213"/>
      <c r="C22" s="17"/>
    </row>
    <row r="23" spans="1:3" ht="68.25">
      <c r="A23" s="86" t="s">
        <v>109</v>
      </c>
      <c r="B23" s="78" t="s">
        <v>110</v>
      </c>
      <c r="C23" t="s">
        <v>89</v>
      </c>
    </row>
    <row r="24" spans="1:3" ht="34.5">
      <c r="A24" s="87" t="s">
        <v>111</v>
      </c>
      <c r="B24" s="79" t="s">
        <v>112</v>
      </c>
      <c r="C24" t="s">
        <v>89</v>
      </c>
    </row>
    <row r="25" spans="1:3" ht="68.25">
      <c r="A25" s="86" t="s">
        <v>113</v>
      </c>
      <c r="B25" s="81" t="s">
        <v>114</v>
      </c>
      <c r="C25" s="7" t="s">
        <v>89</v>
      </c>
    </row>
    <row r="26" spans="1:3" ht="23.25">
      <c r="A26" s="87" t="s">
        <v>115</v>
      </c>
      <c r="B26" s="79" t="s">
        <v>116</v>
      </c>
      <c r="C26" t="s">
        <v>89</v>
      </c>
    </row>
    <row r="27" spans="1:3" ht="96.75">
      <c r="A27" s="86" t="s">
        <v>117</v>
      </c>
      <c r="B27" s="93" t="s">
        <v>118</v>
      </c>
      <c r="C27" s="7" t="s">
        <v>89</v>
      </c>
    </row>
    <row r="28" spans="1:3" ht="48.75">
      <c r="A28" s="94" t="s">
        <v>119</v>
      </c>
      <c r="B28" s="93" t="s">
        <v>120</v>
      </c>
      <c r="C28" s="7" t="s">
        <v>89</v>
      </c>
    </row>
    <row r="29" spans="1:3">
      <c r="A29" s="116" t="s">
        <v>121</v>
      </c>
      <c r="B29" s="83"/>
      <c r="C29" s="15"/>
    </row>
    <row r="30" spans="1:3" ht="84.75">
      <c r="A30" s="98" t="s">
        <v>122</v>
      </c>
      <c r="B30" s="93" t="s">
        <v>123</v>
      </c>
      <c r="C30" s="96" t="s">
        <v>89</v>
      </c>
    </row>
    <row r="31" spans="1:3" ht="84.75">
      <c r="A31" s="98" t="s">
        <v>124</v>
      </c>
      <c r="B31" s="93" t="s">
        <v>125</v>
      </c>
      <c r="C31" s="22" t="s">
        <v>89</v>
      </c>
    </row>
    <row r="32" spans="1:3" ht="34.5">
      <c r="A32" s="97" t="s">
        <v>126</v>
      </c>
      <c r="B32" s="80" t="s">
        <v>127</v>
      </c>
      <c r="C32" t="s">
        <v>89</v>
      </c>
    </row>
    <row r="33" spans="1:4" ht="23.25">
      <c r="A33" s="86" t="s">
        <v>128</v>
      </c>
      <c r="B33" s="80" t="s">
        <v>129</v>
      </c>
      <c r="C33">
        <v>3650</v>
      </c>
    </row>
    <row r="34" spans="1:4" ht="48.75">
      <c r="A34" s="98" t="s">
        <v>130</v>
      </c>
      <c r="B34" s="93" t="s">
        <v>131</v>
      </c>
    </row>
    <row r="35" spans="1:4" ht="34.5">
      <c r="A35" s="87" t="s">
        <v>132</v>
      </c>
      <c r="B35" s="80" t="s">
        <v>133</v>
      </c>
      <c r="C35" t="s">
        <v>89</v>
      </c>
    </row>
    <row r="36" spans="1:4" ht="34.5">
      <c r="A36" s="107" t="s">
        <v>134</v>
      </c>
      <c r="B36" s="80" t="s">
        <v>135</v>
      </c>
      <c r="C36" t="s">
        <v>89</v>
      </c>
    </row>
    <row r="37" spans="1:4">
      <c r="A37" s="99" t="s">
        <v>136</v>
      </c>
      <c r="B37" s="100" t="s">
        <v>137</v>
      </c>
      <c r="C37" s="101" t="s">
        <v>77</v>
      </c>
      <c r="D37" s="102"/>
    </row>
    <row r="38" spans="1:4" ht="24.75">
      <c r="A38" s="108"/>
      <c r="B38" s="92" t="s">
        <v>138</v>
      </c>
      <c r="C38" s="93" t="s">
        <v>139</v>
      </c>
      <c r="D38" s="109" t="s">
        <v>77</v>
      </c>
    </row>
    <row r="39" spans="1:4" ht="24.75">
      <c r="A39" s="110"/>
      <c r="B39" s="111" t="s">
        <v>140</v>
      </c>
      <c r="C39" s="105" t="s">
        <v>141</v>
      </c>
      <c r="D39" s="106" t="s">
        <v>142</v>
      </c>
    </row>
    <row r="40" spans="1:4">
      <c r="A40" s="108" t="s">
        <v>143</v>
      </c>
      <c r="B40" s="92" t="s">
        <v>144</v>
      </c>
      <c r="C40" t="s">
        <v>77</v>
      </c>
      <c r="D40" s="109"/>
    </row>
    <row r="41" spans="1:4" ht="24.75">
      <c r="A41" s="103"/>
      <c r="B41" s="104" t="s">
        <v>138</v>
      </c>
      <c r="C41" s="105" t="s">
        <v>139</v>
      </c>
      <c r="D41" s="106" t="s">
        <v>77</v>
      </c>
    </row>
    <row r="42" spans="1:4">
      <c r="A42" s="98"/>
      <c r="B42" s="92"/>
    </row>
    <row r="43" spans="1:4" ht="34.5">
      <c r="A43" s="88" t="s">
        <v>145</v>
      </c>
      <c r="B43" s="80" t="s">
        <v>146</v>
      </c>
    </row>
    <row r="44" spans="1:4" ht="45.75">
      <c r="A44" s="86" t="s">
        <v>147</v>
      </c>
      <c r="B44" s="80" t="s">
        <v>148</v>
      </c>
    </row>
    <row r="45" spans="1:4" ht="45.75">
      <c r="A45" s="88" t="s">
        <v>149</v>
      </c>
      <c r="B45" s="80" t="s">
        <v>150</v>
      </c>
    </row>
    <row r="46" spans="1:4" ht="23.25">
      <c r="A46" s="86" t="s">
        <v>151</v>
      </c>
      <c r="B46" s="115" t="s">
        <v>152</v>
      </c>
    </row>
    <row r="47" spans="1:4">
      <c r="A47" s="114" t="s">
        <v>153</v>
      </c>
      <c r="B47" s="113"/>
    </row>
    <row r="48" spans="1:4">
      <c r="A48" s="98" t="s">
        <v>154</v>
      </c>
      <c r="B48" s="92" t="s">
        <v>155</v>
      </c>
    </row>
    <row r="49" spans="1:3">
      <c r="A49" s="98"/>
      <c r="B49" s="98" t="s">
        <v>156</v>
      </c>
      <c r="C49" s="30">
        <v>5</v>
      </c>
    </row>
    <row r="50" spans="1:3" ht="57">
      <c r="A50" s="88" t="s">
        <v>157</v>
      </c>
      <c r="B50" s="80" t="s">
        <v>158</v>
      </c>
      <c r="C50" s="112" t="s">
        <v>89</v>
      </c>
    </row>
    <row r="51" spans="1:3">
      <c r="A51" s="89" t="s">
        <v>159</v>
      </c>
      <c r="B51" s="84"/>
      <c r="C51" s="15"/>
    </row>
    <row r="52" spans="1:3">
      <c r="A52" s="124" t="s">
        <v>160</v>
      </c>
      <c r="B52" s="125"/>
      <c r="C52" s="126">
        <v>12</v>
      </c>
    </row>
    <row r="53" spans="1:3">
      <c r="A53" s="124" t="s">
        <v>161</v>
      </c>
      <c r="B53" s="125"/>
      <c r="C53" s="126">
        <v>0</v>
      </c>
    </row>
    <row r="54" spans="1:3">
      <c r="A54" s="124" t="s">
        <v>162</v>
      </c>
      <c r="B54" s="125"/>
      <c r="C54" s="126">
        <v>1</v>
      </c>
    </row>
    <row r="55" spans="1:3">
      <c r="A55" s="124" t="s">
        <v>163</v>
      </c>
      <c r="B55" s="125"/>
      <c r="C55" s="126">
        <v>1</v>
      </c>
    </row>
    <row r="56" spans="1:3">
      <c r="A56" s="124" t="s">
        <v>164</v>
      </c>
      <c r="B56" s="125"/>
      <c r="C56" s="126">
        <v>1</v>
      </c>
    </row>
    <row r="57" spans="1:3">
      <c r="A57" s="124" t="s">
        <v>165</v>
      </c>
      <c r="B57" s="125"/>
      <c r="C57" s="126">
        <v>1</v>
      </c>
    </row>
    <row r="58" spans="1:3">
      <c r="A58" s="124" t="s">
        <v>166</v>
      </c>
      <c r="B58" s="125"/>
      <c r="C58" s="126" t="s">
        <v>167</v>
      </c>
    </row>
    <row r="59" spans="1:3">
      <c r="A59" s="124" t="s">
        <v>168</v>
      </c>
      <c r="B59" s="125"/>
      <c r="C59" s="127" t="s">
        <v>169</v>
      </c>
    </row>
    <row r="60" spans="1:3" ht="34.5">
      <c r="A60" s="128" t="s">
        <v>170</v>
      </c>
      <c r="B60" s="125" t="s">
        <v>171</v>
      </c>
      <c r="C60" s="129"/>
    </row>
    <row r="61" spans="1:3" ht="102">
      <c r="A61" s="130" t="s">
        <v>172</v>
      </c>
      <c r="B61" s="125" t="s">
        <v>173</v>
      </c>
      <c r="C61" s="129"/>
    </row>
    <row r="62" spans="1:3">
      <c r="A62" s="89" t="s">
        <v>174</v>
      </c>
      <c r="B62" s="84"/>
      <c r="C62" s="15"/>
    </row>
    <row r="63" spans="1:3">
      <c r="A63" s="71" t="s">
        <v>175</v>
      </c>
      <c r="B63" s="80" t="s">
        <v>176</v>
      </c>
    </row>
  </sheetData>
  <mergeCells count="4">
    <mergeCell ref="A6:B6"/>
    <mergeCell ref="A11:B11"/>
    <mergeCell ref="A15:B15"/>
    <mergeCell ref="A22:B22"/>
  </mergeCells>
  <phoneticPr fontId="9" type="noConversion"/>
  <hyperlinks>
    <hyperlink ref="C1" r:id="rId1" display="https://help.mypurecloud.com/articles/about-organization-settings/" xr:uid="{EB7EB14A-A7BE-4293-8FEB-B9DF1E4C0178}"/>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2FD61-E12D-42CC-A055-42C96C5BADB4}">
  <sheetPr>
    <tabColor rgb="FF92D050"/>
  </sheetPr>
  <dimension ref="A1:K13"/>
  <sheetViews>
    <sheetView workbookViewId="0">
      <pane ySplit="1" topLeftCell="A2" activePane="bottomLeft" state="frozen"/>
      <selection pane="bottomLeft" activeCell="A2" sqref="A2"/>
    </sheetView>
  </sheetViews>
  <sheetFormatPr defaultRowHeight="15"/>
  <cols>
    <col min="1" max="1" width="22" bestFit="1" customWidth="1"/>
    <col min="2" max="2" width="27.85546875" bestFit="1" customWidth="1"/>
    <col min="3" max="3" width="25.7109375" bestFit="1" customWidth="1"/>
    <col min="4" max="4" width="20.7109375" bestFit="1" customWidth="1"/>
    <col min="5" max="5" width="9.7109375" customWidth="1"/>
    <col min="6" max="6" width="8.7109375" bestFit="1" customWidth="1"/>
    <col min="7" max="7" width="14.5703125" customWidth="1"/>
    <col min="8" max="8" width="50.28515625" bestFit="1" customWidth="1"/>
    <col min="9" max="9" width="21.85546875" customWidth="1"/>
    <col min="11" max="11" width="30.140625" customWidth="1"/>
  </cols>
  <sheetData>
    <row r="1" spans="1:11" ht="18.75">
      <c r="A1" s="214" t="s">
        <v>177</v>
      </c>
      <c r="B1" s="214"/>
      <c r="C1" s="214"/>
      <c r="D1" s="214"/>
      <c r="E1" s="214"/>
      <c r="F1" s="214"/>
      <c r="G1" s="214"/>
      <c r="H1" s="214"/>
      <c r="I1" s="214"/>
      <c r="J1" s="5" t="s">
        <v>178</v>
      </c>
      <c r="K1" t="s">
        <v>179</v>
      </c>
    </row>
    <row r="2" spans="1:11">
      <c r="A2" s="72" t="s">
        <v>180</v>
      </c>
      <c r="B2" s="72" t="s">
        <v>181</v>
      </c>
      <c r="C2" s="72" t="s">
        <v>182</v>
      </c>
      <c r="D2" s="72" t="s">
        <v>183</v>
      </c>
      <c r="E2" s="72" t="s">
        <v>184</v>
      </c>
      <c r="F2" s="72" t="s">
        <v>185</v>
      </c>
      <c r="G2" s="72" t="s">
        <v>186</v>
      </c>
      <c r="H2" s="72" t="s">
        <v>11</v>
      </c>
      <c r="I2" s="72" t="s">
        <v>187</v>
      </c>
    </row>
    <row r="3" spans="1:11">
      <c r="A3" t="s">
        <v>188</v>
      </c>
      <c r="B3" t="s">
        <v>189</v>
      </c>
      <c r="D3" t="s">
        <v>188</v>
      </c>
      <c r="E3" t="s">
        <v>190</v>
      </c>
      <c r="F3">
        <v>18017</v>
      </c>
      <c r="G3" t="s">
        <v>83</v>
      </c>
      <c r="I3" s="139">
        <v>14845101909</v>
      </c>
      <c r="J3" t="s">
        <v>191</v>
      </c>
      <c r="K3" s="162" t="s">
        <v>192</v>
      </c>
    </row>
    <row r="4" spans="1:11">
      <c r="A4" t="s">
        <v>193</v>
      </c>
      <c r="B4" t="s">
        <v>194</v>
      </c>
      <c r="D4" t="s">
        <v>195</v>
      </c>
      <c r="E4" t="s">
        <v>196</v>
      </c>
      <c r="F4">
        <v>10001</v>
      </c>
      <c r="G4" t="s">
        <v>83</v>
      </c>
      <c r="I4" s="139">
        <v>14845101905</v>
      </c>
      <c r="J4" t="s">
        <v>191</v>
      </c>
      <c r="K4" s="162" t="s">
        <v>192</v>
      </c>
    </row>
    <row r="5" spans="1:11">
      <c r="A5" s="171" t="s">
        <v>197</v>
      </c>
      <c r="B5" s="171" t="s">
        <v>198</v>
      </c>
      <c r="C5" s="171" t="s">
        <v>199</v>
      </c>
      <c r="D5" s="171" t="s">
        <v>200</v>
      </c>
      <c r="E5" s="171" t="s">
        <v>201</v>
      </c>
      <c r="F5" s="171">
        <v>600113</v>
      </c>
      <c r="G5" s="171" t="s">
        <v>202</v>
      </c>
      <c r="H5" s="171" t="s">
        <v>203</v>
      </c>
      <c r="I5" s="172">
        <v>14845101901</v>
      </c>
      <c r="J5" s="171"/>
      <c r="K5" s="171" t="s">
        <v>204</v>
      </c>
    </row>
    <row r="6" spans="1:11">
      <c r="A6" s="171" t="s">
        <v>205</v>
      </c>
      <c r="B6" s="173" t="s">
        <v>206</v>
      </c>
      <c r="C6" s="171" t="s">
        <v>207</v>
      </c>
      <c r="D6" s="171" t="s">
        <v>208</v>
      </c>
      <c r="E6" s="171" t="s">
        <v>209</v>
      </c>
      <c r="F6" s="171">
        <v>122001</v>
      </c>
      <c r="G6" s="171" t="s">
        <v>202</v>
      </c>
      <c r="H6" s="171" t="s">
        <v>203</v>
      </c>
      <c r="I6" s="172">
        <v>14845101899</v>
      </c>
      <c r="J6" s="171"/>
      <c r="K6" s="171" t="s">
        <v>204</v>
      </c>
    </row>
    <row r="7" spans="1:11">
      <c r="A7" s="171" t="s">
        <v>210</v>
      </c>
      <c r="B7" s="174" t="s">
        <v>211</v>
      </c>
      <c r="C7" s="175"/>
      <c r="D7" s="176" t="s">
        <v>212</v>
      </c>
      <c r="E7" s="176" t="s">
        <v>213</v>
      </c>
      <c r="F7" s="171"/>
      <c r="G7" s="171"/>
      <c r="H7" s="171"/>
      <c r="I7" s="172">
        <v>14845101898</v>
      </c>
      <c r="J7" s="171"/>
      <c r="K7" s="171" t="s">
        <v>204</v>
      </c>
    </row>
    <row r="8" spans="1:11">
      <c r="A8" s="171" t="s">
        <v>214</v>
      </c>
      <c r="B8" s="174" t="s">
        <v>215</v>
      </c>
      <c r="C8" s="171"/>
      <c r="D8" s="171"/>
      <c r="E8" s="171"/>
      <c r="F8" s="171"/>
      <c r="G8" s="171"/>
      <c r="H8" s="171"/>
      <c r="I8" s="172">
        <v>14845101897</v>
      </c>
      <c r="J8" s="171"/>
      <c r="K8" s="171" t="s">
        <v>204</v>
      </c>
    </row>
    <row r="10" spans="1:11">
      <c r="A10" s="143"/>
    </row>
    <row r="12" spans="1:11">
      <c r="A12" s="143"/>
      <c r="B12" s="138"/>
    </row>
    <row r="13" spans="1:11">
      <c r="B13" s="138"/>
    </row>
  </sheetData>
  <mergeCells count="1">
    <mergeCell ref="A1:I1"/>
  </mergeCells>
  <conditionalFormatting sqref="K5:K8">
    <cfRule type="cellIs" dxfId="140" priority="1" operator="equal">
      <formula>"Partial"</formula>
    </cfRule>
    <cfRule type="cellIs" dxfId="139" priority="2" operator="equal">
      <formula>"No"</formula>
    </cfRule>
    <cfRule type="cellIs" dxfId="138" priority="3" operator="equal">
      <formula>"Yes"</formula>
    </cfRule>
  </conditionalFormatting>
  <hyperlinks>
    <hyperlink ref="J1" r:id="rId1" display="https://help.mypurecloud.com/articles/create-a-new-location/" xr:uid="{2573C25D-A8CE-4914-ACA3-584279C69932}"/>
  </hyperlinks>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622BE-28B4-44E3-9C2B-B4FF06AA7BFB}">
  <sheetPr codeName="Sheet8">
    <tabColor rgb="FFFF4F1F"/>
  </sheetPr>
  <dimension ref="A1:P53"/>
  <sheetViews>
    <sheetView topLeftCell="A8" workbookViewId="0">
      <selection activeCell="B40" sqref="B40"/>
    </sheetView>
  </sheetViews>
  <sheetFormatPr defaultColWidth="9.140625" defaultRowHeight="15"/>
  <cols>
    <col min="1" max="1" width="26.140625" customWidth="1"/>
    <col min="2" max="2" width="27.85546875" customWidth="1"/>
    <col min="3" max="3" width="28.140625" bestFit="1" customWidth="1"/>
    <col min="4" max="4" width="21.140625" customWidth="1"/>
    <col min="5" max="5" width="21" customWidth="1"/>
    <col min="6" max="6" width="25.7109375" bestFit="1" customWidth="1"/>
    <col min="7" max="7" width="26" bestFit="1" customWidth="1"/>
    <col min="8" max="8" width="30.7109375" bestFit="1" customWidth="1"/>
    <col min="9" max="9" width="35.85546875" bestFit="1" customWidth="1"/>
    <col min="10" max="10" width="20.140625" bestFit="1" customWidth="1"/>
    <col min="11" max="11" width="21" bestFit="1" customWidth="1"/>
    <col min="12" max="12" width="13.7109375" bestFit="1" customWidth="1"/>
    <col min="13" max="13" width="17.5703125" bestFit="1" customWidth="1"/>
    <col min="14" max="14" width="10.140625" bestFit="1" customWidth="1"/>
    <col min="15" max="15" width="16.28515625" bestFit="1" customWidth="1"/>
  </cols>
  <sheetData>
    <row r="1" spans="1:15" ht="18" customHeight="1">
      <c r="A1" s="24" t="s">
        <v>216</v>
      </c>
      <c r="B1" s="24"/>
      <c r="C1" s="24"/>
      <c r="D1" s="24"/>
      <c r="E1" s="24"/>
      <c r="F1" s="24"/>
      <c r="G1" s="24"/>
      <c r="I1" s="24" t="s">
        <v>217</v>
      </c>
      <c r="J1" s="24"/>
      <c r="K1" s="24"/>
      <c r="L1" s="24"/>
      <c r="M1" s="24"/>
      <c r="N1" s="24"/>
    </row>
    <row r="2" spans="1:15">
      <c r="A2" s="73" t="s">
        <v>218</v>
      </c>
      <c r="B2" s="73" t="s">
        <v>219</v>
      </c>
      <c r="C2" s="73" t="s">
        <v>220</v>
      </c>
      <c r="D2" s="73" t="s">
        <v>66</v>
      </c>
      <c r="E2" s="73" t="s">
        <v>221</v>
      </c>
      <c r="F2" s="73" t="s">
        <v>222</v>
      </c>
      <c r="G2" s="73" t="s">
        <v>223</v>
      </c>
      <c r="I2" s="73" t="s">
        <v>224</v>
      </c>
      <c r="J2" s="73" t="s">
        <v>225</v>
      </c>
      <c r="K2" s="73" t="s">
        <v>226</v>
      </c>
      <c r="L2" s="73" t="s">
        <v>227</v>
      </c>
      <c r="M2" s="73" t="s">
        <v>228</v>
      </c>
      <c r="N2" s="73" t="s">
        <v>229</v>
      </c>
    </row>
    <row r="3" spans="1:15">
      <c r="A3" t="s">
        <v>230</v>
      </c>
      <c r="B3" t="s">
        <v>188</v>
      </c>
      <c r="C3" t="s">
        <v>188</v>
      </c>
      <c r="E3" t="s">
        <v>231</v>
      </c>
      <c r="F3" t="s">
        <v>231</v>
      </c>
      <c r="G3" t="s">
        <v>192</v>
      </c>
      <c r="H3" t="s">
        <v>232</v>
      </c>
      <c r="I3" t="s">
        <v>233</v>
      </c>
      <c r="J3" t="s">
        <v>234</v>
      </c>
      <c r="K3" s="139" t="s">
        <v>235</v>
      </c>
      <c r="L3" t="s">
        <v>233</v>
      </c>
      <c r="M3" t="s">
        <v>236</v>
      </c>
      <c r="N3" t="s">
        <v>236</v>
      </c>
      <c r="O3" t="s">
        <v>237</v>
      </c>
    </row>
    <row r="4" spans="1:15">
      <c r="B4" t="s">
        <v>238</v>
      </c>
      <c r="C4" t="s">
        <v>238</v>
      </c>
      <c r="E4" t="s">
        <v>231</v>
      </c>
      <c r="F4" t="s">
        <v>231</v>
      </c>
      <c r="G4" t="s">
        <v>192</v>
      </c>
      <c r="H4" t="s">
        <v>232</v>
      </c>
      <c r="I4" t="s">
        <v>239</v>
      </c>
      <c r="J4" t="s">
        <v>234</v>
      </c>
      <c r="K4" s="139" t="s">
        <v>240</v>
      </c>
      <c r="L4" t="s">
        <v>239</v>
      </c>
      <c r="M4" t="s">
        <v>236</v>
      </c>
      <c r="N4" t="s">
        <v>236</v>
      </c>
    </row>
    <row r="5" spans="1:15">
      <c r="B5" t="s">
        <v>241</v>
      </c>
      <c r="C5" t="s">
        <v>241</v>
      </c>
      <c r="E5" t="s">
        <v>231</v>
      </c>
      <c r="F5" t="s">
        <v>231</v>
      </c>
      <c r="G5" t="s">
        <v>192</v>
      </c>
      <c r="H5" t="s">
        <v>232</v>
      </c>
      <c r="I5" t="s">
        <v>242</v>
      </c>
      <c r="J5" t="s">
        <v>234</v>
      </c>
      <c r="K5" s="139" t="s">
        <v>243</v>
      </c>
      <c r="L5" t="s">
        <v>242</v>
      </c>
      <c r="M5" t="s">
        <v>236</v>
      </c>
      <c r="N5" t="s">
        <v>236</v>
      </c>
    </row>
    <row r="6" spans="1:15">
      <c r="B6" t="s">
        <v>244</v>
      </c>
      <c r="C6" t="s">
        <v>244</v>
      </c>
      <c r="E6" t="s">
        <v>231</v>
      </c>
      <c r="F6" t="s">
        <v>231</v>
      </c>
      <c r="G6" t="s">
        <v>192</v>
      </c>
      <c r="H6" t="s">
        <v>232</v>
      </c>
      <c r="I6" t="s">
        <v>245</v>
      </c>
      <c r="J6" t="s">
        <v>234</v>
      </c>
      <c r="K6" s="139" t="s">
        <v>246</v>
      </c>
      <c r="L6" t="s">
        <v>245</v>
      </c>
      <c r="M6" t="s">
        <v>236</v>
      </c>
      <c r="N6" t="s">
        <v>236</v>
      </c>
    </row>
    <row r="7" spans="1:15" ht="18.75">
      <c r="B7" t="s">
        <v>197</v>
      </c>
      <c r="C7" t="s">
        <v>197</v>
      </c>
      <c r="E7" t="s">
        <v>231</v>
      </c>
      <c r="F7" t="s">
        <v>231</v>
      </c>
      <c r="G7" t="s">
        <v>192</v>
      </c>
      <c r="H7" t="s">
        <v>232</v>
      </c>
      <c r="I7" s="24" t="s">
        <v>247</v>
      </c>
      <c r="K7" s="139"/>
    </row>
    <row r="8" spans="1:15">
      <c r="B8" t="s">
        <v>205</v>
      </c>
      <c r="C8" t="s">
        <v>205</v>
      </c>
      <c r="E8" t="s">
        <v>231</v>
      </c>
      <c r="F8" t="s">
        <v>231</v>
      </c>
      <c r="G8" t="s">
        <v>192</v>
      </c>
      <c r="H8" t="s">
        <v>232</v>
      </c>
      <c r="I8" s="73" t="s">
        <v>224</v>
      </c>
    </row>
    <row r="9" spans="1:15">
      <c r="B9" t="s">
        <v>210</v>
      </c>
      <c r="C9" t="s">
        <v>210</v>
      </c>
      <c r="E9" t="s">
        <v>231</v>
      </c>
      <c r="F9" t="s">
        <v>231</v>
      </c>
      <c r="G9" t="s">
        <v>192</v>
      </c>
      <c r="H9" t="s">
        <v>248</v>
      </c>
      <c r="K9" s="139"/>
    </row>
    <row r="10" spans="1:15">
      <c r="B10" t="s">
        <v>214</v>
      </c>
      <c r="C10" t="s">
        <v>214</v>
      </c>
      <c r="E10" t="s">
        <v>231</v>
      </c>
      <c r="F10" t="s">
        <v>231</v>
      </c>
      <c r="G10" t="s">
        <v>192</v>
      </c>
      <c r="H10" t="s">
        <v>248</v>
      </c>
      <c r="K10" s="139"/>
    </row>
    <row r="11" spans="1:15">
      <c r="B11" t="s">
        <v>193</v>
      </c>
      <c r="C11" t="s">
        <v>193</v>
      </c>
      <c r="E11" t="s">
        <v>231</v>
      </c>
      <c r="F11" t="s">
        <v>231</v>
      </c>
      <c r="G11" t="s">
        <v>192</v>
      </c>
      <c r="H11" t="s">
        <v>249</v>
      </c>
      <c r="K11" s="139"/>
    </row>
    <row r="12" spans="1:15">
      <c r="A12" t="s">
        <v>250</v>
      </c>
      <c r="B12" t="s">
        <v>251</v>
      </c>
      <c r="C12" t="s">
        <v>252</v>
      </c>
      <c r="E12" t="s">
        <v>253</v>
      </c>
      <c r="F12" t="s">
        <v>254</v>
      </c>
      <c r="G12" t="s">
        <v>192</v>
      </c>
      <c r="K12" s="139"/>
    </row>
    <row r="13" spans="1:15">
      <c r="B13" t="s">
        <v>255</v>
      </c>
      <c r="C13" t="s">
        <v>256</v>
      </c>
      <c r="E13" t="s">
        <v>253</v>
      </c>
      <c r="F13" t="s">
        <v>254</v>
      </c>
      <c r="G13" t="s">
        <v>192</v>
      </c>
      <c r="K13" s="139"/>
    </row>
    <row r="15" spans="1:15">
      <c r="K15" s="139"/>
    </row>
    <row r="16" spans="1:15">
      <c r="K16" s="139"/>
    </row>
    <row r="17" spans="1:16">
      <c r="A17" s="73" t="s">
        <v>218</v>
      </c>
      <c r="B17" s="73" t="s">
        <v>257</v>
      </c>
      <c r="C17" s="218" t="s">
        <v>258</v>
      </c>
      <c r="D17" s="219"/>
      <c r="E17" s="220"/>
      <c r="F17" s="73" t="s">
        <v>259</v>
      </c>
      <c r="G17" s="73" t="s">
        <v>260</v>
      </c>
      <c r="K17" s="139"/>
    </row>
    <row r="18" spans="1:16">
      <c r="A18" t="s">
        <v>261</v>
      </c>
      <c r="B18" t="s">
        <v>262</v>
      </c>
      <c r="D18" s="222"/>
      <c r="E18" s="222"/>
      <c r="F18" t="s">
        <v>192</v>
      </c>
      <c r="G18" t="s">
        <v>192</v>
      </c>
      <c r="K18" s="139"/>
    </row>
    <row r="19" spans="1:16">
      <c r="C19" s="7"/>
      <c r="D19" s="223"/>
      <c r="E19" s="223"/>
    </row>
    <row r="20" spans="1:16">
      <c r="D20" s="224"/>
      <c r="E20" s="224"/>
    </row>
    <row r="21" spans="1:16">
      <c r="D21" s="224"/>
      <c r="E21" s="224"/>
    </row>
    <row r="22" spans="1:16">
      <c r="D22" s="225"/>
      <c r="E22" s="225"/>
    </row>
    <row r="23" spans="1:16">
      <c r="A23" s="73" t="s">
        <v>218</v>
      </c>
      <c r="B23" s="73" t="s">
        <v>263</v>
      </c>
      <c r="C23" s="73" t="s">
        <v>264</v>
      </c>
      <c r="D23" s="73" t="s">
        <v>265</v>
      </c>
      <c r="E23" s="73" t="s">
        <v>266</v>
      </c>
      <c r="F23" s="73" t="s">
        <v>267</v>
      </c>
      <c r="G23" s="73" t="s">
        <v>268</v>
      </c>
      <c r="H23" s="73" t="s">
        <v>269</v>
      </c>
      <c r="I23" s="73" t="s">
        <v>270</v>
      </c>
      <c r="J23" s="73" t="s">
        <v>271</v>
      </c>
      <c r="K23" s="73" t="s">
        <v>272</v>
      </c>
      <c r="L23" s="73" t="s">
        <v>273</v>
      </c>
      <c r="M23" s="73" t="s">
        <v>274</v>
      </c>
      <c r="N23" s="73" t="s">
        <v>275</v>
      </c>
      <c r="O23" s="73" t="s">
        <v>276</v>
      </c>
      <c r="P23" s="73" t="s">
        <v>223</v>
      </c>
    </row>
    <row r="24" spans="1:16">
      <c r="A24" t="s">
        <v>230</v>
      </c>
      <c r="B24" t="s">
        <v>277</v>
      </c>
      <c r="C24" t="s">
        <v>278</v>
      </c>
      <c r="D24" t="b">
        <v>0</v>
      </c>
      <c r="E24" t="s">
        <v>279</v>
      </c>
      <c r="G24" t="s">
        <v>280</v>
      </c>
      <c r="H24" t="s">
        <v>281</v>
      </c>
      <c r="I24" t="s">
        <v>282</v>
      </c>
      <c r="K24" s="22" t="s">
        <v>283</v>
      </c>
      <c r="L24" t="s">
        <v>284</v>
      </c>
      <c r="M24" t="s">
        <v>285</v>
      </c>
      <c r="N24" t="s">
        <v>77</v>
      </c>
      <c r="P24" t="s">
        <v>192</v>
      </c>
    </row>
    <row r="25" spans="1:16">
      <c r="B25" t="s">
        <v>286</v>
      </c>
      <c r="C25" t="s">
        <v>278</v>
      </c>
      <c r="D25" t="b">
        <v>0</v>
      </c>
      <c r="E25" t="s">
        <v>279</v>
      </c>
      <c r="G25" t="s">
        <v>287</v>
      </c>
      <c r="H25" t="s">
        <v>288</v>
      </c>
      <c r="I25" t="s">
        <v>289</v>
      </c>
      <c r="K25" s="22" t="s">
        <v>283</v>
      </c>
      <c r="L25" t="s">
        <v>284</v>
      </c>
      <c r="M25" t="s">
        <v>290</v>
      </c>
      <c r="N25" t="s">
        <v>77</v>
      </c>
      <c r="P25" t="s">
        <v>192</v>
      </c>
    </row>
    <row r="26" spans="1:16">
      <c r="B26" t="s">
        <v>291</v>
      </c>
      <c r="C26" t="s">
        <v>278</v>
      </c>
      <c r="D26" t="b">
        <v>1</v>
      </c>
      <c r="E26" t="s">
        <v>279</v>
      </c>
      <c r="G26" t="s">
        <v>292</v>
      </c>
      <c r="H26" t="s">
        <v>293</v>
      </c>
      <c r="I26" t="s">
        <v>294</v>
      </c>
      <c r="K26" s="22" t="s">
        <v>295</v>
      </c>
      <c r="L26" t="s">
        <v>284</v>
      </c>
      <c r="M26" t="s">
        <v>296</v>
      </c>
      <c r="N26" t="s">
        <v>77</v>
      </c>
      <c r="P26" t="s">
        <v>192</v>
      </c>
    </row>
    <row r="27" spans="1:16">
      <c r="B27" t="s">
        <v>297</v>
      </c>
      <c r="C27" t="s">
        <v>278</v>
      </c>
      <c r="D27" t="b">
        <v>1</v>
      </c>
      <c r="E27" t="s">
        <v>279</v>
      </c>
      <c r="G27" t="s">
        <v>298</v>
      </c>
      <c r="H27" t="s">
        <v>299</v>
      </c>
      <c r="I27" t="s">
        <v>300</v>
      </c>
      <c r="K27" s="22" t="s">
        <v>295</v>
      </c>
      <c r="L27" t="s">
        <v>284</v>
      </c>
      <c r="M27" t="s">
        <v>301</v>
      </c>
      <c r="N27" t="s">
        <v>77</v>
      </c>
      <c r="P27" t="s">
        <v>192</v>
      </c>
    </row>
    <row r="28" spans="1:16">
      <c r="B28" t="s">
        <v>302</v>
      </c>
      <c r="C28" t="s">
        <v>278</v>
      </c>
      <c r="D28" t="b">
        <v>1</v>
      </c>
      <c r="E28" t="s">
        <v>279</v>
      </c>
      <c r="G28" t="s">
        <v>303</v>
      </c>
      <c r="H28" t="s">
        <v>304</v>
      </c>
      <c r="I28" t="s">
        <v>305</v>
      </c>
      <c r="K28" s="22" t="s">
        <v>295</v>
      </c>
      <c r="L28" t="s">
        <v>284</v>
      </c>
      <c r="M28" t="s">
        <v>306</v>
      </c>
      <c r="N28" t="s">
        <v>77</v>
      </c>
      <c r="P28" t="s">
        <v>192</v>
      </c>
    </row>
    <row r="29" spans="1:16">
      <c r="B29" t="s">
        <v>307</v>
      </c>
      <c r="C29" t="s">
        <v>278</v>
      </c>
      <c r="D29" t="b">
        <v>1</v>
      </c>
      <c r="E29" t="s">
        <v>279</v>
      </c>
      <c r="G29" t="s">
        <v>308</v>
      </c>
      <c r="H29" t="s">
        <v>309</v>
      </c>
      <c r="I29" t="s">
        <v>310</v>
      </c>
      <c r="K29" s="22" t="s">
        <v>295</v>
      </c>
      <c r="L29" t="s">
        <v>284</v>
      </c>
      <c r="M29" t="s">
        <v>311</v>
      </c>
      <c r="N29" t="s">
        <v>77</v>
      </c>
      <c r="P29" t="s">
        <v>192</v>
      </c>
    </row>
    <row r="30" spans="1:16">
      <c r="B30" t="s">
        <v>255</v>
      </c>
      <c r="C30" t="s">
        <v>312</v>
      </c>
      <c r="D30" t="b">
        <v>0</v>
      </c>
      <c r="E30" s="63"/>
      <c r="G30" s="63"/>
      <c r="H30" s="63"/>
      <c r="I30" s="63"/>
      <c r="K30" s="22" t="s">
        <v>283</v>
      </c>
      <c r="L30" t="s">
        <v>284</v>
      </c>
      <c r="M30" s="63"/>
      <c r="N30" t="s">
        <v>77</v>
      </c>
      <c r="P30" t="s">
        <v>192</v>
      </c>
    </row>
    <row r="31" spans="1:16" hidden="1">
      <c r="A31" t="s">
        <v>313</v>
      </c>
      <c r="B31" t="s">
        <v>314</v>
      </c>
      <c r="C31" t="s">
        <v>278</v>
      </c>
      <c r="D31" t="b">
        <v>0</v>
      </c>
      <c r="E31" t="s">
        <v>279</v>
      </c>
      <c r="G31" t="s">
        <v>315</v>
      </c>
      <c r="K31" s="22" t="s">
        <v>283</v>
      </c>
      <c r="L31" t="s">
        <v>284</v>
      </c>
      <c r="N31" t="s">
        <v>77</v>
      </c>
      <c r="P31" t="s">
        <v>204</v>
      </c>
    </row>
    <row r="32" spans="1:16" hidden="1">
      <c r="B32" t="s">
        <v>316</v>
      </c>
      <c r="C32" t="s">
        <v>278</v>
      </c>
      <c r="D32" t="b">
        <v>0</v>
      </c>
      <c r="E32" t="s">
        <v>279</v>
      </c>
      <c r="G32" t="s">
        <v>317</v>
      </c>
      <c r="K32" s="22" t="s">
        <v>283</v>
      </c>
      <c r="L32" t="s">
        <v>284</v>
      </c>
      <c r="N32" t="s">
        <v>77</v>
      </c>
      <c r="P32" t="s">
        <v>204</v>
      </c>
    </row>
    <row r="33" spans="1:16" hidden="1">
      <c r="B33" t="s">
        <v>291</v>
      </c>
      <c r="C33" t="s">
        <v>278</v>
      </c>
      <c r="D33" t="b">
        <v>1</v>
      </c>
      <c r="E33" t="s">
        <v>279</v>
      </c>
      <c r="G33" t="s">
        <v>292</v>
      </c>
      <c r="H33" t="s">
        <v>293</v>
      </c>
      <c r="I33" t="s">
        <v>294</v>
      </c>
      <c r="K33" s="22" t="s">
        <v>295</v>
      </c>
      <c r="L33" t="s">
        <v>284</v>
      </c>
      <c r="M33" t="s">
        <v>296</v>
      </c>
      <c r="N33" t="s">
        <v>77</v>
      </c>
      <c r="P33" t="s">
        <v>204</v>
      </c>
    </row>
    <row r="34" spans="1:16" hidden="1">
      <c r="B34" t="s">
        <v>297</v>
      </c>
      <c r="C34" t="s">
        <v>278</v>
      </c>
      <c r="D34" t="b">
        <v>1</v>
      </c>
      <c r="E34" t="s">
        <v>279</v>
      </c>
      <c r="G34" t="s">
        <v>298</v>
      </c>
      <c r="H34" t="s">
        <v>299</v>
      </c>
      <c r="I34" t="s">
        <v>300</v>
      </c>
      <c r="K34" s="22" t="s">
        <v>295</v>
      </c>
      <c r="L34" t="s">
        <v>284</v>
      </c>
      <c r="M34" t="s">
        <v>301</v>
      </c>
      <c r="N34" t="s">
        <v>77</v>
      </c>
      <c r="P34" t="s">
        <v>204</v>
      </c>
    </row>
    <row r="35" spans="1:16" hidden="1">
      <c r="B35" t="s">
        <v>302</v>
      </c>
      <c r="C35" t="s">
        <v>278</v>
      </c>
      <c r="D35" t="b">
        <v>1</v>
      </c>
      <c r="E35" t="s">
        <v>279</v>
      </c>
      <c r="G35" t="s">
        <v>303</v>
      </c>
      <c r="H35" t="s">
        <v>304</v>
      </c>
      <c r="I35" t="s">
        <v>305</v>
      </c>
      <c r="K35" s="22" t="s">
        <v>295</v>
      </c>
      <c r="L35" t="s">
        <v>284</v>
      </c>
      <c r="M35" t="s">
        <v>306</v>
      </c>
      <c r="N35" t="s">
        <v>77</v>
      </c>
      <c r="P35" t="s">
        <v>204</v>
      </c>
    </row>
    <row r="36" spans="1:16" hidden="1">
      <c r="B36" t="s">
        <v>307</v>
      </c>
      <c r="C36" t="s">
        <v>278</v>
      </c>
      <c r="D36" t="b">
        <v>1</v>
      </c>
      <c r="E36" t="s">
        <v>279</v>
      </c>
      <c r="G36" t="s">
        <v>308</v>
      </c>
      <c r="H36" t="s">
        <v>309</v>
      </c>
      <c r="I36" t="s">
        <v>310</v>
      </c>
      <c r="K36" s="22" t="s">
        <v>295</v>
      </c>
      <c r="L36" t="s">
        <v>284</v>
      </c>
      <c r="M36" t="s">
        <v>311</v>
      </c>
      <c r="N36" t="s">
        <v>77</v>
      </c>
      <c r="P36" t="s">
        <v>204</v>
      </c>
    </row>
    <row r="37" spans="1:16" hidden="1">
      <c r="B37" t="s">
        <v>255</v>
      </c>
      <c r="C37" t="s">
        <v>312</v>
      </c>
      <c r="D37" t="b">
        <v>0</v>
      </c>
      <c r="E37" s="63"/>
      <c r="G37" s="63"/>
      <c r="H37" s="63"/>
      <c r="I37" s="63"/>
      <c r="K37" s="22" t="s">
        <v>283</v>
      </c>
      <c r="L37" t="s">
        <v>284</v>
      </c>
      <c r="M37" s="63"/>
      <c r="N37" t="s">
        <v>77</v>
      </c>
      <c r="P37" t="s">
        <v>204</v>
      </c>
    </row>
    <row r="38" spans="1:16">
      <c r="A38" t="s">
        <v>250</v>
      </c>
      <c r="B38" t="s">
        <v>318</v>
      </c>
      <c r="C38" t="s">
        <v>278</v>
      </c>
      <c r="D38" t="b">
        <v>0</v>
      </c>
      <c r="E38" t="s">
        <v>279</v>
      </c>
      <c r="G38" t="s">
        <v>319</v>
      </c>
      <c r="H38" t="s">
        <v>320</v>
      </c>
      <c r="I38" t="s">
        <v>321</v>
      </c>
      <c r="K38" s="22" t="s">
        <v>283</v>
      </c>
      <c r="L38" t="s">
        <v>284</v>
      </c>
      <c r="M38" t="s">
        <v>322</v>
      </c>
      <c r="N38" t="s">
        <v>77</v>
      </c>
      <c r="P38" t="s">
        <v>192</v>
      </c>
    </row>
    <row r="39" spans="1:16">
      <c r="B39" t="s">
        <v>323</v>
      </c>
      <c r="C39" t="s">
        <v>278</v>
      </c>
      <c r="D39" t="b">
        <v>0</v>
      </c>
      <c r="E39" t="s">
        <v>279</v>
      </c>
      <c r="G39" t="s">
        <v>324</v>
      </c>
      <c r="H39" t="s">
        <v>325</v>
      </c>
      <c r="I39" t="s">
        <v>326</v>
      </c>
      <c r="K39" s="22" t="s">
        <v>283</v>
      </c>
      <c r="L39" t="s">
        <v>284</v>
      </c>
      <c r="M39" t="s">
        <v>327</v>
      </c>
      <c r="N39" t="s">
        <v>77</v>
      </c>
      <c r="P39" t="s">
        <v>192</v>
      </c>
    </row>
    <row r="40" spans="1:16">
      <c r="B40" t="s">
        <v>328</v>
      </c>
      <c r="C40" t="s">
        <v>278</v>
      </c>
      <c r="D40" t="b">
        <v>1</v>
      </c>
      <c r="E40" t="s">
        <v>279</v>
      </c>
      <c r="G40" s="131"/>
      <c r="H40" s="131"/>
      <c r="I40" s="131"/>
      <c r="K40" s="22" t="s">
        <v>295</v>
      </c>
      <c r="L40" t="s">
        <v>284</v>
      </c>
      <c r="P40" t="s">
        <v>204</v>
      </c>
    </row>
    <row r="41" spans="1:16">
      <c r="B41" t="s">
        <v>329</v>
      </c>
      <c r="C41" t="s">
        <v>278</v>
      </c>
      <c r="D41" t="b">
        <v>1</v>
      </c>
      <c r="E41" t="s">
        <v>279</v>
      </c>
      <c r="G41" t="s">
        <v>330</v>
      </c>
      <c r="H41" t="s">
        <v>331</v>
      </c>
      <c r="I41" t="s">
        <v>332</v>
      </c>
      <c r="K41" t="s">
        <v>295</v>
      </c>
      <c r="L41" t="s">
        <v>284</v>
      </c>
      <c r="M41" t="s">
        <v>333</v>
      </c>
      <c r="N41" t="s">
        <v>77</v>
      </c>
      <c r="P41" t="s">
        <v>192</v>
      </c>
    </row>
    <row r="42" spans="1:16">
      <c r="B42" t="s">
        <v>255</v>
      </c>
      <c r="C42" t="s">
        <v>312</v>
      </c>
      <c r="D42" t="b">
        <v>0</v>
      </c>
      <c r="E42" s="63"/>
      <c r="G42" s="63"/>
      <c r="H42" s="63"/>
      <c r="I42" s="63"/>
      <c r="L42" t="s">
        <v>284</v>
      </c>
      <c r="N42" t="s">
        <v>77</v>
      </c>
      <c r="P42" t="s">
        <v>192</v>
      </c>
    </row>
    <row r="44" spans="1:16">
      <c r="A44" s="73" t="s">
        <v>218</v>
      </c>
      <c r="B44" s="73" t="s">
        <v>334</v>
      </c>
      <c r="C44" s="73" t="s">
        <v>335</v>
      </c>
      <c r="D44" s="215" t="s">
        <v>11</v>
      </c>
      <c r="E44" s="216"/>
      <c r="F44" s="216"/>
      <c r="G44" s="215"/>
      <c r="H44" s="216"/>
      <c r="I44" s="216"/>
      <c r="J44" s="215"/>
      <c r="K44" s="216"/>
      <c r="L44" s="216"/>
      <c r="M44" s="215"/>
      <c r="N44" s="216"/>
      <c r="O44" s="216"/>
      <c r="P44" s="146"/>
    </row>
    <row r="45" spans="1:16">
      <c r="A45" t="s">
        <v>336</v>
      </c>
      <c r="B45" t="s">
        <v>337</v>
      </c>
      <c r="C45" s="51">
        <v>2</v>
      </c>
      <c r="D45" s="221"/>
      <c r="E45" s="221"/>
      <c r="F45" s="221"/>
    </row>
    <row r="46" spans="1:16">
      <c r="A46" t="s">
        <v>250</v>
      </c>
      <c r="B46" t="s">
        <v>338</v>
      </c>
      <c r="C46" s="51">
        <v>2</v>
      </c>
      <c r="D46" s="217"/>
      <c r="E46" s="217"/>
      <c r="F46" s="217"/>
    </row>
    <row r="47" spans="1:16">
      <c r="D47" s="217"/>
      <c r="E47" s="217"/>
      <c r="F47" s="217"/>
    </row>
    <row r="48" spans="1:16">
      <c r="D48" s="217"/>
      <c r="E48" s="217"/>
      <c r="F48" s="217"/>
    </row>
    <row r="52" spans="1:2">
      <c r="A52" s="5" t="s">
        <v>339</v>
      </c>
    </row>
    <row r="53" spans="1:2">
      <c r="B53" s="5"/>
    </row>
  </sheetData>
  <mergeCells count="14">
    <mergeCell ref="G44:I44"/>
    <mergeCell ref="J44:L44"/>
    <mergeCell ref="M44:O44"/>
    <mergeCell ref="D48:F48"/>
    <mergeCell ref="C17:E17"/>
    <mergeCell ref="D44:F44"/>
    <mergeCell ref="D45:F45"/>
    <mergeCell ref="D46:F46"/>
    <mergeCell ref="D47:F47"/>
    <mergeCell ref="D18:E18"/>
    <mergeCell ref="D19:E19"/>
    <mergeCell ref="D20:E20"/>
    <mergeCell ref="D21:E21"/>
    <mergeCell ref="D22:E22"/>
  </mergeCells>
  <conditionalFormatting sqref="F18:G18">
    <cfRule type="cellIs" dxfId="137" priority="1" operator="equal">
      <formula>"Partial"</formula>
    </cfRule>
    <cfRule type="cellIs" dxfId="136" priority="2" operator="equal">
      <formula>"No"</formula>
    </cfRule>
    <cfRule type="cellIs" dxfId="135" priority="3" operator="equal">
      <formula>"Yes"</formula>
    </cfRule>
  </conditionalFormatting>
  <conditionalFormatting sqref="G3:G13">
    <cfRule type="cellIs" dxfId="134" priority="31" operator="equal">
      <formula>"Partial"</formula>
    </cfRule>
    <cfRule type="cellIs" dxfId="133" priority="32" operator="equal">
      <formula>"No"</formula>
    </cfRule>
    <cfRule type="cellIs" dxfId="132" priority="33" operator="equal">
      <formula>"Yes"</formula>
    </cfRule>
  </conditionalFormatting>
  <conditionalFormatting sqref="M3:N6">
    <cfRule type="cellIs" dxfId="131" priority="4" operator="equal">
      <formula>"Partial"</formula>
    </cfRule>
    <cfRule type="cellIs" dxfId="130" priority="5" operator="equal">
      <formula>"No"</formula>
    </cfRule>
    <cfRule type="cellIs" dxfId="129" priority="6" operator="equal">
      <formula>"Yes"</formula>
    </cfRule>
  </conditionalFormatting>
  <conditionalFormatting sqref="P24:P43">
    <cfRule type="cellIs" dxfId="128" priority="10" operator="equal">
      <formula>"Partial"</formula>
    </cfRule>
    <cfRule type="cellIs" dxfId="127" priority="11" operator="equal">
      <formula>"No"</formula>
    </cfRule>
    <cfRule type="cellIs" dxfId="126" priority="12" operator="equal">
      <formula>"Yes"</formula>
    </cfRule>
  </conditionalFormatting>
  <dataValidations count="2">
    <dataValidation type="list" allowBlank="1" showInputMessage="1" showErrorMessage="1" sqref="P43" xr:uid="{633EB474-EB4E-4FF2-9119-6C5C924B5BB1}">
      <formula1>#REF!</formula1>
    </dataValidation>
    <dataValidation type="list" allowBlank="1" showInputMessage="1" showErrorMessage="1" sqref="P24:P42 F18:G18 M3:N6 G3:G13" xr:uid="{971C5CBB-37BB-4936-8AA4-089C30D3EE6F}">
      <formula1>#REF!</formula1>
    </dataValidation>
  </dataValidations>
  <hyperlinks>
    <hyperlink ref="A52" r:id="rId1" display="https://help.mypurecloud.com/articles/about-telephony/" xr:uid="{5AE66E07-6968-4D8C-B269-A40C7B4E577C}"/>
  </hyperlinks>
  <pageMargins left="0.7" right="0.7" top="0.75" bottom="0.75" header="0.3" footer="0.3"/>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45B05-45DA-4417-8C34-F272E41FE80C}">
  <sheetPr codeName="Sheet21">
    <tabColor rgb="FFFF4F1F"/>
  </sheetPr>
  <dimension ref="A1:M20"/>
  <sheetViews>
    <sheetView workbookViewId="0">
      <pane ySplit="1" topLeftCell="A2" activePane="bottomLeft" state="frozen"/>
      <selection activeCell="C1" sqref="C1"/>
      <selection pane="bottomLeft" activeCell="A2" sqref="A2"/>
    </sheetView>
  </sheetViews>
  <sheetFormatPr defaultColWidth="9.140625" defaultRowHeight="15"/>
  <cols>
    <col min="1" max="1" width="25.7109375" style="30" customWidth="1"/>
    <col min="2" max="2" width="29.42578125" style="30" customWidth="1"/>
    <col min="3" max="6" width="20.7109375" style="30" customWidth="1"/>
    <col min="7" max="7" width="28.85546875" style="30" customWidth="1"/>
    <col min="8" max="8" width="20.7109375" style="30" customWidth="1"/>
    <col min="9" max="9" width="26.140625" style="30" customWidth="1"/>
    <col min="10" max="13" width="20.7109375" style="30" customWidth="1"/>
    <col min="25" max="25" width="9.140625" customWidth="1"/>
  </cols>
  <sheetData>
    <row r="1" spans="1:13" s="35" customFormat="1" ht="30" customHeight="1">
      <c r="A1" s="74" t="s">
        <v>340</v>
      </c>
      <c r="B1" s="74" t="s">
        <v>341</v>
      </c>
      <c r="C1" s="74" t="s">
        <v>342</v>
      </c>
      <c r="D1" s="74" t="s">
        <v>343</v>
      </c>
      <c r="E1" s="74" t="s">
        <v>344</v>
      </c>
      <c r="F1" s="74" t="s">
        <v>345</v>
      </c>
      <c r="G1" s="74" t="s">
        <v>346</v>
      </c>
      <c r="H1" s="74" t="s">
        <v>347</v>
      </c>
      <c r="I1" s="74" t="s">
        <v>348</v>
      </c>
      <c r="J1" s="74" t="s">
        <v>349</v>
      </c>
      <c r="K1" s="74" t="s">
        <v>350</v>
      </c>
      <c r="L1" s="74" t="s">
        <v>351</v>
      </c>
      <c r="M1" s="75" t="s">
        <v>352</v>
      </c>
    </row>
    <row r="2" spans="1:13" s="28" customFormat="1" ht="60">
      <c r="A2" s="26" t="s">
        <v>353</v>
      </c>
      <c r="B2" s="27" t="s">
        <v>354</v>
      </c>
      <c r="C2" s="26">
        <v>15555555555</v>
      </c>
      <c r="D2" s="26">
        <v>1234</v>
      </c>
      <c r="E2" s="26" t="s">
        <v>355</v>
      </c>
      <c r="F2" s="26" t="s">
        <v>356</v>
      </c>
      <c r="G2" s="27" t="s">
        <v>357</v>
      </c>
      <c r="H2" s="26" t="s">
        <v>358</v>
      </c>
      <c r="I2" s="26" t="s">
        <v>359</v>
      </c>
      <c r="J2" s="26" t="s">
        <v>360</v>
      </c>
      <c r="K2" s="26" t="s">
        <v>361</v>
      </c>
      <c r="L2" s="26" t="s">
        <v>362</v>
      </c>
      <c r="M2" s="26"/>
    </row>
    <row r="3" spans="1:13">
      <c r="A3" s="29"/>
      <c r="E3" s="31"/>
    </row>
    <row r="4" spans="1:13">
      <c r="A4" s="29"/>
      <c r="E4" s="31"/>
      <c r="G4" s="27"/>
    </row>
    <row r="5" spans="1:13" ht="23.25">
      <c r="A5" s="163" t="s">
        <v>22</v>
      </c>
      <c r="B5" s="164"/>
      <c r="C5" s="164"/>
      <c r="E5" s="31"/>
    </row>
    <row r="6" spans="1:13">
      <c r="A6" s="29"/>
      <c r="E6" s="31"/>
      <c r="G6" s="27"/>
    </row>
    <row r="7" spans="1:13">
      <c r="A7" s="29"/>
      <c r="E7" s="31"/>
      <c r="G7" s="27"/>
    </row>
    <row r="8" spans="1:13">
      <c r="A8" s="29"/>
      <c r="E8" s="31"/>
    </row>
    <row r="9" spans="1:13">
      <c r="A9" s="29"/>
      <c r="E9" s="31"/>
      <c r="G9" s="27"/>
    </row>
    <row r="10" spans="1:13">
      <c r="A10" s="29"/>
    </row>
    <row r="11" spans="1:13">
      <c r="A11" s="29"/>
    </row>
    <row r="12" spans="1:13">
      <c r="A12" s="29"/>
    </row>
    <row r="13" spans="1:13">
      <c r="A13" s="29"/>
    </row>
    <row r="14" spans="1:13">
      <c r="A14" s="29"/>
    </row>
    <row r="15" spans="1:13" ht="15" customHeight="1">
      <c r="A15" s="29"/>
    </row>
    <row r="16" spans="1:13">
      <c r="A16" s="29"/>
    </row>
    <row r="17" spans="1:1">
      <c r="A17" s="29"/>
    </row>
    <row r="18" spans="1:1">
      <c r="A18" s="29"/>
    </row>
    <row r="19" spans="1:1">
      <c r="A19" s="29"/>
    </row>
    <row r="20" spans="1:1">
      <c r="A20" s="29"/>
    </row>
  </sheetData>
  <dataValidations count="2">
    <dataValidation type="list" allowBlank="1" showInputMessage="1" showErrorMessage="1" sqref="M2:M2000" xr:uid="{B6798BEF-EF13-4B22-90C9-09E6B3725C4A}">
      <formula1>"Yes, No"</formula1>
    </dataValidation>
    <dataValidation type="list" allowBlank="1" showInputMessage="1" showErrorMessage="1" sqref="K3:K500" xr:uid="{4EA90874-37AF-431D-8FA4-78C7A2B7A4F5}">
      <formula1>#REF!</formula1>
    </dataValidation>
  </dataValidations>
  <hyperlinks>
    <hyperlink ref="B2" r:id="rId1" xr:uid="{523BEF7E-E995-4260-B169-FEE53C1E651E}"/>
    <hyperlink ref="G2" r:id="rId2" xr:uid="{5F578F22-5136-4B89-9F89-CC177C7022CD}"/>
  </hyperlinks>
  <pageMargins left="0.7" right="0.7" top="0.75" bottom="0.75" header="0.3" footer="0.3"/>
  <pageSetup orientation="portrait" r:id="rId3"/>
  <legacyDrawing r:id="rId4"/>
  <tableParts count="1">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BE0F2-DA8F-47CC-8DCE-1C9B64BE8AF6}">
  <sheetPr codeName="Sheet22">
    <tabColor rgb="FFFF4F1F"/>
  </sheetPr>
  <dimension ref="A1:W2000"/>
  <sheetViews>
    <sheetView workbookViewId="0">
      <pane ySplit="1" topLeftCell="A2" activePane="bottomLeft" state="frozen"/>
      <selection pane="bottomLeft" activeCell="A2" sqref="A2"/>
    </sheetView>
  </sheetViews>
  <sheetFormatPr defaultColWidth="9.140625" defaultRowHeight="14.25"/>
  <cols>
    <col min="1" max="1" width="25.7109375" style="4" customWidth="1"/>
    <col min="2" max="2" width="29.42578125" style="4" customWidth="1"/>
    <col min="3" max="3" width="20.7109375" style="4" customWidth="1"/>
    <col min="4" max="4" width="27.42578125" style="4" customWidth="1"/>
    <col min="5" max="6" width="20.7109375" style="4" customWidth="1"/>
    <col min="7" max="7" width="28.85546875" style="4" customWidth="1"/>
    <col min="8" max="10" width="20.7109375" style="4" customWidth="1"/>
    <col min="11" max="11" width="17.140625" style="3" customWidth="1"/>
    <col min="12" max="21" width="9.140625" style="3"/>
    <col min="22" max="22" width="0" style="3" hidden="1" customWidth="1"/>
    <col min="23" max="23" width="9.140625" style="3" hidden="1" customWidth="1"/>
    <col min="24" max="16384" width="9.140625" style="3"/>
  </cols>
  <sheetData>
    <row r="1" spans="1:23" ht="22.5" customHeight="1">
      <c r="A1" s="25" t="s">
        <v>340</v>
      </c>
      <c r="B1" s="25" t="s">
        <v>363</v>
      </c>
      <c r="C1" s="25" t="s">
        <v>364</v>
      </c>
      <c r="D1" s="25" t="s">
        <v>341</v>
      </c>
      <c r="E1" s="25" t="s">
        <v>365</v>
      </c>
      <c r="F1" s="25" t="s">
        <v>366</v>
      </c>
      <c r="G1" s="25" t="s">
        <v>367</v>
      </c>
      <c r="H1" s="25" t="s">
        <v>368</v>
      </c>
      <c r="I1" s="25" t="s">
        <v>369</v>
      </c>
      <c r="J1" s="25" t="s">
        <v>343</v>
      </c>
      <c r="K1" s="144" t="s">
        <v>223</v>
      </c>
      <c r="R1" s="5" t="s">
        <v>370</v>
      </c>
      <c r="W1" s="3" t="s">
        <v>371</v>
      </c>
    </row>
    <row r="2" spans="1:23" s="2" customFormat="1" ht="15">
      <c r="A2" s="26" t="s">
        <v>372</v>
      </c>
      <c r="B2" s="27" t="s">
        <v>373</v>
      </c>
      <c r="C2" s="26" t="s">
        <v>374</v>
      </c>
      <c r="D2" s="26"/>
      <c r="E2" s="26"/>
      <c r="F2" s="26" t="s">
        <v>375</v>
      </c>
      <c r="G2" s="27"/>
      <c r="H2" s="26"/>
      <c r="I2" s="26">
        <v>3172222222</v>
      </c>
      <c r="J2" s="26">
        <v>2222</v>
      </c>
      <c r="K2"/>
      <c r="W2" s="3" t="s">
        <v>376</v>
      </c>
    </row>
    <row r="3" spans="1:23" ht="15">
      <c r="A3" s="8" t="s">
        <v>377</v>
      </c>
      <c r="B3" s="9" t="s">
        <v>378</v>
      </c>
      <c r="C3" s="9" t="s">
        <v>374</v>
      </c>
      <c r="D3" s="27" t="s">
        <v>379</v>
      </c>
      <c r="E3" s="31"/>
      <c r="F3" s="30"/>
      <c r="G3" s="30"/>
      <c r="H3" s="30"/>
      <c r="I3" s="30"/>
      <c r="J3" s="30"/>
      <c r="K3"/>
      <c r="W3" s="3" t="s">
        <v>380</v>
      </c>
    </row>
    <row r="4" spans="1:23" ht="15">
      <c r="A4" s="29"/>
      <c r="B4" s="30"/>
      <c r="C4" s="30"/>
      <c r="D4" s="30"/>
      <c r="E4" s="31"/>
      <c r="F4" s="30"/>
      <c r="G4" s="27"/>
      <c r="H4" s="30"/>
      <c r="I4" s="30"/>
      <c r="J4" s="30"/>
      <c r="K4"/>
      <c r="W4" s="3" t="s">
        <v>381</v>
      </c>
    </row>
    <row r="5" spans="1:23" ht="15">
      <c r="A5" s="29"/>
      <c r="B5" s="30"/>
      <c r="C5" s="30"/>
      <c r="D5" s="30"/>
      <c r="E5" s="31"/>
      <c r="F5" s="30"/>
      <c r="G5" s="30"/>
      <c r="H5" s="30"/>
      <c r="I5" s="30"/>
      <c r="J5" s="30"/>
      <c r="K5"/>
      <c r="W5" s="3" t="s">
        <v>382</v>
      </c>
    </row>
    <row r="6" spans="1:23" ht="15">
      <c r="A6" s="29"/>
      <c r="B6" s="30"/>
      <c r="C6" s="30"/>
      <c r="D6" s="30"/>
      <c r="E6" s="31"/>
      <c r="F6" s="30"/>
      <c r="G6" s="27"/>
      <c r="H6" s="30"/>
      <c r="I6" s="30"/>
      <c r="J6" s="30"/>
      <c r="K6"/>
      <c r="W6" s="3" t="s">
        <v>383</v>
      </c>
    </row>
    <row r="7" spans="1:23" ht="15">
      <c r="A7" s="29"/>
      <c r="B7" s="30"/>
      <c r="C7" s="30"/>
      <c r="D7" s="30"/>
      <c r="E7" s="31"/>
      <c r="F7" s="30"/>
      <c r="G7" s="27"/>
      <c r="H7" s="30"/>
      <c r="I7" s="30"/>
      <c r="J7" s="30"/>
      <c r="K7"/>
      <c r="W7" s="3" t="s">
        <v>384</v>
      </c>
    </row>
    <row r="8" spans="1:23" ht="23.25">
      <c r="A8" s="163" t="s">
        <v>22</v>
      </c>
      <c r="B8" s="164"/>
      <c r="C8" s="164"/>
      <c r="D8" s="30"/>
      <c r="E8" s="31"/>
      <c r="F8" s="30"/>
      <c r="G8" s="30"/>
      <c r="H8" s="30"/>
      <c r="I8" s="30"/>
      <c r="J8" s="30"/>
      <c r="K8"/>
      <c r="W8" s="3" t="s">
        <v>385</v>
      </c>
    </row>
    <row r="9" spans="1:23" ht="15">
      <c r="A9" s="29"/>
      <c r="B9" s="30"/>
      <c r="C9" s="30"/>
      <c r="D9" s="30"/>
      <c r="E9" s="31"/>
      <c r="F9" s="30"/>
      <c r="G9" s="27"/>
      <c r="H9" s="30"/>
      <c r="I9" s="30"/>
      <c r="J9" s="30"/>
      <c r="K9"/>
    </row>
    <row r="10" spans="1:23" ht="15">
      <c r="A10" s="29"/>
      <c r="B10" s="30"/>
      <c r="C10" s="30"/>
      <c r="D10" s="30"/>
      <c r="E10" s="30"/>
      <c r="F10" s="30"/>
      <c r="G10" s="30"/>
      <c r="H10" s="30"/>
      <c r="I10" s="30"/>
      <c r="J10" s="30"/>
      <c r="K10"/>
    </row>
    <row r="11" spans="1:23" ht="15">
      <c r="A11" s="29"/>
      <c r="B11" s="30"/>
      <c r="C11" s="30"/>
      <c r="D11" s="30"/>
      <c r="E11" s="30"/>
      <c r="F11" s="30"/>
      <c r="G11" s="30"/>
      <c r="H11" s="30"/>
      <c r="I11" s="30"/>
      <c r="J11" s="30"/>
      <c r="K11"/>
    </row>
    <row r="12" spans="1:23" ht="15">
      <c r="A12" s="29"/>
      <c r="B12" s="30"/>
      <c r="C12" s="30"/>
      <c r="D12" s="30"/>
      <c r="E12" s="30"/>
      <c r="F12" s="30"/>
      <c r="G12" s="30"/>
      <c r="H12" s="30"/>
      <c r="I12" s="30"/>
      <c r="J12" s="30"/>
      <c r="K12"/>
    </row>
    <row r="13" spans="1:23" ht="15">
      <c r="A13" s="29"/>
      <c r="B13" s="30"/>
      <c r="C13" s="30"/>
      <c r="D13" s="30"/>
      <c r="E13" s="30"/>
      <c r="F13" s="30"/>
      <c r="G13" s="30"/>
      <c r="H13" s="30"/>
      <c r="I13" s="30"/>
      <c r="J13" s="30"/>
      <c r="K13"/>
    </row>
    <row r="14" spans="1:23" ht="15">
      <c r="A14" s="29"/>
      <c r="B14" s="30"/>
      <c r="C14" s="30"/>
      <c r="D14" s="30"/>
      <c r="E14" s="30"/>
      <c r="F14" s="30"/>
      <c r="G14" s="30"/>
      <c r="H14" s="30"/>
      <c r="I14" s="30"/>
      <c r="J14" s="30"/>
      <c r="K14"/>
    </row>
    <row r="15" spans="1:23" ht="15" customHeight="1">
      <c r="A15" s="29"/>
      <c r="B15" s="30"/>
      <c r="C15" s="30"/>
      <c r="D15" s="30"/>
      <c r="E15" s="30"/>
      <c r="F15" s="30"/>
      <c r="G15" s="30"/>
      <c r="H15" s="30"/>
      <c r="I15" s="30"/>
      <c r="J15" s="30"/>
      <c r="K15"/>
    </row>
    <row r="16" spans="1:23" ht="15">
      <c r="A16" s="29"/>
      <c r="B16" s="30"/>
      <c r="C16" s="30"/>
      <c r="D16" s="30"/>
      <c r="E16" s="30"/>
      <c r="F16" s="30"/>
      <c r="G16" s="30"/>
      <c r="H16" s="30"/>
      <c r="I16" s="30"/>
      <c r="J16" s="30"/>
      <c r="K16"/>
    </row>
    <row r="17" spans="1:11" ht="15">
      <c r="A17" s="29"/>
      <c r="B17" s="30"/>
      <c r="C17" s="30"/>
      <c r="D17" s="30"/>
      <c r="E17" s="30"/>
      <c r="F17" s="30"/>
      <c r="G17" s="30"/>
      <c r="H17" s="30"/>
      <c r="I17" s="30"/>
      <c r="J17" s="30"/>
      <c r="K17"/>
    </row>
    <row r="18" spans="1:11" ht="15">
      <c r="A18" s="29"/>
      <c r="B18" s="30"/>
      <c r="C18" s="30"/>
      <c r="D18" s="30"/>
      <c r="E18" s="30"/>
      <c r="F18" s="30"/>
      <c r="G18" s="30"/>
      <c r="H18" s="30"/>
      <c r="I18" s="30"/>
      <c r="J18" s="30"/>
      <c r="K18"/>
    </row>
    <row r="19" spans="1:11" ht="15">
      <c r="A19" s="29"/>
      <c r="B19" s="30"/>
      <c r="C19" s="30"/>
      <c r="D19" s="30"/>
      <c r="E19" s="30"/>
      <c r="F19" s="30"/>
      <c r="G19" s="30"/>
      <c r="H19" s="30"/>
      <c r="I19" s="30"/>
      <c r="J19" s="30"/>
      <c r="K19"/>
    </row>
    <row r="20" spans="1:11" ht="15">
      <c r="A20" s="29"/>
      <c r="B20" s="30"/>
      <c r="C20" s="30"/>
      <c r="D20" s="30"/>
      <c r="E20" s="30"/>
      <c r="F20" s="30"/>
      <c r="G20" s="30"/>
      <c r="H20" s="30"/>
      <c r="I20" s="30"/>
      <c r="J20" s="30"/>
      <c r="K20"/>
    </row>
    <row r="21" spans="1:11" ht="15">
      <c r="A21" s="30"/>
      <c r="B21" s="30"/>
      <c r="C21" s="30"/>
      <c r="D21" s="30"/>
      <c r="E21" s="30"/>
      <c r="F21" s="30"/>
      <c r="G21" s="30"/>
      <c r="H21" s="30"/>
      <c r="I21" s="30"/>
      <c r="J21" s="30"/>
      <c r="K21"/>
    </row>
    <row r="22" spans="1:11" ht="15">
      <c r="A22" s="30"/>
      <c r="B22" s="30"/>
      <c r="C22" s="30"/>
      <c r="D22" s="30"/>
      <c r="E22" s="30"/>
      <c r="F22" s="30"/>
      <c r="G22" s="30"/>
      <c r="H22" s="30"/>
      <c r="I22" s="30"/>
      <c r="J22" s="30"/>
      <c r="K22"/>
    </row>
    <row r="23" spans="1:11" ht="15">
      <c r="A23" s="30"/>
      <c r="B23" s="30"/>
      <c r="C23" s="30"/>
      <c r="D23" s="30"/>
      <c r="E23" s="30"/>
      <c r="F23" s="30"/>
      <c r="G23" s="30"/>
      <c r="H23" s="30"/>
      <c r="I23" s="30"/>
      <c r="J23" s="30"/>
      <c r="K23"/>
    </row>
    <row r="24" spans="1:11" ht="15">
      <c r="A24" s="30"/>
      <c r="B24" s="30"/>
      <c r="C24" s="30"/>
      <c r="D24" s="30"/>
      <c r="E24" s="30"/>
      <c r="F24" s="30"/>
      <c r="G24" s="30"/>
      <c r="H24" s="30"/>
      <c r="I24" s="30"/>
      <c r="J24" s="30"/>
      <c r="K24"/>
    </row>
    <row r="25" spans="1:11" ht="15">
      <c r="A25" s="30"/>
      <c r="B25" s="30"/>
      <c r="C25" s="30"/>
      <c r="D25" s="30"/>
      <c r="E25" s="30"/>
      <c r="F25" s="30"/>
      <c r="G25" s="30"/>
      <c r="H25" s="30"/>
      <c r="I25" s="30"/>
      <c r="J25" s="30"/>
      <c r="K25"/>
    </row>
    <row r="26" spans="1:11" ht="15">
      <c r="A26" s="30"/>
      <c r="B26" s="30"/>
      <c r="C26" s="30"/>
      <c r="D26" s="30"/>
      <c r="E26" s="30"/>
      <c r="F26" s="30"/>
      <c r="G26" s="30"/>
      <c r="H26" s="30"/>
      <c r="I26" s="30"/>
      <c r="J26" s="30"/>
      <c r="K26"/>
    </row>
    <row r="27" spans="1:11" ht="15">
      <c r="A27" s="30"/>
      <c r="B27" s="30"/>
      <c r="C27" s="30"/>
      <c r="D27" s="30"/>
      <c r="E27" s="30"/>
      <c r="F27" s="30"/>
      <c r="G27" s="30"/>
      <c r="H27" s="30"/>
      <c r="I27" s="30"/>
      <c r="J27" s="30"/>
      <c r="K27"/>
    </row>
    <row r="28" spans="1:11" ht="15">
      <c r="A28" s="30"/>
      <c r="B28" s="30"/>
      <c r="C28" s="30"/>
      <c r="D28" s="30"/>
      <c r="E28" s="30"/>
      <c r="F28" s="30"/>
      <c r="G28" s="30"/>
      <c r="H28" s="30"/>
      <c r="I28" s="30"/>
      <c r="J28" s="30"/>
      <c r="K28"/>
    </row>
    <row r="29" spans="1:11" ht="15">
      <c r="A29" s="30"/>
      <c r="B29" s="30"/>
      <c r="C29" s="30"/>
      <c r="D29" s="30"/>
      <c r="E29" s="30"/>
      <c r="F29" s="30"/>
      <c r="G29" s="30"/>
      <c r="H29" s="30"/>
      <c r="I29" s="30"/>
      <c r="J29" s="30"/>
      <c r="K29"/>
    </row>
    <row r="30" spans="1:11" ht="15">
      <c r="A30" s="30"/>
      <c r="B30" s="30"/>
      <c r="C30" s="30"/>
      <c r="D30" s="30"/>
      <c r="E30" s="30"/>
      <c r="F30" s="30"/>
      <c r="G30" s="30"/>
      <c r="H30" s="30"/>
      <c r="I30" s="30"/>
      <c r="J30" s="30"/>
      <c r="K30"/>
    </row>
    <row r="31" spans="1:11" ht="15">
      <c r="A31" s="30"/>
      <c r="B31" s="30"/>
      <c r="C31" s="30"/>
      <c r="D31" s="30"/>
      <c r="E31" s="30"/>
      <c r="F31" s="30"/>
      <c r="G31" s="30"/>
      <c r="H31" s="30"/>
      <c r="I31" s="30"/>
      <c r="J31" s="30"/>
      <c r="K31"/>
    </row>
    <row r="32" spans="1:11" ht="15">
      <c r="A32" s="30"/>
      <c r="B32" s="30"/>
      <c r="C32" s="30"/>
      <c r="D32" s="30"/>
      <c r="E32" s="30"/>
      <c r="F32" s="30"/>
      <c r="G32" s="30"/>
      <c r="H32" s="30"/>
      <c r="I32" s="30"/>
      <c r="J32" s="30"/>
      <c r="K32"/>
    </row>
    <row r="33" spans="1:11" ht="15">
      <c r="A33" s="30"/>
      <c r="B33" s="30"/>
      <c r="C33" s="30"/>
      <c r="D33" s="30"/>
      <c r="E33" s="30"/>
      <c r="F33" s="30"/>
      <c r="G33" s="30"/>
      <c r="H33" s="30"/>
      <c r="I33" s="30"/>
      <c r="J33" s="30"/>
      <c r="K33"/>
    </row>
    <row r="34" spans="1:11" ht="15">
      <c r="A34" s="30"/>
      <c r="B34" s="30"/>
      <c r="C34" s="30"/>
      <c r="D34" s="30"/>
      <c r="E34" s="30"/>
      <c r="F34" s="30"/>
      <c r="G34" s="30"/>
      <c r="H34" s="30"/>
      <c r="I34" s="30"/>
      <c r="J34" s="30"/>
      <c r="K34"/>
    </row>
    <row r="35" spans="1:11" ht="15">
      <c r="A35" s="30"/>
      <c r="B35" s="30"/>
      <c r="C35" s="30"/>
      <c r="D35" s="30"/>
      <c r="E35" s="30"/>
      <c r="F35" s="30"/>
      <c r="G35" s="30"/>
      <c r="H35" s="30"/>
      <c r="I35" s="30"/>
      <c r="J35" s="30"/>
      <c r="K35"/>
    </row>
    <row r="36" spans="1:11" ht="15">
      <c r="A36" s="30"/>
      <c r="B36" s="30"/>
      <c r="C36" s="30"/>
      <c r="D36" s="30"/>
      <c r="E36" s="30"/>
      <c r="F36" s="30"/>
      <c r="G36" s="30"/>
      <c r="H36" s="30"/>
      <c r="I36" s="30"/>
      <c r="J36" s="30"/>
      <c r="K36"/>
    </row>
    <row r="37" spans="1:11" ht="15">
      <c r="A37" s="30"/>
      <c r="B37" s="30"/>
      <c r="C37" s="30"/>
      <c r="D37" s="30"/>
      <c r="E37" s="30"/>
      <c r="F37" s="30"/>
      <c r="G37" s="30"/>
      <c r="H37" s="30"/>
      <c r="I37" s="30"/>
      <c r="J37" s="30"/>
      <c r="K37"/>
    </row>
    <row r="38" spans="1:11" ht="15">
      <c r="A38" s="30"/>
      <c r="B38" s="30"/>
      <c r="C38" s="30"/>
      <c r="D38" s="30"/>
      <c r="E38" s="30"/>
      <c r="F38" s="30"/>
      <c r="G38" s="30"/>
      <c r="H38" s="30"/>
      <c r="I38" s="30"/>
      <c r="J38" s="30"/>
      <c r="K38"/>
    </row>
    <row r="39" spans="1:11" ht="15">
      <c r="A39" s="30"/>
      <c r="B39" s="30"/>
      <c r="C39" s="30"/>
      <c r="D39" s="30"/>
      <c r="E39" s="30"/>
      <c r="F39" s="30"/>
      <c r="G39" s="30"/>
      <c r="H39" s="30"/>
      <c r="I39" s="30"/>
      <c r="J39" s="30"/>
      <c r="K39"/>
    </row>
    <row r="40" spans="1:11" ht="15">
      <c r="A40" s="30"/>
      <c r="B40" s="30"/>
      <c r="C40" s="30"/>
      <c r="D40" s="30"/>
      <c r="E40" s="30"/>
      <c r="F40" s="30"/>
      <c r="G40" s="30"/>
      <c r="H40" s="30"/>
      <c r="I40" s="30"/>
      <c r="J40" s="30"/>
      <c r="K40"/>
    </row>
    <row r="41" spans="1:11" ht="15">
      <c r="A41" s="30"/>
      <c r="B41" s="30"/>
      <c r="C41" s="30"/>
      <c r="D41" s="30"/>
      <c r="E41" s="30"/>
      <c r="F41" s="30"/>
      <c r="G41" s="30"/>
      <c r="H41" s="30"/>
      <c r="I41" s="30"/>
      <c r="J41" s="30"/>
      <c r="K41"/>
    </row>
    <row r="42" spans="1:11" ht="15">
      <c r="A42" s="30"/>
      <c r="B42" s="30"/>
      <c r="C42" s="30"/>
      <c r="D42" s="30"/>
      <c r="E42" s="30"/>
      <c r="F42" s="30"/>
      <c r="G42" s="30"/>
      <c r="H42" s="30"/>
      <c r="I42" s="30"/>
      <c r="J42" s="30"/>
      <c r="K42"/>
    </row>
    <row r="43" spans="1:11" ht="15">
      <c r="A43" s="30"/>
      <c r="B43" s="30"/>
      <c r="C43" s="30"/>
      <c r="D43" s="30"/>
      <c r="E43" s="30"/>
      <c r="F43" s="30"/>
      <c r="G43" s="30"/>
      <c r="H43" s="30"/>
      <c r="I43" s="30"/>
      <c r="J43" s="30"/>
      <c r="K43"/>
    </row>
    <row r="44" spans="1:11" ht="15">
      <c r="A44" s="30"/>
      <c r="B44" s="30"/>
      <c r="C44" s="30"/>
      <c r="D44" s="30"/>
      <c r="E44" s="30"/>
      <c r="F44" s="30"/>
      <c r="G44" s="30"/>
      <c r="H44" s="30"/>
      <c r="I44" s="30"/>
      <c r="J44" s="30"/>
      <c r="K44"/>
    </row>
    <row r="45" spans="1:11" ht="15">
      <c r="A45" s="30"/>
      <c r="B45" s="30"/>
      <c r="C45" s="30"/>
      <c r="D45" s="30"/>
      <c r="E45" s="30"/>
      <c r="F45" s="30"/>
      <c r="G45" s="30"/>
      <c r="H45" s="30"/>
      <c r="I45" s="30"/>
      <c r="J45" s="30"/>
      <c r="K45"/>
    </row>
    <row r="46" spans="1:11" ht="15">
      <c r="A46" s="30"/>
      <c r="B46" s="30"/>
      <c r="C46" s="30"/>
      <c r="D46" s="30"/>
      <c r="E46" s="30"/>
      <c r="F46" s="30"/>
      <c r="G46" s="30"/>
      <c r="H46" s="30"/>
      <c r="I46" s="30"/>
      <c r="J46" s="30"/>
      <c r="K46"/>
    </row>
    <row r="47" spans="1:11" ht="15">
      <c r="A47" s="30"/>
      <c r="B47" s="30"/>
      <c r="C47" s="30"/>
      <c r="D47" s="30"/>
      <c r="E47" s="30"/>
      <c r="F47" s="30"/>
      <c r="G47" s="30"/>
      <c r="H47" s="30"/>
      <c r="I47" s="30"/>
      <c r="J47" s="30"/>
      <c r="K47"/>
    </row>
    <row r="48" spans="1:11" ht="15">
      <c r="A48" s="30"/>
      <c r="B48" s="30"/>
      <c r="C48" s="30"/>
      <c r="D48" s="30"/>
      <c r="E48" s="30"/>
      <c r="F48" s="30"/>
      <c r="G48" s="30"/>
      <c r="H48" s="30"/>
      <c r="I48" s="30"/>
      <c r="J48" s="30"/>
      <c r="K48"/>
    </row>
    <row r="49" spans="1:11" ht="15">
      <c r="A49" s="30"/>
      <c r="B49" s="30"/>
      <c r="C49" s="30"/>
      <c r="D49" s="30"/>
      <c r="E49" s="30"/>
      <c r="F49" s="30"/>
      <c r="G49" s="30"/>
      <c r="H49" s="30"/>
      <c r="I49" s="30"/>
      <c r="J49" s="30"/>
      <c r="K49"/>
    </row>
    <row r="50" spans="1:11" ht="15">
      <c r="A50" s="30"/>
      <c r="B50" s="30"/>
      <c r="C50" s="30"/>
      <c r="D50" s="30"/>
      <c r="E50" s="30"/>
      <c r="F50" s="30"/>
      <c r="G50" s="30"/>
      <c r="H50" s="30"/>
      <c r="I50" s="30"/>
      <c r="J50" s="30"/>
      <c r="K50"/>
    </row>
    <row r="51" spans="1:11" ht="15">
      <c r="A51" s="30"/>
      <c r="B51" s="30"/>
      <c r="C51" s="30"/>
      <c r="D51" s="30"/>
      <c r="E51" s="30"/>
      <c r="F51" s="30"/>
      <c r="G51" s="30"/>
      <c r="H51" s="30"/>
      <c r="I51" s="30"/>
      <c r="J51" s="30"/>
      <c r="K51"/>
    </row>
    <row r="52" spans="1:11" ht="15">
      <c r="A52" s="30"/>
      <c r="B52" s="30"/>
      <c r="C52" s="30"/>
      <c r="D52" s="30"/>
      <c r="E52" s="30"/>
      <c r="F52" s="30"/>
      <c r="G52" s="30"/>
      <c r="H52" s="30"/>
      <c r="I52" s="30"/>
      <c r="J52" s="30"/>
      <c r="K52"/>
    </row>
    <row r="53" spans="1:11" ht="15">
      <c r="A53" s="30"/>
      <c r="B53" s="30"/>
      <c r="C53" s="30"/>
      <c r="D53" s="30"/>
      <c r="E53" s="30"/>
      <c r="F53" s="30"/>
      <c r="G53" s="30"/>
      <c r="H53" s="30"/>
      <c r="I53" s="30"/>
      <c r="J53" s="30"/>
      <c r="K53"/>
    </row>
    <row r="54" spans="1:11" ht="15">
      <c r="A54" s="30"/>
      <c r="B54" s="30"/>
      <c r="C54" s="30"/>
      <c r="D54" s="30"/>
      <c r="E54" s="30"/>
      <c r="F54" s="30"/>
      <c r="G54" s="30"/>
      <c r="H54" s="30"/>
      <c r="I54" s="30"/>
      <c r="J54" s="30"/>
      <c r="K54"/>
    </row>
    <row r="55" spans="1:11" ht="15">
      <c r="A55" s="30"/>
      <c r="B55" s="30"/>
      <c r="C55" s="30"/>
      <c r="D55" s="30"/>
      <c r="E55" s="30"/>
      <c r="F55" s="30"/>
      <c r="G55" s="30"/>
      <c r="H55" s="30"/>
      <c r="I55" s="30"/>
      <c r="J55" s="30"/>
      <c r="K55"/>
    </row>
    <row r="56" spans="1:11" ht="15">
      <c r="A56" s="30"/>
      <c r="B56" s="30"/>
      <c r="C56" s="30"/>
      <c r="D56" s="30"/>
      <c r="E56" s="30"/>
      <c r="F56" s="30"/>
      <c r="G56" s="30"/>
      <c r="H56" s="30"/>
      <c r="I56" s="30"/>
      <c r="J56" s="30"/>
      <c r="K56"/>
    </row>
    <row r="57" spans="1:11" ht="15">
      <c r="A57" s="30"/>
      <c r="B57" s="30"/>
      <c r="C57" s="30"/>
      <c r="D57" s="30"/>
      <c r="E57" s="30"/>
      <c r="F57" s="30"/>
      <c r="G57" s="30"/>
      <c r="H57" s="30"/>
      <c r="I57" s="30"/>
      <c r="J57" s="30"/>
      <c r="K57"/>
    </row>
    <row r="58" spans="1:11" ht="15">
      <c r="A58" s="30"/>
      <c r="B58" s="30"/>
      <c r="C58" s="30"/>
      <c r="D58" s="30"/>
      <c r="E58" s="30"/>
      <c r="F58" s="30"/>
      <c r="G58" s="30"/>
      <c r="H58" s="30"/>
      <c r="I58" s="30"/>
      <c r="J58" s="30"/>
      <c r="K58"/>
    </row>
    <row r="59" spans="1:11" ht="15">
      <c r="A59" s="30"/>
      <c r="B59" s="30"/>
      <c r="C59" s="30"/>
      <c r="D59" s="30"/>
      <c r="E59" s="30"/>
      <c r="F59" s="30"/>
      <c r="G59" s="30"/>
      <c r="H59" s="30"/>
      <c r="I59" s="30"/>
      <c r="J59" s="30"/>
      <c r="K59"/>
    </row>
    <row r="60" spans="1:11" ht="15">
      <c r="A60" s="30"/>
      <c r="B60" s="30"/>
      <c r="C60" s="30"/>
      <c r="D60" s="30"/>
      <c r="E60" s="30"/>
      <c r="F60" s="30"/>
      <c r="G60" s="30"/>
      <c r="H60" s="30"/>
      <c r="I60" s="30"/>
      <c r="J60" s="30"/>
      <c r="K60"/>
    </row>
    <row r="61" spans="1:11" ht="15">
      <c r="A61" s="30"/>
      <c r="B61" s="30"/>
      <c r="C61" s="30"/>
      <c r="D61" s="30"/>
      <c r="E61" s="30"/>
      <c r="F61" s="30"/>
      <c r="G61" s="30"/>
      <c r="H61" s="30"/>
      <c r="I61" s="30"/>
      <c r="J61" s="30"/>
      <c r="K61"/>
    </row>
    <row r="62" spans="1:11" ht="15">
      <c r="A62" s="30"/>
      <c r="B62" s="30"/>
      <c r="C62" s="30"/>
      <c r="D62" s="30"/>
      <c r="E62" s="30"/>
      <c r="F62" s="30"/>
      <c r="G62" s="30"/>
      <c r="H62" s="30"/>
      <c r="I62" s="30"/>
      <c r="J62" s="30"/>
      <c r="K62"/>
    </row>
    <row r="63" spans="1:11" ht="15">
      <c r="A63" s="30"/>
      <c r="B63" s="30"/>
      <c r="C63" s="30"/>
      <c r="D63" s="30"/>
      <c r="E63" s="30"/>
      <c r="F63" s="30"/>
      <c r="G63" s="30"/>
      <c r="H63" s="30"/>
      <c r="I63" s="30"/>
      <c r="J63" s="30"/>
      <c r="K63"/>
    </row>
    <row r="64" spans="1:11" ht="15">
      <c r="A64" s="30"/>
      <c r="B64" s="30"/>
      <c r="C64" s="30"/>
      <c r="D64" s="30"/>
      <c r="E64" s="30"/>
      <c r="F64" s="30"/>
      <c r="G64" s="30"/>
      <c r="H64" s="30"/>
      <c r="I64" s="30"/>
      <c r="J64" s="30"/>
      <c r="K64"/>
    </row>
    <row r="65" spans="1:11" ht="15">
      <c r="A65" s="30"/>
      <c r="B65" s="30"/>
      <c r="C65" s="30"/>
      <c r="D65" s="30"/>
      <c r="E65" s="30"/>
      <c r="F65" s="30"/>
      <c r="G65" s="30"/>
      <c r="H65" s="30"/>
      <c r="I65" s="30"/>
      <c r="J65" s="30"/>
      <c r="K65"/>
    </row>
    <row r="66" spans="1:11" ht="15">
      <c r="A66" s="30"/>
      <c r="B66" s="30"/>
      <c r="C66" s="30"/>
      <c r="D66" s="30"/>
      <c r="E66" s="30"/>
      <c r="F66" s="30"/>
      <c r="G66" s="30"/>
      <c r="H66" s="30"/>
      <c r="I66" s="30"/>
      <c r="J66" s="30"/>
      <c r="K66"/>
    </row>
    <row r="67" spans="1:11" ht="15">
      <c r="A67" s="30"/>
      <c r="B67" s="30"/>
      <c r="C67" s="30"/>
      <c r="D67" s="30"/>
      <c r="E67" s="30"/>
      <c r="F67" s="30"/>
      <c r="G67" s="30"/>
      <c r="H67" s="30"/>
      <c r="I67" s="30"/>
      <c r="J67" s="30"/>
      <c r="K67"/>
    </row>
    <row r="68" spans="1:11" ht="15">
      <c r="A68" s="30"/>
      <c r="B68" s="30"/>
      <c r="C68" s="30"/>
      <c r="D68" s="30"/>
      <c r="E68" s="30"/>
      <c r="F68" s="30"/>
      <c r="G68" s="30"/>
      <c r="H68" s="30"/>
      <c r="I68" s="30"/>
      <c r="J68" s="30"/>
      <c r="K68"/>
    </row>
    <row r="69" spans="1:11" ht="15">
      <c r="A69" s="30"/>
      <c r="B69" s="30"/>
      <c r="C69" s="30"/>
      <c r="D69" s="30"/>
      <c r="E69" s="30"/>
      <c r="F69" s="30"/>
      <c r="G69" s="30"/>
      <c r="H69" s="30"/>
      <c r="I69" s="30"/>
      <c r="J69" s="30"/>
      <c r="K69"/>
    </row>
    <row r="70" spans="1:11" ht="15">
      <c r="A70" s="30"/>
      <c r="B70" s="30"/>
      <c r="C70" s="30"/>
      <c r="D70" s="30"/>
      <c r="E70" s="30"/>
      <c r="F70" s="30"/>
      <c r="G70" s="30"/>
      <c r="H70" s="30"/>
      <c r="I70" s="30"/>
      <c r="J70" s="30"/>
      <c r="K70"/>
    </row>
    <row r="71" spans="1:11" ht="15">
      <c r="A71" s="30"/>
      <c r="B71" s="30"/>
      <c r="C71" s="30"/>
      <c r="D71" s="30"/>
      <c r="E71" s="30"/>
      <c r="F71" s="30"/>
      <c r="G71" s="30"/>
      <c r="H71" s="30"/>
      <c r="I71" s="30"/>
      <c r="J71" s="30"/>
      <c r="K71"/>
    </row>
    <row r="72" spans="1:11" ht="15">
      <c r="A72" s="30"/>
      <c r="B72" s="30"/>
      <c r="C72" s="30"/>
      <c r="D72" s="30"/>
      <c r="E72" s="30"/>
      <c r="F72" s="30"/>
      <c r="G72" s="30"/>
      <c r="H72" s="30"/>
      <c r="I72" s="30"/>
      <c r="J72" s="30"/>
      <c r="K72"/>
    </row>
    <row r="73" spans="1:11" ht="15">
      <c r="A73" s="30"/>
      <c r="B73" s="30"/>
      <c r="C73" s="30"/>
      <c r="D73" s="30"/>
      <c r="E73" s="30"/>
      <c r="F73" s="30"/>
      <c r="G73" s="30"/>
      <c r="H73" s="30"/>
      <c r="I73" s="30"/>
      <c r="J73" s="30"/>
      <c r="K73"/>
    </row>
    <row r="74" spans="1:11" ht="15">
      <c r="A74" s="30"/>
      <c r="B74" s="30"/>
      <c r="C74" s="30"/>
      <c r="D74" s="30"/>
      <c r="E74" s="30"/>
      <c r="F74" s="30"/>
      <c r="G74" s="30"/>
      <c r="H74" s="30"/>
      <c r="I74" s="30"/>
      <c r="J74" s="30"/>
      <c r="K74"/>
    </row>
    <row r="75" spans="1:11" ht="15">
      <c r="A75" s="30"/>
      <c r="B75" s="30"/>
      <c r="C75" s="30"/>
      <c r="D75" s="30"/>
      <c r="E75" s="30"/>
      <c r="F75" s="30"/>
      <c r="G75" s="30"/>
      <c r="H75" s="30"/>
      <c r="I75" s="30"/>
      <c r="J75" s="30"/>
      <c r="K75"/>
    </row>
    <row r="76" spans="1:11" ht="15">
      <c r="A76" s="30"/>
      <c r="B76" s="30"/>
      <c r="C76" s="30"/>
      <c r="D76" s="30"/>
      <c r="E76" s="30"/>
      <c r="F76" s="30"/>
      <c r="G76" s="30"/>
      <c r="H76" s="30"/>
      <c r="I76" s="30"/>
      <c r="J76" s="30"/>
      <c r="K76"/>
    </row>
    <row r="77" spans="1:11" ht="15">
      <c r="A77" s="30"/>
      <c r="B77" s="30"/>
      <c r="C77" s="30"/>
      <c r="D77" s="30"/>
      <c r="E77" s="30"/>
      <c r="F77" s="30"/>
      <c r="G77" s="30"/>
      <c r="H77" s="30"/>
      <c r="I77" s="30"/>
      <c r="J77" s="30"/>
      <c r="K77"/>
    </row>
    <row r="78" spans="1:11" ht="15">
      <c r="A78" s="30"/>
      <c r="B78" s="30"/>
      <c r="C78" s="30"/>
      <c r="D78" s="30"/>
      <c r="E78" s="30"/>
      <c r="F78" s="30"/>
      <c r="G78" s="30"/>
      <c r="H78" s="30"/>
      <c r="I78" s="30"/>
      <c r="J78" s="30"/>
      <c r="K78"/>
    </row>
    <row r="79" spans="1:11" ht="15">
      <c r="A79" s="30"/>
      <c r="B79" s="30"/>
      <c r="C79" s="30"/>
      <c r="D79" s="30"/>
      <c r="E79" s="30"/>
      <c r="F79" s="30"/>
      <c r="G79" s="30"/>
      <c r="H79" s="30"/>
      <c r="I79" s="30"/>
      <c r="J79" s="30"/>
      <c r="K79"/>
    </row>
    <row r="80" spans="1:11" ht="15">
      <c r="A80" s="30"/>
      <c r="B80" s="30"/>
      <c r="C80" s="30"/>
      <c r="D80" s="30"/>
      <c r="E80" s="30"/>
      <c r="F80" s="30"/>
      <c r="G80" s="30"/>
      <c r="H80" s="30"/>
      <c r="I80" s="30"/>
      <c r="J80" s="30"/>
      <c r="K80"/>
    </row>
    <row r="81" spans="1:11" ht="15">
      <c r="A81" s="30"/>
      <c r="B81" s="30"/>
      <c r="C81" s="30"/>
      <c r="D81" s="30"/>
      <c r="E81" s="30"/>
      <c r="F81" s="30"/>
      <c r="G81" s="30"/>
      <c r="H81" s="30"/>
      <c r="I81" s="30"/>
      <c r="J81" s="30"/>
      <c r="K81"/>
    </row>
    <row r="82" spans="1:11" ht="15">
      <c r="A82" s="30"/>
      <c r="B82" s="30"/>
      <c r="C82" s="30"/>
      <c r="D82" s="30"/>
      <c r="E82" s="30"/>
      <c r="F82" s="30"/>
      <c r="G82" s="30"/>
      <c r="H82" s="30"/>
      <c r="I82" s="30"/>
      <c r="J82" s="30"/>
      <c r="K82"/>
    </row>
    <row r="83" spans="1:11" ht="15">
      <c r="A83" s="30"/>
      <c r="B83" s="30"/>
      <c r="C83" s="30"/>
      <c r="D83" s="30"/>
      <c r="E83" s="30"/>
      <c r="F83" s="30"/>
      <c r="G83" s="30"/>
      <c r="H83" s="30"/>
      <c r="I83" s="30"/>
      <c r="J83" s="30"/>
      <c r="K83"/>
    </row>
    <row r="84" spans="1:11" ht="15">
      <c r="A84" s="30"/>
      <c r="B84" s="30"/>
      <c r="C84" s="30"/>
      <c r="D84" s="30"/>
      <c r="E84" s="30"/>
      <c r="F84" s="30"/>
      <c r="G84" s="30"/>
      <c r="H84" s="30"/>
      <c r="I84" s="30"/>
      <c r="J84" s="30"/>
      <c r="K84"/>
    </row>
    <row r="85" spans="1:11" ht="15">
      <c r="A85" s="30"/>
      <c r="B85" s="30"/>
      <c r="C85" s="30"/>
      <c r="D85" s="30"/>
      <c r="E85" s="30"/>
      <c r="F85" s="30"/>
      <c r="G85" s="30"/>
      <c r="H85" s="30"/>
      <c r="I85" s="30"/>
      <c r="J85" s="30"/>
      <c r="K85"/>
    </row>
    <row r="86" spans="1:11" ht="15">
      <c r="A86" s="30"/>
      <c r="B86" s="30"/>
      <c r="C86" s="30"/>
      <c r="D86" s="30"/>
      <c r="E86" s="30"/>
      <c r="F86" s="30"/>
      <c r="G86" s="30"/>
      <c r="H86" s="30"/>
      <c r="I86" s="30"/>
      <c r="J86" s="30"/>
      <c r="K86"/>
    </row>
    <row r="87" spans="1:11" ht="15">
      <c r="A87" s="30"/>
      <c r="B87" s="30"/>
      <c r="C87" s="30"/>
      <c r="D87" s="30"/>
      <c r="E87" s="30"/>
      <c r="F87" s="30"/>
      <c r="G87" s="30"/>
      <c r="H87" s="30"/>
      <c r="I87" s="30"/>
      <c r="J87" s="30"/>
      <c r="K87"/>
    </row>
    <row r="88" spans="1:11" ht="15">
      <c r="A88" s="30"/>
      <c r="B88" s="30"/>
      <c r="C88" s="30"/>
      <c r="D88" s="30"/>
      <c r="E88" s="30"/>
      <c r="F88" s="30"/>
      <c r="G88" s="30"/>
      <c r="H88" s="30"/>
      <c r="I88" s="30"/>
      <c r="J88" s="30"/>
      <c r="K88"/>
    </row>
    <row r="89" spans="1:11" ht="15">
      <c r="A89" s="30"/>
      <c r="B89" s="30"/>
      <c r="C89" s="30"/>
      <c r="D89" s="30"/>
      <c r="E89" s="30"/>
      <c r="F89" s="30"/>
      <c r="G89" s="30"/>
      <c r="H89" s="30"/>
      <c r="I89" s="30"/>
      <c r="J89" s="30"/>
      <c r="K89"/>
    </row>
    <row r="90" spans="1:11" ht="15">
      <c r="A90" s="30"/>
      <c r="B90" s="30"/>
      <c r="C90" s="30"/>
      <c r="D90" s="30"/>
      <c r="E90" s="30"/>
      <c r="F90" s="30"/>
      <c r="G90" s="30"/>
      <c r="H90" s="30"/>
      <c r="I90" s="30"/>
      <c r="J90" s="30"/>
      <c r="K90"/>
    </row>
    <row r="91" spans="1:11" ht="15">
      <c r="A91" s="30"/>
      <c r="B91" s="30"/>
      <c r="C91" s="30"/>
      <c r="D91" s="30"/>
      <c r="E91" s="30"/>
      <c r="F91" s="30"/>
      <c r="G91" s="30"/>
      <c r="H91" s="30"/>
      <c r="I91" s="30"/>
      <c r="J91" s="30"/>
      <c r="K91"/>
    </row>
    <row r="92" spans="1:11" ht="15">
      <c r="A92" s="30"/>
      <c r="B92" s="30"/>
      <c r="C92" s="30"/>
      <c r="D92" s="30"/>
      <c r="E92" s="30"/>
      <c r="F92" s="30"/>
      <c r="G92" s="30"/>
      <c r="H92" s="30"/>
      <c r="I92" s="30"/>
      <c r="J92" s="30"/>
      <c r="K92"/>
    </row>
    <row r="93" spans="1:11" ht="15">
      <c r="A93" s="30"/>
      <c r="B93" s="30"/>
      <c r="C93" s="30"/>
      <c r="D93" s="30"/>
      <c r="E93" s="30"/>
      <c r="F93" s="30"/>
      <c r="G93" s="30"/>
      <c r="H93" s="30"/>
      <c r="I93" s="30"/>
      <c r="J93" s="30"/>
      <c r="K93"/>
    </row>
    <row r="94" spans="1:11" ht="15">
      <c r="A94" s="30"/>
      <c r="B94" s="30"/>
      <c r="C94" s="30"/>
      <c r="D94" s="30"/>
      <c r="E94" s="30"/>
      <c r="F94" s="30"/>
      <c r="G94" s="30"/>
      <c r="H94" s="30"/>
      <c r="I94" s="30"/>
      <c r="J94" s="30"/>
      <c r="K94"/>
    </row>
    <row r="95" spans="1:11" ht="15">
      <c r="A95" s="30"/>
      <c r="B95" s="30"/>
      <c r="C95" s="30"/>
      <c r="D95" s="30"/>
      <c r="E95" s="30"/>
      <c r="F95" s="30"/>
      <c r="G95" s="30"/>
      <c r="H95" s="30"/>
      <c r="I95" s="30"/>
      <c r="J95" s="30"/>
      <c r="K95"/>
    </row>
    <row r="96" spans="1:11" ht="15">
      <c r="A96" s="30"/>
      <c r="B96" s="30"/>
      <c r="C96" s="30"/>
      <c r="D96" s="30"/>
      <c r="E96" s="30"/>
      <c r="F96" s="30"/>
      <c r="G96" s="30"/>
      <c r="H96" s="30"/>
      <c r="I96" s="30"/>
      <c r="J96" s="30"/>
      <c r="K96"/>
    </row>
    <row r="97" spans="1:11" ht="15">
      <c r="A97" s="30"/>
      <c r="B97" s="30"/>
      <c r="C97" s="30"/>
      <c r="D97" s="30"/>
      <c r="E97" s="30"/>
      <c r="F97" s="30"/>
      <c r="G97" s="30"/>
      <c r="H97" s="30"/>
      <c r="I97" s="30"/>
      <c r="J97" s="30"/>
      <c r="K97"/>
    </row>
    <row r="98" spans="1:11" ht="15">
      <c r="A98" s="30"/>
      <c r="B98" s="30"/>
      <c r="C98" s="30"/>
      <c r="D98" s="30"/>
      <c r="E98" s="30"/>
      <c r="F98" s="30"/>
      <c r="G98" s="30"/>
      <c r="H98" s="30"/>
      <c r="I98" s="30"/>
      <c r="J98" s="30"/>
      <c r="K98"/>
    </row>
    <row r="99" spans="1:11" ht="15">
      <c r="A99" s="30"/>
      <c r="B99" s="30"/>
      <c r="C99" s="30"/>
      <c r="D99" s="30"/>
      <c r="E99" s="30"/>
      <c r="F99" s="30"/>
      <c r="G99" s="30"/>
      <c r="H99" s="30"/>
      <c r="I99" s="30"/>
      <c r="J99" s="30"/>
      <c r="K99"/>
    </row>
    <row r="100" spans="1:11" ht="15">
      <c r="A100" s="30"/>
      <c r="B100" s="30"/>
      <c r="C100" s="30"/>
      <c r="D100" s="30"/>
      <c r="E100" s="30"/>
      <c r="F100" s="30"/>
      <c r="G100" s="30"/>
      <c r="H100" s="30"/>
      <c r="I100" s="30"/>
      <c r="J100" s="30"/>
      <c r="K100"/>
    </row>
    <row r="101" spans="1:11" ht="15">
      <c r="A101" s="30"/>
      <c r="B101" s="30"/>
      <c r="C101" s="30"/>
      <c r="D101" s="30"/>
      <c r="E101" s="30"/>
      <c r="F101" s="30"/>
      <c r="G101" s="30"/>
      <c r="H101" s="30"/>
      <c r="I101" s="30"/>
      <c r="J101" s="30"/>
      <c r="K101"/>
    </row>
    <row r="102" spans="1:11" ht="15">
      <c r="A102" s="30"/>
      <c r="B102" s="30"/>
      <c r="C102" s="30"/>
      <c r="D102" s="30"/>
      <c r="E102" s="30"/>
      <c r="F102" s="30"/>
      <c r="G102" s="30"/>
      <c r="H102" s="30"/>
      <c r="I102" s="30"/>
      <c r="J102" s="30"/>
      <c r="K102"/>
    </row>
    <row r="103" spans="1:11" ht="15">
      <c r="A103" s="30"/>
      <c r="B103" s="30"/>
      <c r="C103" s="30"/>
      <c r="D103" s="30"/>
      <c r="E103" s="30"/>
      <c r="F103" s="30"/>
      <c r="G103" s="30"/>
      <c r="H103" s="30"/>
      <c r="I103" s="30"/>
      <c r="J103" s="30"/>
      <c r="K103"/>
    </row>
    <row r="104" spans="1:11" ht="15">
      <c r="A104" s="30"/>
      <c r="B104" s="30"/>
      <c r="C104" s="30"/>
      <c r="D104" s="30"/>
      <c r="E104" s="30"/>
      <c r="F104" s="30"/>
      <c r="G104" s="30"/>
      <c r="H104" s="30"/>
      <c r="I104" s="30"/>
      <c r="J104" s="30"/>
      <c r="K104"/>
    </row>
    <row r="105" spans="1:11" ht="15">
      <c r="A105" s="30"/>
      <c r="B105" s="30"/>
      <c r="C105" s="30"/>
      <c r="D105" s="30"/>
      <c r="E105" s="30"/>
      <c r="F105" s="30"/>
      <c r="G105" s="30"/>
      <c r="H105" s="30"/>
      <c r="I105" s="30"/>
      <c r="J105" s="30"/>
      <c r="K105"/>
    </row>
    <row r="106" spans="1:11" ht="15">
      <c r="A106" s="30"/>
      <c r="B106" s="30"/>
      <c r="C106" s="30"/>
      <c r="D106" s="30"/>
      <c r="E106" s="30"/>
      <c r="F106" s="30"/>
      <c r="G106" s="30"/>
      <c r="H106" s="30"/>
      <c r="I106" s="30"/>
      <c r="J106" s="30"/>
      <c r="K106"/>
    </row>
    <row r="107" spans="1:11" ht="15">
      <c r="A107" s="30"/>
      <c r="B107" s="30"/>
      <c r="C107" s="30"/>
      <c r="D107" s="30"/>
      <c r="E107" s="30"/>
      <c r="F107" s="30"/>
      <c r="G107" s="30"/>
      <c r="H107" s="30"/>
      <c r="I107" s="30"/>
      <c r="J107" s="30"/>
      <c r="K107"/>
    </row>
    <row r="108" spans="1:11" ht="15">
      <c r="A108" s="30"/>
      <c r="B108" s="30"/>
      <c r="C108" s="30"/>
      <c r="D108" s="30"/>
      <c r="E108" s="30"/>
      <c r="F108" s="30"/>
      <c r="G108" s="30"/>
      <c r="H108" s="30"/>
      <c r="I108" s="30"/>
      <c r="J108" s="30"/>
      <c r="K108"/>
    </row>
    <row r="109" spans="1:11" ht="15">
      <c r="A109" s="30"/>
      <c r="B109" s="30"/>
      <c r="C109" s="30"/>
      <c r="D109" s="30"/>
      <c r="E109" s="30"/>
      <c r="F109" s="30"/>
      <c r="G109" s="30"/>
      <c r="H109" s="30"/>
      <c r="I109" s="30"/>
      <c r="J109" s="30"/>
      <c r="K109"/>
    </row>
    <row r="110" spans="1:11" ht="15">
      <c r="A110" s="30"/>
      <c r="B110" s="30"/>
      <c r="C110" s="30"/>
      <c r="D110" s="30"/>
      <c r="E110" s="30"/>
      <c r="F110" s="30"/>
      <c r="G110" s="30"/>
      <c r="H110" s="30"/>
      <c r="I110" s="30"/>
      <c r="J110" s="30"/>
      <c r="K110"/>
    </row>
    <row r="111" spans="1:11" ht="15">
      <c r="A111" s="30"/>
      <c r="B111" s="30"/>
      <c r="C111" s="30"/>
      <c r="D111" s="30"/>
      <c r="E111" s="30"/>
      <c r="F111" s="30"/>
      <c r="G111" s="30"/>
      <c r="H111" s="30"/>
      <c r="I111" s="30"/>
      <c r="J111" s="30"/>
      <c r="K111"/>
    </row>
    <row r="112" spans="1:11" ht="15">
      <c r="A112" s="30"/>
      <c r="B112" s="30"/>
      <c r="C112" s="30"/>
      <c r="D112" s="30"/>
      <c r="E112" s="30"/>
      <c r="F112" s="30"/>
      <c r="G112" s="30"/>
      <c r="H112" s="30"/>
      <c r="I112" s="30"/>
      <c r="J112" s="30"/>
      <c r="K112"/>
    </row>
    <row r="113" spans="1:11" ht="15">
      <c r="A113" s="30"/>
      <c r="B113" s="30"/>
      <c r="C113" s="30"/>
      <c r="D113" s="30"/>
      <c r="E113" s="30"/>
      <c r="F113" s="30"/>
      <c r="G113" s="30"/>
      <c r="H113" s="30"/>
      <c r="I113" s="30"/>
      <c r="J113" s="30"/>
      <c r="K113"/>
    </row>
    <row r="114" spans="1:11" ht="15">
      <c r="A114" s="30"/>
      <c r="B114" s="30"/>
      <c r="C114" s="30"/>
      <c r="D114" s="30"/>
      <c r="E114" s="30"/>
      <c r="F114" s="30"/>
      <c r="G114" s="30"/>
      <c r="H114" s="30"/>
      <c r="I114" s="30"/>
      <c r="J114" s="30"/>
      <c r="K114"/>
    </row>
    <row r="115" spans="1:11" ht="15">
      <c r="A115" s="30"/>
      <c r="B115" s="30"/>
      <c r="C115" s="30"/>
      <c r="D115" s="30"/>
      <c r="E115" s="30"/>
      <c r="F115" s="30"/>
      <c r="G115" s="30"/>
      <c r="H115" s="30"/>
      <c r="I115" s="30"/>
      <c r="J115" s="30"/>
      <c r="K115"/>
    </row>
    <row r="116" spans="1:11" ht="15">
      <c r="A116" s="30"/>
      <c r="B116" s="30"/>
      <c r="C116" s="30"/>
      <c r="D116" s="30"/>
      <c r="E116" s="30"/>
      <c r="F116" s="30"/>
      <c r="G116" s="30"/>
      <c r="H116" s="30"/>
      <c r="I116" s="30"/>
      <c r="J116" s="30"/>
      <c r="K116"/>
    </row>
    <row r="117" spans="1:11" ht="15">
      <c r="A117" s="30"/>
      <c r="B117" s="30"/>
      <c r="C117" s="30"/>
      <c r="D117" s="30"/>
      <c r="E117" s="30"/>
      <c r="F117" s="30"/>
      <c r="G117" s="30"/>
      <c r="H117" s="30"/>
      <c r="I117" s="30"/>
      <c r="J117" s="30"/>
      <c r="K117"/>
    </row>
    <row r="118" spans="1:11" ht="15">
      <c r="A118" s="30"/>
      <c r="B118" s="30"/>
      <c r="C118" s="30"/>
      <c r="D118" s="30"/>
      <c r="E118" s="30"/>
      <c r="F118" s="30"/>
      <c r="G118" s="30"/>
      <c r="H118" s="30"/>
      <c r="I118" s="30"/>
      <c r="J118" s="30"/>
      <c r="K118"/>
    </row>
    <row r="119" spans="1:11" ht="15">
      <c r="A119" s="30"/>
      <c r="B119" s="30"/>
      <c r="C119" s="30"/>
      <c r="D119" s="30"/>
      <c r="E119" s="30"/>
      <c r="F119" s="30"/>
      <c r="G119" s="30"/>
      <c r="H119" s="30"/>
      <c r="I119" s="30"/>
      <c r="J119" s="30"/>
      <c r="K119"/>
    </row>
    <row r="120" spans="1:11" ht="15">
      <c r="A120" s="30"/>
      <c r="B120" s="30"/>
      <c r="C120" s="30"/>
      <c r="D120" s="30"/>
      <c r="E120" s="30"/>
      <c r="F120" s="30"/>
      <c r="G120" s="30"/>
      <c r="H120" s="30"/>
      <c r="I120" s="30"/>
      <c r="J120" s="30"/>
      <c r="K120"/>
    </row>
    <row r="121" spans="1:11" ht="15">
      <c r="A121" s="30"/>
      <c r="B121" s="30"/>
      <c r="C121" s="30"/>
      <c r="D121" s="30"/>
      <c r="E121" s="30"/>
      <c r="F121" s="30"/>
      <c r="G121" s="30"/>
      <c r="H121" s="30"/>
      <c r="I121" s="30"/>
      <c r="J121" s="30"/>
      <c r="K121"/>
    </row>
    <row r="122" spans="1:11" ht="15">
      <c r="A122" s="30"/>
      <c r="B122" s="30"/>
      <c r="C122" s="30"/>
      <c r="D122" s="30"/>
      <c r="E122" s="30"/>
      <c r="F122" s="30"/>
      <c r="G122" s="30"/>
      <c r="H122" s="30"/>
      <c r="I122" s="30"/>
      <c r="J122" s="30"/>
      <c r="K122"/>
    </row>
    <row r="123" spans="1:11" ht="15">
      <c r="A123" s="30"/>
      <c r="B123" s="30"/>
      <c r="C123" s="30"/>
      <c r="D123" s="30"/>
      <c r="E123" s="30"/>
      <c r="F123" s="30"/>
      <c r="G123" s="30"/>
      <c r="H123" s="30"/>
      <c r="I123" s="30"/>
      <c r="J123" s="30"/>
      <c r="K123"/>
    </row>
    <row r="124" spans="1:11" ht="15">
      <c r="A124" s="30"/>
      <c r="B124" s="30"/>
      <c r="C124" s="30"/>
      <c r="D124" s="30"/>
      <c r="E124" s="30"/>
      <c r="F124" s="30"/>
      <c r="G124" s="30"/>
      <c r="H124" s="30"/>
      <c r="I124" s="30"/>
      <c r="J124" s="30"/>
      <c r="K124"/>
    </row>
    <row r="125" spans="1:11" ht="15">
      <c r="A125" s="30"/>
      <c r="B125" s="30"/>
      <c r="C125" s="30"/>
      <c r="D125" s="30"/>
      <c r="E125" s="30"/>
      <c r="F125" s="30"/>
      <c r="G125" s="30"/>
      <c r="H125" s="30"/>
      <c r="I125" s="30"/>
      <c r="J125" s="30"/>
      <c r="K125"/>
    </row>
    <row r="126" spans="1:11" ht="15">
      <c r="A126" s="30"/>
      <c r="B126" s="30"/>
      <c r="C126" s="30"/>
      <c r="D126" s="30"/>
      <c r="E126" s="30"/>
      <c r="F126" s="30"/>
      <c r="G126" s="30"/>
      <c r="H126" s="30"/>
      <c r="I126" s="30"/>
      <c r="J126" s="30"/>
      <c r="K126"/>
    </row>
    <row r="127" spans="1:11" ht="15">
      <c r="A127" s="30"/>
      <c r="B127" s="30"/>
      <c r="C127" s="30"/>
      <c r="D127" s="30"/>
      <c r="E127" s="30"/>
      <c r="F127" s="30"/>
      <c r="G127" s="30"/>
      <c r="H127" s="30"/>
      <c r="I127" s="30"/>
      <c r="J127" s="30"/>
      <c r="K127"/>
    </row>
    <row r="128" spans="1:11" ht="15">
      <c r="A128" s="30"/>
      <c r="B128" s="30"/>
      <c r="C128" s="30"/>
      <c r="D128" s="30"/>
      <c r="E128" s="30"/>
      <c r="F128" s="30"/>
      <c r="G128" s="30"/>
      <c r="H128" s="30"/>
      <c r="I128" s="30"/>
      <c r="J128" s="30"/>
      <c r="K128"/>
    </row>
    <row r="129" spans="1:11" ht="15">
      <c r="A129" s="30"/>
      <c r="B129" s="30"/>
      <c r="C129" s="30"/>
      <c r="D129" s="30"/>
      <c r="E129" s="30"/>
      <c r="F129" s="30"/>
      <c r="G129" s="30"/>
      <c r="H129" s="30"/>
      <c r="I129" s="30"/>
      <c r="J129" s="30"/>
      <c r="K129"/>
    </row>
    <row r="130" spans="1:11" ht="15">
      <c r="A130" s="30"/>
      <c r="B130" s="30"/>
      <c r="C130" s="30"/>
      <c r="D130" s="30"/>
      <c r="E130" s="30"/>
      <c r="F130" s="30"/>
      <c r="G130" s="30"/>
      <c r="H130" s="30"/>
      <c r="I130" s="30"/>
      <c r="J130" s="30"/>
      <c r="K130"/>
    </row>
    <row r="131" spans="1:11" ht="15">
      <c r="A131" s="30"/>
      <c r="B131" s="30"/>
      <c r="C131" s="30"/>
      <c r="D131" s="30"/>
      <c r="E131" s="30"/>
      <c r="F131" s="30"/>
      <c r="G131" s="30"/>
      <c r="H131" s="30"/>
      <c r="I131" s="30"/>
      <c r="J131" s="30"/>
      <c r="K131"/>
    </row>
    <row r="132" spans="1:11" ht="15">
      <c r="A132" s="30"/>
      <c r="B132" s="30"/>
      <c r="C132" s="30"/>
      <c r="D132" s="30"/>
      <c r="E132" s="30"/>
      <c r="F132" s="30"/>
      <c r="G132" s="30"/>
      <c r="H132" s="30"/>
      <c r="I132" s="30"/>
      <c r="J132" s="30"/>
      <c r="K132"/>
    </row>
    <row r="133" spans="1:11" ht="15">
      <c r="A133" s="30"/>
      <c r="B133" s="30"/>
      <c r="C133" s="30"/>
      <c r="D133" s="30"/>
      <c r="E133" s="30"/>
      <c r="F133" s="30"/>
      <c r="G133" s="30"/>
      <c r="H133" s="30"/>
      <c r="I133" s="30"/>
      <c r="J133" s="30"/>
      <c r="K133"/>
    </row>
    <row r="134" spans="1:11" ht="15">
      <c r="A134" s="30"/>
      <c r="B134" s="30"/>
      <c r="C134" s="30"/>
      <c r="D134" s="30"/>
      <c r="E134" s="30"/>
      <c r="F134" s="30"/>
      <c r="G134" s="30"/>
      <c r="H134" s="30"/>
      <c r="I134" s="30"/>
      <c r="J134" s="30"/>
      <c r="K134"/>
    </row>
    <row r="135" spans="1:11" ht="15">
      <c r="A135" s="30"/>
      <c r="B135" s="30"/>
      <c r="C135" s="30"/>
      <c r="D135" s="30"/>
      <c r="E135" s="30"/>
      <c r="F135" s="30"/>
      <c r="G135" s="30"/>
      <c r="H135" s="30"/>
      <c r="I135" s="30"/>
      <c r="J135" s="30"/>
      <c r="K135"/>
    </row>
    <row r="136" spans="1:11" ht="15">
      <c r="A136" s="30"/>
      <c r="B136" s="30"/>
      <c r="C136" s="30"/>
      <c r="D136" s="30"/>
      <c r="E136" s="30"/>
      <c r="F136" s="30"/>
      <c r="G136" s="30"/>
      <c r="H136" s="30"/>
      <c r="I136" s="30"/>
      <c r="J136" s="30"/>
      <c r="K136"/>
    </row>
    <row r="137" spans="1:11" ht="15">
      <c r="A137" s="30"/>
      <c r="B137" s="30"/>
      <c r="C137" s="30"/>
      <c r="D137" s="30"/>
      <c r="E137" s="30"/>
      <c r="F137" s="30"/>
      <c r="G137" s="30"/>
      <c r="H137" s="30"/>
      <c r="I137" s="30"/>
      <c r="J137" s="30"/>
      <c r="K137"/>
    </row>
    <row r="138" spans="1:11" ht="15">
      <c r="A138" s="30"/>
      <c r="B138" s="30"/>
      <c r="C138" s="30"/>
      <c r="D138" s="30"/>
      <c r="E138" s="30"/>
      <c r="F138" s="30"/>
      <c r="G138" s="30"/>
      <c r="H138" s="30"/>
      <c r="I138" s="30"/>
      <c r="J138" s="30"/>
      <c r="K138"/>
    </row>
    <row r="139" spans="1:11" ht="15">
      <c r="A139" s="30"/>
      <c r="B139" s="30"/>
      <c r="C139" s="30"/>
      <c r="D139" s="30"/>
      <c r="E139" s="30"/>
      <c r="F139" s="30"/>
      <c r="G139" s="30"/>
      <c r="H139" s="30"/>
      <c r="I139" s="30"/>
      <c r="J139" s="30"/>
      <c r="K139"/>
    </row>
    <row r="140" spans="1:11" ht="15">
      <c r="A140" s="30"/>
      <c r="B140" s="30"/>
      <c r="C140" s="30"/>
      <c r="D140" s="30"/>
      <c r="E140" s="30"/>
      <c r="F140" s="30"/>
      <c r="G140" s="30"/>
      <c r="H140" s="30"/>
      <c r="I140" s="30"/>
      <c r="J140" s="30"/>
      <c r="K140"/>
    </row>
    <row r="141" spans="1:11" ht="15">
      <c r="A141" s="30"/>
      <c r="B141" s="30"/>
      <c r="C141" s="30"/>
      <c r="D141" s="30"/>
      <c r="E141" s="30"/>
      <c r="F141" s="30"/>
      <c r="G141" s="30"/>
      <c r="H141" s="30"/>
      <c r="I141" s="30"/>
      <c r="J141" s="30"/>
      <c r="K141"/>
    </row>
    <row r="142" spans="1:11" ht="15">
      <c r="A142" s="30"/>
      <c r="B142" s="30"/>
      <c r="C142" s="30"/>
      <c r="D142" s="30"/>
      <c r="E142" s="30"/>
      <c r="F142" s="30"/>
      <c r="G142" s="30"/>
      <c r="H142" s="30"/>
      <c r="I142" s="30"/>
      <c r="J142" s="30"/>
      <c r="K142"/>
    </row>
    <row r="143" spans="1:11" ht="15">
      <c r="A143" s="30"/>
      <c r="B143" s="30"/>
      <c r="C143" s="30"/>
      <c r="D143" s="30"/>
      <c r="E143" s="30"/>
      <c r="F143" s="30"/>
      <c r="G143" s="30"/>
      <c r="H143" s="30"/>
      <c r="I143" s="30"/>
      <c r="J143" s="30"/>
      <c r="K143"/>
    </row>
    <row r="144" spans="1:11" ht="15">
      <c r="A144" s="30"/>
      <c r="B144" s="30"/>
      <c r="C144" s="30"/>
      <c r="D144" s="30"/>
      <c r="E144" s="30"/>
      <c r="F144" s="30"/>
      <c r="G144" s="30"/>
      <c r="H144" s="30"/>
      <c r="I144" s="30"/>
      <c r="J144" s="30"/>
      <c r="K144"/>
    </row>
    <row r="145" spans="1:11" ht="15">
      <c r="A145" s="30"/>
      <c r="B145" s="30"/>
      <c r="C145" s="30"/>
      <c r="D145" s="30"/>
      <c r="E145" s="30"/>
      <c r="F145" s="30"/>
      <c r="G145" s="30"/>
      <c r="H145" s="30"/>
      <c r="I145" s="30"/>
      <c r="J145" s="30"/>
      <c r="K145"/>
    </row>
    <row r="146" spans="1:11" ht="15">
      <c r="A146" s="30"/>
      <c r="B146" s="30"/>
      <c r="C146" s="30"/>
      <c r="D146" s="30"/>
      <c r="E146" s="30"/>
      <c r="F146" s="30"/>
      <c r="G146" s="30"/>
      <c r="H146" s="30"/>
      <c r="I146" s="30"/>
      <c r="J146" s="30"/>
      <c r="K146"/>
    </row>
    <row r="147" spans="1:11" ht="15">
      <c r="A147" s="30"/>
      <c r="B147" s="30"/>
      <c r="C147" s="30"/>
      <c r="D147" s="30"/>
      <c r="E147" s="30"/>
      <c r="F147" s="30"/>
      <c r="G147" s="30"/>
      <c r="H147" s="30"/>
      <c r="I147" s="30"/>
      <c r="J147" s="30"/>
      <c r="K147"/>
    </row>
    <row r="148" spans="1:11" ht="15">
      <c r="A148" s="30"/>
      <c r="B148" s="30"/>
      <c r="C148" s="30"/>
      <c r="D148" s="30"/>
      <c r="E148" s="30"/>
      <c r="F148" s="30"/>
      <c r="G148" s="30"/>
      <c r="H148" s="30"/>
      <c r="I148" s="30"/>
      <c r="J148" s="30"/>
      <c r="K148"/>
    </row>
    <row r="149" spans="1:11" ht="15">
      <c r="A149" s="30"/>
      <c r="B149" s="30"/>
      <c r="C149" s="30"/>
      <c r="D149" s="30"/>
      <c r="E149" s="30"/>
      <c r="F149" s="30"/>
      <c r="G149" s="30"/>
      <c r="H149" s="30"/>
      <c r="I149" s="30"/>
      <c r="J149" s="30"/>
      <c r="K149"/>
    </row>
    <row r="150" spans="1:11" ht="15">
      <c r="A150" s="30"/>
      <c r="B150" s="30"/>
      <c r="C150" s="30"/>
      <c r="D150" s="30"/>
      <c r="E150" s="30"/>
      <c r="F150" s="30"/>
      <c r="G150" s="30"/>
      <c r="H150" s="30"/>
      <c r="I150" s="30"/>
      <c r="J150" s="30"/>
      <c r="K150"/>
    </row>
    <row r="151" spans="1:11" ht="15">
      <c r="A151" s="30"/>
      <c r="B151" s="30"/>
      <c r="C151" s="30"/>
      <c r="D151" s="30"/>
      <c r="E151" s="30"/>
      <c r="F151" s="30"/>
      <c r="G151" s="30"/>
      <c r="H151" s="30"/>
      <c r="I151" s="30"/>
      <c r="J151" s="30"/>
      <c r="K151"/>
    </row>
    <row r="152" spans="1:11" ht="15">
      <c r="A152" s="30"/>
      <c r="B152" s="30"/>
      <c r="C152" s="30"/>
      <c r="D152" s="30"/>
      <c r="E152" s="30"/>
      <c r="F152" s="30"/>
      <c r="G152" s="30"/>
      <c r="H152" s="30"/>
      <c r="I152" s="30"/>
      <c r="J152" s="30"/>
      <c r="K152"/>
    </row>
    <row r="153" spans="1:11" ht="15">
      <c r="A153" s="30"/>
      <c r="B153" s="30"/>
      <c r="C153" s="30"/>
      <c r="D153" s="30"/>
      <c r="E153" s="30"/>
      <c r="F153" s="30"/>
      <c r="G153" s="30"/>
      <c r="H153" s="30"/>
      <c r="I153" s="30"/>
      <c r="J153" s="30"/>
      <c r="K153"/>
    </row>
    <row r="154" spans="1:11" ht="15">
      <c r="A154" s="30"/>
      <c r="B154" s="30"/>
      <c r="C154" s="30"/>
      <c r="D154" s="30"/>
      <c r="E154" s="30"/>
      <c r="F154" s="30"/>
      <c r="G154" s="30"/>
      <c r="H154" s="30"/>
      <c r="I154" s="30"/>
      <c r="J154" s="30"/>
      <c r="K154"/>
    </row>
    <row r="155" spans="1:11" ht="15">
      <c r="A155" s="30"/>
      <c r="B155" s="30"/>
      <c r="C155" s="30"/>
      <c r="D155" s="30"/>
      <c r="E155" s="30"/>
      <c r="F155" s="30"/>
      <c r="G155" s="30"/>
      <c r="H155" s="30"/>
      <c r="I155" s="30"/>
      <c r="J155" s="30"/>
      <c r="K155"/>
    </row>
    <row r="156" spans="1:11" ht="15">
      <c r="A156" s="30"/>
      <c r="B156" s="30"/>
      <c r="C156" s="30"/>
      <c r="D156" s="30"/>
      <c r="E156" s="30"/>
      <c r="F156" s="30"/>
      <c r="G156" s="30"/>
      <c r="H156" s="30"/>
      <c r="I156" s="30"/>
      <c r="J156" s="30"/>
      <c r="K156"/>
    </row>
    <row r="157" spans="1:11" ht="15">
      <c r="A157" s="30"/>
      <c r="B157" s="30"/>
      <c r="C157" s="30"/>
      <c r="D157" s="30"/>
      <c r="E157" s="30"/>
      <c r="F157" s="30"/>
      <c r="G157" s="30"/>
      <c r="H157" s="30"/>
      <c r="I157" s="30"/>
      <c r="J157" s="30"/>
      <c r="K157"/>
    </row>
    <row r="158" spans="1:11" ht="15">
      <c r="A158" s="30"/>
      <c r="B158" s="30"/>
      <c r="C158" s="30"/>
      <c r="D158" s="30"/>
      <c r="E158" s="30"/>
      <c r="F158" s="30"/>
      <c r="G158" s="30"/>
      <c r="H158" s="30"/>
      <c r="I158" s="30"/>
      <c r="J158" s="30"/>
      <c r="K158"/>
    </row>
    <row r="159" spans="1:11" ht="15">
      <c r="A159" s="30"/>
      <c r="B159" s="30"/>
      <c r="C159" s="30"/>
      <c r="D159" s="30"/>
      <c r="E159" s="30"/>
      <c r="F159" s="30"/>
      <c r="G159" s="30"/>
      <c r="H159" s="30"/>
      <c r="I159" s="30"/>
      <c r="J159" s="30"/>
      <c r="K159"/>
    </row>
    <row r="160" spans="1:11" ht="15">
      <c r="A160" s="30"/>
      <c r="B160" s="30"/>
      <c r="C160" s="30"/>
      <c r="D160" s="30"/>
      <c r="E160" s="30"/>
      <c r="F160" s="30"/>
      <c r="G160" s="30"/>
      <c r="H160" s="30"/>
      <c r="I160" s="30"/>
      <c r="J160" s="30"/>
      <c r="K160"/>
    </row>
    <row r="161" spans="1:11" ht="15">
      <c r="A161" s="30"/>
      <c r="B161" s="30"/>
      <c r="C161" s="30"/>
      <c r="D161" s="30"/>
      <c r="E161" s="30"/>
      <c r="F161" s="30"/>
      <c r="G161" s="30"/>
      <c r="H161" s="30"/>
      <c r="I161" s="30"/>
      <c r="J161" s="30"/>
      <c r="K161"/>
    </row>
    <row r="162" spans="1:11" ht="15">
      <c r="A162" s="30"/>
      <c r="B162" s="30"/>
      <c r="C162" s="30"/>
      <c r="D162" s="30"/>
      <c r="E162" s="30"/>
      <c r="F162" s="30"/>
      <c r="G162" s="30"/>
      <c r="H162" s="30"/>
      <c r="I162" s="30"/>
      <c r="J162" s="30"/>
      <c r="K162"/>
    </row>
    <row r="163" spans="1:11" ht="15">
      <c r="A163" s="30"/>
      <c r="B163" s="30"/>
      <c r="C163" s="30"/>
      <c r="D163" s="30"/>
      <c r="E163" s="30"/>
      <c r="F163" s="30"/>
      <c r="G163" s="30"/>
      <c r="H163" s="30"/>
      <c r="I163" s="30"/>
      <c r="J163" s="30"/>
      <c r="K163"/>
    </row>
    <row r="164" spans="1:11" ht="15">
      <c r="A164" s="30"/>
      <c r="B164" s="30"/>
      <c r="C164" s="30"/>
      <c r="D164" s="30"/>
      <c r="E164" s="30"/>
      <c r="F164" s="30"/>
      <c r="G164" s="30"/>
      <c r="H164" s="30"/>
      <c r="I164" s="30"/>
      <c r="J164" s="30"/>
      <c r="K164"/>
    </row>
    <row r="165" spans="1:11" ht="15">
      <c r="A165" s="30"/>
      <c r="B165" s="30"/>
      <c r="C165" s="30"/>
      <c r="D165" s="30"/>
      <c r="E165" s="30"/>
      <c r="F165" s="30"/>
      <c r="G165" s="30"/>
      <c r="H165" s="30"/>
      <c r="I165" s="30"/>
      <c r="J165" s="30"/>
      <c r="K165"/>
    </row>
    <row r="166" spans="1:11" ht="15">
      <c r="A166" s="30"/>
      <c r="B166" s="30"/>
      <c r="C166" s="30"/>
      <c r="D166" s="30"/>
      <c r="E166" s="30"/>
      <c r="F166" s="30"/>
      <c r="G166" s="30"/>
      <c r="H166" s="30"/>
      <c r="I166" s="30"/>
      <c r="J166" s="30"/>
      <c r="K166"/>
    </row>
    <row r="167" spans="1:11" ht="15">
      <c r="A167" s="30"/>
      <c r="B167" s="30"/>
      <c r="C167" s="30"/>
      <c r="D167" s="30"/>
      <c r="E167" s="30"/>
      <c r="F167" s="30"/>
      <c r="G167" s="30"/>
      <c r="H167" s="30"/>
      <c r="I167" s="30"/>
      <c r="J167" s="30"/>
      <c r="K167"/>
    </row>
    <row r="168" spans="1:11" ht="15">
      <c r="A168" s="30"/>
      <c r="B168" s="30"/>
      <c r="C168" s="30"/>
      <c r="D168" s="30"/>
      <c r="E168" s="30"/>
      <c r="F168" s="30"/>
      <c r="G168" s="30"/>
      <c r="H168" s="30"/>
      <c r="I168" s="30"/>
      <c r="J168" s="30"/>
      <c r="K168"/>
    </row>
    <row r="169" spans="1:11" ht="15">
      <c r="A169" s="30"/>
      <c r="B169" s="30"/>
      <c r="C169" s="30"/>
      <c r="D169" s="30"/>
      <c r="E169" s="30"/>
      <c r="F169" s="30"/>
      <c r="G169" s="30"/>
      <c r="H169" s="30"/>
      <c r="I169" s="30"/>
      <c r="J169" s="30"/>
      <c r="K169"/>
    </row>
    <row r="170" spans="1:11" ht="15">
      <c r="A170" s="30"/>
      <c r="B170" s="30"/>
      <c r="C170" s="30"/>
      <c r="D170" s="30"/>
      <c r="E170" s="30"/>
      <c r="F170" s="30"/>
      <c r="G170" s="30"/>
      <c r="H170" s="30"/>
      <c r="I170" s="30"/>
      <c r="J170" s="30"/>
      <c r="K170"/>
    </row>
    <row r="171" spans="1:11" ht="15">
      <c r="A171" s="30"/>
      <c r="B171" s="30"/>
      <c r="C171" s="30"/>
      <c r="D171" s="30"/>
      <c r="E171" s="30"/>
      <c r="F171" s="30"/>
      <c r="G171" s="30"/>
      <c r="H171" s="30"/>
      <c r="I171" s="30"/>
      <c r="J171" s="30"/>
      <c r="K171"/>
    </row>
    <row r="172" spans="1:11" ht="15">
      <c r="A172" s="30"/>
      <c r="B172" s="30"/>
      <c r="C172" s="30"/>
      <c r="D172" s="30"/>
      <c r="E172" s="30"/>
      <c r="F172" s="30"/>
      <c r="G172" s="30"/>
      <c r="H172" s="30"/>
      <c r="I172" s="30"/>
      <c r="J172" s="30"/>
      <c r="K172"/>
    </row>
    <row r="173" spans="1:11" ht="15">
      <c r="A173" s="30"/>
      <c r="B173" s="30"/>
      <c r="C173" s="30"/>
      <c r="D173" s="30"/>
      <c r="E173" s="30"/>
      <c r="F173" s="30"/>
      <c r="G173" s="30"/>
      <c r="H173" s="30"/>
      <c r="I173" s="30"/>
      <c r="J173" s="30"/>
      <c r="K173"/>
    </row>
    <row r="174" spans="1:11" ht="15">
      <c r="A174" s="30"/>
      <c r="B174" s="30"/>
      <c r="C174" s="30"/>
      <c r="D174" s="30"/>
      <c r="E174" s="30"/>
      <c r="F174" s="30"/>
      <c r="G174" s="30"/>
      <c r="H174" s="30"/>
      <c r="I174" s="30"/>
      <c r="J174" s="30"/>
      <c r="K174"/>
    </row>
    <row r="175" spans="1:11" ht="15">
      <c r="A175" s="30"/>
      <c r="B175" s="30"/>
      <c r="C175" s="30"/>
      <c r="D175" s="30"/>
      <c r="E175" s="30"/>
      <c r="F175" s="30"/>
      <c r="G175" s="30"/>
      <c r="H175" s="30"/>
      <c r="I175" s="30"/>
      <c r="J175" s="30"/>
      <c r="K175"/>
    </row>
    <row r="176" spans="1:11" ht="15">
      <c r="A176" s="30"/>
      <c r="B176" s="30"/>
      <c r="C176" s="30"/>
      <c r="D176" s="30"/>
      <c r="E176" s="30"/>
      <c r="F176" s="30"/>
      <c r="G176" s="30"/>
      <c r="H176" s="30"/>
      <c r="I176" s="30"/>
      <c r="J176" s="30"/>
      <c r="K176"/>
    </row>
    <row r="177" spans="1:11" ht="15">
      <c r="A177" s="30"/>
      <c r="B177" s="30"/>
      <c r="C177" s="30"/>
      <c r="D177" s="30"/>
      <c r="E177" s="30"/>
      <c r="F177" s="30"/>
      <c r="G177" s="30"/>
      <c r="H177" s="30"/>
      <c r="I177" s="30"/>
      <c r="J177" s="30"/>
      <c r="K177"/>
    </row>
    <row r="178" spans="1:11" ht="15">
      <c r="A178" s="30"/>
      <c r="B178" s="30"/>
      <c r="C178" s="30"/>
      <c r="D178" s="30"/>
      <c r="E178" s="30"/>
      <c r="F178" s="30"/>
      <c r="G178" s="30"/>
      <c r="H178" s="30"/>
      <c r="I178" s="30"/>
      <c r="J178" s="30"/>
      <c r="K178"/>
    </row>
    <row r="179" spans="1:11" ht="15">
      <c r="A179" s="30"/>
      <c r="B179" s="30"/>
      <c r="C179" s="30"/>
      <c r="D179" s="30"/>
      <c r="E179" s="30"/>
      <c r="F179" s="30"/>
      <c r="G179" s="30"/>
      <c r="H179" s="30"/>
      <c r="I179" s="30"/>
      <c r="J179" s="30"/>
      <c r="K179"/>
    </row>
    <row r="180" spans="1:11" ht="15">
      <c r="A180" s="30"/>
      <c r="B180" s="30"/>
      <c r="C180" s="30"/>
      <c r="D180" s="30"/>
      <c r="E180" s="30"/>
      <c r="F180" s="30"/>
      <c r="G180" s="30"/>
      <c r="H180" s="30"/>
      <c r="I180" s="30"/>
      <c r="J180" s="30"/>
      <c r="K180"/>
    </row>
    <row r="181" spans="1:11" ht="15">
      <c r="A181" s="30"/>
      <c r="B181" s="30"/>
      <c r="C181" s="30"/>
      <c r="D181" s="30"/>
      <c r="E181" s="30"/>
      <c r="F181" s="30"/>
      <c r="G181" s="30"/>
      <c r="H181" s="30"/>
      <c r="I181" s="30"/>
      <c r="J181" s="30"/>
      <c r="K181"/>
    </row>
    <row r="182" spans="1:11" ht="15">
      <c r="A182" s="30"/>
      <c r="B182" s="30"/>
      <c r="C182" s="30"/>
      <c r="D182" s="30"/>
      <c r="E182" s="30"/>
      <c r="F182" s="30"/>
      <c r="G182" s="30"/>
      <c r="H182" s="30"/>
      <c r="I182" s="30"/>
      <c r="J182" s="30"/>
      <c r="K182"/>
    </row>
    <row r="183" spans="1:11" ht="15">
      <c r="A183" s="30"/>
      <c r="B183" s="30"/>
      <c r="C183" s="30"/>
      <c r="D183" s="30"/>
      <c r="E183" s="30"/>
      <c r="F183" s="30"/>
      <c r="G183" s="30"/>
      <c r="H183" s="30"/>
      <c r="I183" s="30"/>
      <c r="J183" s="30"/>
      <c r="K183"/>
    </row>
    <row r="184" spans="1:11" ht="15">
      <c r="A184" s="30"/>
      <c r="B184" s="30"/>
      <c r="C184" s="30"/>
      <c r="D184" s="30"/>
      <c r="E184" s="30"/>
      <c r="F184" s="30"/>
      <c r="G184" s="30"/>
      <c r="H184" s="30"/>
      <c r="I184" s="30"/>
      <c r="J184" s="30"/>
      <c r="K184"/>
    </row>
    <row r="185" spans="1:11" ht="15">
      <c r="A185" s="30"/>
      <c r="B185" s="30"/>
      <c r="C185" s="30"/>
      <c r="D185" s="30"/>
      <c r="E185" s="30"/>
      <c r="F185" s="30"/>
      <c r="G185" s="30"/>
      <c r="H185" s="30"/>
      <c r="I185" s="30"/>
      <c r="J185" s="30"/>
      <c r="K185"/>
    </row>
    <row r="186" spans="1:11" ht="15">
      <c r="A186" s="30"/>
      <c r="B186" s="30"/>
      <c r="C186" s="30"/>
      <c r="D186" s="30"/>
      <c r="E186" s="30"/>
      <c r="F186" s="30"/>
      <c r="G186" s="30"/>
      <c r="H186" s="30"/>
      <c r="I186" s="30"/>
      <c r="J186" s="30"/>
      <c r="K186"/>
    </row>
    <row r="187" spans="1:11" ht="15">
      <c r="A187" s="30"/>
      <c r="B187" s="30"/>
      <c r="C187" s="30"/>
      <c r="D187" s="30"/>
      <c r="E187" s="30"/>
      <c r="F187" s="30"/>
      <c r="G187" s="30"/>
      <c r="H187" s="30"/>
      <c r="I187" s="30"/>
      <c r="J187" s="30"/>
      <c r="K187"/>
    </row>
    <row r="188" spans="1:11" ht="15">
      <c r="A188" s="30"/>
      <c r="B188" s="30"/>
      <c r="C188" s="30"/>
      <c r="D188" s="30"/>
      <c r="E188" s="30"/>
      <c r="F188" s="30"/>
      <c r="G188" s="30"/>
      <c r="H188" s="30"/>
      <c r="I188" s="30"/>
      <c r="J188" s="30"/>
      <c r="K188"/>
    </row>
    <row r="189" spans="1:11" ht="15">
      <c r="A189" s="30"/>
      <c r="B189" s="30"/>
      <c r="C189" s="30"/>
      <c r="D189" s="30"/>
      <c r="E189" s="30"/>
      <c r="F189" s="30"/>
      <c r="G189" s="30"/>
      <c r="H189" s="30"/>
      <c r="I189" s="30"/>
      <c r="J189" s="30"/>
      <c r="K189"/>
    </row>
    <row r="190" spans="1:11" ht="15">
      <c r="A190" s="30"/>
      <c r="B190" s="30"/>
      <c r="C190" s="30"/>
      <c r="D190" s="30"/>
      <c r="E190" s="30"/>
      <c r="F190" s="30"/>
      <c r="G190" s="30"/>
      <c r="H190" s="30"/>
      <c r="I190" s="30"/>
      <c r="J190" s="30"/>
      <c r="K190"/>
    </row>
    <row r="191" spans="1:11" ht="15">
      <c r="A191" s="30"/>
      <c r="B191" s="30"/>
      <c r="C191" s="30"/>
      <c r="D191" s="30"/>
      <c r="E191" s="30"/>
      <c r="F191" s="30"/>
      <c r="G191" s="30"/>
      <c r="H191" s="30"/>
      <c r="I191" s="30"/>
      <c r="J191" s="30"/>
      <c r="K191"/>
    </row>
    <row r="192" spans="1:11" ht="15">
      <c r="A192" s="30"/>
      <c r="B192" s="30"/>
      <c r="C192" s="30"/>
      <c r="D192" s="30"/>
      <c r="E192" s="30"/>
      <c r="F192" s="30"/>
      <c r="G192" s="30"/>
      <c r="H192" s="30"/>
      <c r="I192" s="30"/>
      <c r="J192" s="30"/>
      <c r="K192"/>
    </row>
    <row r="193" spans="1:11" ht="15">
      <c r="A193" s="30"/>
      <c r="B193" s="30"/>
      <c r="C193" s="30"/>
      <c r="D193" s="30"/>
      <c r="E193" s="30"/>
      <c r="F193" s="30"/>
      <c r="G193" s="30"/>
      <c r="H193" s="30"/>
      <c r="I193" s="30"/>
      <c r="J193" s="30"/>
      <c r="K193"/>
    </row>
    <row r="194" spans="1:11" ht="15">
      <c r="A194" s="30"/>
      <c r="B194" s="30"/>
      <c r="C194" s="30"/>
      <c r="D194" s="30"/>
      <c r="E194" s="30"/>
      <c r="F194" s="30"/>
      <c r="G194" s="30"/>
      <c r="H194" s="30"/>
      <c r="I194" s="30"/>
      <c r="J194" s="30"/>
      <c r="K194"/>
    </row>
    <row r="195" spans="1:11" ht="15">
      <c r="A195" s="30"/>
      <c r="B195" s="30"/>
      <c r="C195" s="30"/>
      <c r="D195" s="30"/>
      <c r="E195" s="30"/>
      <c r="F195" s="30"/>
      <c r="G195" s="30"/>
      <c r="H195" s="30"/>
      <c r="I195" s="30"/>
      <c r="J195" s="30"/>
      <c r="K195"/>
    </row>
    <row r="196" spans="1:11" ht="15">
      <c r="A196" s="30"/>
      <c r="B196" s="30"/>
      <c r="C196" s="30"/>
      <c r="D196" s="30"/>
      <c r="E196" s="30"/>
      <c r="F196" s="30"/>
      <c r="G196" s="30"/>
      <c r="H196" s="30"/>
      <c r="I196" s="30"/>
      <c r="J196" s="30"/>
      <c r="K196"/>
    </row>
    <row r="197" spans="1:11" ht="15">
      <c r="A197" s="30"/>
      <c r="B197" s="30"/>
      <c r="C197" s="30"/>
      <c r="D197" s="30"/>
      <c r="E197" s="30"/>
      <c r="F197" s="30"/>
      <c r="G197" s="30"/>
      <c r="H197" s="30"/>
      <c r="I197" s="30"/>
      <c r="J197" s="30"/>
      <c r="K197"/>
    </row>
    <row r="198" spans="1:11" ht="15">
      <c r="A198" s="30"/>
      <c r="B198" s="30"/>
      <c r="C198" s="30"/>
      <c r="D198" s="30"/>
      <c r="E198" s="30"/>
      <c r="F198" s="30"/>
      <c r="G198" s="30"/>
      <c r="H198" s="30"/>
      <c r="I198" s="30"/>
      <c r="J198" s="30"/>
      <c r="K198"/>
    </row>
    <row r="199" spans="1:11" ht="15">
      <c r="A199" s="30"/>
      <c r="B199" s="30"/>
      <c r="C199" s="30"/>
      <c r="D199" s="30"/>
      <c r="E199" s="30"/>
      <c r="F199" s="30"/>
      <c r="G199" s="30"/>
      <c r="H199" s="30"/>
      <c r="I199" s="30"/>
      <c r="J199" s="30"/>
      <c r="K199"/>
    </row>
    <row r="200" spans="1:11" ht="15">
      <c r="A200" s="30"/>
      <c r="B200" s="30"/>
      <c r="C200" s="30"/>
      <c r="D200" s="30"/>
      <c r="E200" s="30"/>
      <c r="F200" s="30"/>
      <c r="G200" s="30"/>
      <c r="H200" s="30"/>
      <c r="I200" s="30"/>
      <c r="J200" s="30"/>
      <c r="K200"/>
    </row>
    <row r="201" spans="1:11" ht="15">
      <c r="A201" s="30"/>
      <c r="B201" s="30"/>
      <c r="C201" s="30"/>
      <c r="D201" s="30"/>
      <c r="E201" s="30"/>
      <c r="F201" s="30"/>
      <c r="G201" s="30"/>
      <c r="H201" s="30"/>
      <c r="I201" s="30"/>
      <c r="J201" s="30"/>
      <c r="K201"/>
    </row>
    <row r="202" spans="1:11" ht="15">
      <c r="A202" s="30"/>
      <c r="B202" s="30"/>
      <c r="C202" s="30"/>
      <c r="D202" s="30"/>
      <c r="E202" s="30"/>
      <c r="F202" s="30"/>
      <c r="G202" s="30"/>
      <c r="H202" s="30"/>
      <c r="I202" s="30"/>
      <c r="J202" s="30"/>
      <c r="K202"/>
    </row>
    <row r="203" spans="1:11" ht="15">
      <c r="A203" s="30"/>
      <c r="B203" s="30"/>
      <c r="C203" s="30"/>
      <c r="D203" s="30"/>
      <c r="E203" s="30"/>
      <c r="F203" s="30"/>
      <c r="G203" s="30"/>
      <c r="H203" s="30"/>
      <c r="I203" s="30"/>
      <c r="J203" s="30"/>
      <c r="K203"/>
    </row>
    <row r="204" spans="1:11" ht="15">
      <c r="A204" s="30"/>
      <c r="B204" s="30"/>
      <c r="C204" s="30"/>
      <c r="D204" s="30"/>
      <c r="E204" s="30"/>
      <c r="F204" s="30"/>
      <c r="G204" s="30"/>
      <c r="H204" s="30"/>
      <c r="I204" s="30"/>
      <c r="J204" s="30"/>
      <c r="K204"/>
    </row>
    <row r="205" spans="1:11" ht="15">
      <c r="A205" s="30"/>
      <c r="B205" s="30"/>
      <c r="C205" s="30"/>
      <c r="D205" s="30"/>
      <c r="E205" s="30"/>
      <c r="F205" s="30"/>
      <c r="G205" s="30"/>
      <c r="H205" s="30"/>
      <c r="I205" s="30"/>
      <c r="J205" s="30"/>
      <c r="K205"/>
    </row>
    <row r="206" spans="1:11" ht="15">
      <c r="A206" s="30"/>
      <c r="B206" s="30"/>
      <c r="C206" s="30"/>
      <c r="D206" s="30"/>
      <c r="E206" s="30"/>
      <c r="F206" s="30"/>
      <c r="G206" s="30"/>
      <c r="H206" s="30"/>
      <c r="I206" s="30"/>
      <c r="J206" s="30"/>
      <c r="K206"/>
    </row>
    <row r="207" spans="1:11" ht="15">
      <c r="A207" s="30"/>
      <c r="B207" s="30"/>
      <c r="C207" s="30"/>
      <c r="D207" s="30"/>
      <c r="E207" s="30"/>
      <c r="F207" s="30"/>
      <c r="G207" s="30"/>
      <c r="H207" s="30"/>
      <c r="I207" s="30"/>
      <c r="J207" s="30"/>
      <c r="K207"/>
    </row>
    <row r="208" spans="1:11" ht="15">
      <c r="A208" s="30"/>
      <c r="B208" s="30"/>
      <c r="C208" s="30"/>
      <c r="D208" s="30"/>
      <c r="E208" s="30"/>
      <c r="F208" s="30"/>
      <c r="G208" s="30"/>
      <c r="H208" s="30"/>
      <c r="I208" s="30"/>
      <c r="J208" s="30"/>
      <c r="K208"/>
    </row>
    <row r="209" spans="1:11" ht="15">
      <c r="A209" s="30"/>
      <c r="B209" s="30"/>
      <c r="C209" s="30"/>
      <c r="D209" s="30"/>
      <c r="E209" s="30"/>
      <c r="F209" s="30"/>
      <c r="G209" s="30"/>
      <c r="H209" s="30"/>
      <c r="I209" s="30"/>
      <c r="J209" s="30"/>
      <c r="K209"/>
    </row>
    <row r="210" spans="1:11" ht="15">
      <c r="A210" s="30"/>
      <c r="B210" s="30"/>
      <c r="C210" s="30"/>
      <c r="D210" s="30"/>
      <c r="E210" s="30"/>
      <c r="F210" s="30"/>
      <c r="G210" s="30"/>
      <c r="H210" s="30"/>
      <c r="I210" s="30"/>
      <c r="J210" s="30"/>
      <c r="K210"/>
    </row>
    <row r="211" spans="1:11" ht="15">
      <c r="A211" s="30"/>
      <c r="B211" s="30"/>
      <c r="C211" s="30"/>
      <c r="D211" s="30"/>
      <c r="E211" s="30"/>
      <c r="F211" s="30"/>
      <c r="G211" s="30"/>
      <c r="H211" s="30"/>
      <c r="I211" s="30"/>
      <c r="J211" s="30"/>
      <c r="K211"/>
    </row>
    <row r="212" spans="1:11" ht="15">
      <c r="A212" s="30"/>
      <c r="B212" s="30"/>
      <c r="C212" s="30"/>
      <c r="D212" s="30"/>
      <c r="E212" s="30"/>
      <c r="F212" s="30"/>
      <c r="G212" s="30"/>
      <c r="H212" s="30"/>
      <c r="I212" s="30"/>
      <c r="J212" s="30"/>
      <c r="K212"/>
    </row>
    <row r="213" spans="1:11" ht="15">
      <c r="A213" s="30"/>
      <c r="B213" s="30"/>
      <c r="C213" s="30"/>
      <c r="D213" s="30"/>
      <c r="E213" s="30"/>
      <c r="F213" s="30"/>
      <c r="G213" s="30"/>
      <c r="H213" s="30"/>
      <c r="I213" s="30"/>
      <c r="J213" s="30"/>
      <c r="K213"/>
    </row>
    <row r="214" spans="1:11" ht="15">
      <c r="A214" s="30"/>
      <c r="B214" s="30"/>
      <c r="C214" s="30"/>
      <c r="D214" s="30"/>
      <c r="E214" s="30"/>
      <c r="F214" s="30"/>
      <c r="G214" s="30"/>
      <c r="H214" s="30"/>
      <c r="I214" s="30"/>
      <c r="J214" s="30"/>
      <c r="K214"/>
    </row>
    <row r="215" spans="1:11" ht="15">
      <c r="A215" s="30"/>
      <c r="B215" s="30"/>
      <c r="C215" s="30"/>
      <c r="D215" s="30"/>
      <c r="E215" s="30"/>
      <c r="F215" s="30"/>
      <c r="G215" s="30"/>
      <c r="H215" s="30"/>
      <c r="I215" s="30"/>
      <c r="J215" s="30"/>
      <c r="K215"/>
    </row>
    <row r="216" spans="1:11" ht="15">
      <c r="A216" s="30"/>
      <c r="B216" s="30"/>
      <c r="C216" s="30"/>
      <c r="D216" s="30"/>
      <c r="E216" s="30"/>
      <c r="F216" s="30"/>
      <c r="G216" s="30"/>
      <c r="H216" s="30"/>
      <c r="I216" s="30"/>
      <c r="J216" s="30"/>
      <c r="K216"/>
    </row>
    <row r="217" spans="1:11" ht="15">
      <c r="A217" s="30"/>
      <c r="B217" s="30"/>
      <c r="C217" s="30"/>
      <c r="D217" s="30"/>
      <c r="E217" s="30"/>
      <c r="F217" s="30"/>
      <c r="G217" s="30"/>
      <c r="H217" s="30"/>
      <c r="I217" s="30"/>
      <c r="J217" s="30"/>
      <c r="K217"/>
    </row>
    <row r="218" spans="1:11" ht="15">
      <c r="A218" s="30"/>
      <c r="B218" s="30"/>
      <c r="C218" s="30"/>
      <c r="D218" s="30"/>
      <c r="E218" s="30"/>
      <c r="F218" s="30"/>
      <c r="G218" s="30"/>
      <c r="H218" s="30"/>
      <c r="I218" s="30"/>
      <c r="J218" s="30"/>
      <c r="K218"/>
    </row>
    <row r="219" spans="1:11" ht="15">
      <c r="A219" s="30"/>
      <c r="B219" s="30"/>
      <c r="C219" s="30"/>
      <c r="D219" s="30"/>
      <c r="E219" s="30"/>
      <c r="F219" s="30"/>
      <c r="G219" s="30"/>
      <c r="H219" s="30"/>
      <c r="I219" s="30"/>
      <c r="J219" s="30"/>
      <c r="K219"/>
    </row>
    <row r="220" spans="1:11" ht="15">
      <c r="A220" s="30"/>
      <c r="B220" s="30"/>
      <c r="C220" s="30"/>
      <c r="D220" s="30"/>
      <c r="E220" s="30"/>
      <c r="F220" s="30"/>
      <c r="G220" s="30"/>
      <c r="H220" s="30"/>
      <c r="I220" s="30"/>
      <c r="J220" s="30"/>
      <c r="K220"/>
    </row>
    <row r="221" spans="1:11" ht="15">
      <c r="A221" s="30"/>
      <c r="B221" s="30"/>
      <c r="C221" s="30"/>
      <c r="D221" s="30"/>
      <c r="E221" s="30"/>
      <c r="F221" s="30"/>
      <c r="G221" s="30"/>
      <c r="H221" s="30"/>
      <c r="I221" s="30"/>
      <c r="J221" s="30"/>
      <c r="K221"/>
    </row>
    <row r="222" spans="1:11" ht="15">
      <c r="A222" s="30"/>
      <c r="B222" s="30"/>
      <c r="C222" s="30"/>
      <c r="D222" s="30"/>
      <c r="E222" s="30"/>
      <c r="F222" s="30"/>
      <c r="G222" s="30"/>
      <c r="H222" s="30"/>
      <c r="I222" s="30"/>
      <c r="J222" s="30"/>
      <c r="K222"/>
    </row>
    <row r="223" spans="1:11" ht="15">
      <c r="A223" s="30"/>
      <c r="B223" s="30"/>
      <c r="C223" s="30"/>
      <c r="D223" s="30"/>
      <c r="E223" s="30"/>
      <c r="F223" s="30"/>
      <c r="G223" s="30"/>
      <c r="H223" s="30"/>
      <c r="I223" s="30"/>
      <c r="J223" s="30"/>
      <c r="K223"/>
    </row>
    <row r="224" spans="1:11" ht="15">
      <c r="A224" s="30"/>
      <c r="B224" s="30"/>
      <c r="C224" s="30"/>
      <c r="D224" s="30"/>
      <c r="E224" s="30"/>
      <c r="F224" s="30"/>
      <c r="G224" s="30"/>
      <c r="H224" s="30"/>
      <c r="I224" s="30"/>
      <c r="J224" s="30"/>
      <c r="K224"/>
    </row>
    <row r="225" spans="1:11" ht="15">
      <c r="A225" s="30"/>
      <c r="B225" s="30"/>
      <c r="C225" s="30"/>
      <c r="D225" s="30"/>
      <c r="E225" s="30"/>
      <c r="F225" s="30"/>
      <c r="G225" s="30"/>
      <c r="H225" s="30"/>
      <c r="I225" s="30"/>
      <c r="J225" s="30"/>
      <c r="K225"/>
    </row>
    <row r="226" spans="1:11" ht="15">
      <c r="A226" s="30"/>
      <c r="B226" s="30"/>
      <c r="C226" s="30"/>
      <c r="D226" s="30"/>
      <c r="E226" s="30"/>
      <c r="F226" s="30"/>
      <c r="G226" s="30"/>
      <c r="H226" s="30"/>
      <c r="I226" s="30"/>
      <c r="J226" s="30"/>
      <c r="K226"/>
    </row>
    <row r="227" spans="1:11" ht="15">
      <c r="A227" s="30"/>
      <c r="B227" s="30"/>
      <c r="C227" s="30"/>
      <c r="D227" s="30"/>
      <c r="E227" s="30"/>
      <c r="F227" s="30"/>
      <c r="G227" s="30"/>
      <c r="H227" s="30"/>
      <c r="I227" s="30"/>
      <c r="J227" s="30"/>
      <c r="K227"/>
    </row>
    <row r="228" spans="1:11" ht="15">
      <c r="A228" s="30"/>
      <c r="B228" s="30"/>
      <c r="C228" s="30"/>
      <c r="D228" s="30"/>
      <c r="E228" s="30"/>
      <c r="F228" s="30"/>
      <c r="G228" s="30"/>
      <c r="H228" s="30"/>
      <c r="I228" s="30"/>
      <c r="J228" s="30"/>
      <c r="K228"/>
    </row>
    <row r="229" spans="1:11" ht="15">
      <c r="A229" s="30"/>
      <c r="B229" s="30"/>
      <c r="C229" s="30"/>
      <c r="D229" s="30"/>
      <c r="E229" s="30"/>
      <c r="F229" s="30"/>
      <c r="G229" s="30"/>
      <c r="H229" s="30"/>
      <c r="I229" s="30"/>
      <c r="J229" s="30"/>
      <c r="K229"/>
    </row>
    <row r="230" spans="1:11" ht="15">
      <c r="A230" s="30"/>
      <c r="B230" s="30"/>
      <c r="C230" s="30"/>
      <c r="D230" s="30"/>
      <c r="E230" s="30"/>
      <c r="F230" s="30"/>
      <c r="G230" s="30"/>
      <c r="H230" s="30"/>
      <c r="I230" s="30"/>
      <c r="J230" s="30"/>
      <c r="K230"/>
    </row>
    <row r="231" spans="1:11" ht="15">
      <c r="A231" s="30"/>
      <c r="B231" s="30"/>
      <c r="C231" s="30"/>
      <c r="D231" s="30"/>
      <c r="E231" s="30"/>
      <c r="F231" s="30"/>
      <c r="G231" s="30"/>
      <c r="H231" s="30"/>
      <c r="I231" s="30"/>
      <c r="J231" s="30"/>
      <c r="K231"/>
    </row>
    <row r="232" spans="1:11" ht="15">
      <c r="A232" s="30"/>
      <c r="B232" s="30"/>
      <c r="C232" s="30"/>
      <c r="D232" s="30"/>
      <c r="E232" s="30"/>
      <c r="F232" s="30"/>
      <c r="G232" s="30"/>
      <c r="H232" s="30"/>
      <c r="I232" s="30"/>
      <c r="J232" s="30"/>
      <c r="K232"/>
    </row>
    <row r="233" spans="1:11" ht="15">
      <c r="A233" s="30"/>
      <c r="B233" s="30"/>
      <c r="C233" s="30"/>
      <c r="D233" s="30"/>
      <c r="E233" s="30"/>
      <c r="F233" s="30"/>
      <c r="G233" s="30"/>
      <c r="H233" s="30"/>
      <c r="I233" s="30"/>
      <c r="J233" s="30"/>
      <c r="K233"/>
    </row>
    <row r="234" spans="1:11" ht="15">
      <c r="A234" s="30"/>
      <c r="B234" s="30"/>
      <c r="C234" s="30"/>
      <c r="D234" s="30"/>
      <c r="E234" s="30"/>
      <c r="F234" s="30"/>
      <c r="G234" s="30"/>
      <c r="H234" s="30"/>
      <c r="I234" s="30"/>
      <c r="J234" s="30"/>
      <c r="K234"/>
    </row>
    <row r="235" spans="1:11" ht="15">
      <c r="A235" s="30"/>
      <c r="B235" s="30"/>
      <c r="C235" s="30"/>
      <c r="D235" s="30"/>
      <c r="E235" s="30"/>
      <c r="F235" s="30"/>
      <c r="G235" s="30"/>
      <c r="H235" s="30"/>
      <c r="I235" s="30"/>
      <c r="J235" s="30"/>
      <c r="K235"/>
    </row>
    <row r="236" spans="1:11" ht="15">
      <c r="A236" s="30"/>
      <c r="B236" s="30"/>
      <c r="C236" s="30"/>
      <c r="D236" s="30"/>
      <c r="E236" s="30"/>
      <c r="F236" s="30"/>
      <c r="G236" s="30"/>
      <c r="H236" s="30"/>
      <c r="I236" s="30"/>
      <c r="J236" s="30"/>
      <c r="K236"/>
    </row>
    <row r="237" spans="1:11" ht="15">
      <c r="A237" s="30"/>
      <c r="B237" s="30"/>
      <c r="C237" s="30"/>
      <c r="D237" s="30"/>
      <c r="E237" s="30"/>
      <c r="F237" s="30"/>
      <c r="G237" s="30"/>
      <c r="H237" s="30"/>
      <c r="I237" s="30"/>
      <c r="J237" s="30"/>
      <c r="K237"/>
    </row>
    <row r="238" spans="1:11" ht="15">
      <c r="A238" s="30"/>
      <c r="B238" s="30"/>
      <c r="C238" s="30"/>
      <c r="D238" s="30"/>
      <c r="E238" s="30"/>
      <c r="F238" s="30"/>
      <c r="G238" s="30"/>
      <c r="H238" s="30"/>
      <c r="I238" s="30"/>
      <c r="J238" s="30"/>
      <c r="K238"/>
    </row>
    <row r="239" spans="1:11" ht="15">
      <c r="A239" s="30"/>
      <c r="B239" s="30"/>
      <c r="C239" s="30"/>
      <c r="D239" s="30"/>
      <c r="E239" s="30"/>
      <c r="F239" s="30"/>
      <c r="G239" s="30"/>
      <c r="H239" s="30"/>
      <c r="I239" s="30"/>
      <c r="J239" s="30"/>
      <c r="K239"/>
    </row>
    <row r="240" spans="1:11" ht="15">
      <c r="A240" s="30"/>
      <c r="B240" s="30"/>
      <c r="C240" s="30"/>
      <c r="D240" s="30"/>
      <c r="E240" s="30"/>
      <c r="F240" s="30"/>
      <c r="G240" s="30"/>
      <c r="H240" s="30"/>
      <c r="I240" s="30"/>
      <c r="J240" s="30"/>
      <c r="K240"/>
    </row>
    <row r="241" spans="1:11" ht="15">
      <c r="A241" s="30"/>
      <c r="B241" s="30"/>
      <c r="C241" s="30"/>
      <c r="D241" s="30"/>
      <c r="E241" s="30"/>
      <c r="F241" s="30"/>
      <c r="G241" s="30"/>
      <c r="H241" s="30"/>
      <c r="I241" s="30"/>
      <c r="J241" s="30"/>
      <c r="K241"/>
    </row>
    <row r="242" spans="1:11" ht="15">
      <c r="A242" s="30"/>
      <c r="B242" s="30"/>
      <c r="C242" s="30"/>
      <c r="D242" s="30"/>
      <c r="E242" s="30"/>
      <c r="F242" s="30"/>
      <c r="G242" s="30"/>
      <c r="H242" s="30"/>
      <c r="I242" s="30"/>
      <c r="J242" s="30"/>
      <c r="K242"/>
    </row>
    <row r="243" spans="1:11" ht="15">
      <c r="A243" s="30"/>
      <c r="B243" s="30"/>
      <c r="C243" s="30"/>
      <c r="D243" s="30"/>
      <c r="E243" s="30"/>
      <c r="F243" s="30"/>
      <c r="G243" s="30"/>
      <c r="H243" s="30"/>
      <c r="I243" s="30"/>
      <c r="J243" s="30"/>
      <c r="K243"/>
    </row>
    <row r="244" spans="1:11" ht="15">
      <c r="A244" s="30"/>
      <c r="B244" s="30"/>
      <c r="C244" s="30"/>
      <c r="D244" s="30"/>
      <c r="E244" s="30"/>
      <c r="F244" s="30"/>
      <c r="G244" s="30"/>
      <c r="H244" s="30"/>
      <c r="I244" s="30"/>
      <c r="J244" s="30"/>
      <c r="K244"/>
    </row>
    <row r="245" spans="1:11" ht="15">
      <c r="A245" s="30"/>
      <c r="B245" s="30"/>
      <c r="C245" s="30"/>
      <c r="D245" s="30"/>
      <c r="E245" s="30"/>
      <c r="F245" s="30"/>
      <c r="G245" s="30"/>
      <c r="H245" s="30"/>
      <c r="I245" s="30"/>
      <c r="J245" s="30"/>
      <c r="K245"/>
    </row>
    <row r="246" spans="1:11" ht="15">
      <c r="A246" s="30"/>
      <c r="B246" s="30"/>
      <c r="C246" s="30"/>
      <c r="D246" s="30"/>
      <c r="E246" s="30"/>
      <c r="F246" s="30"/>
      <c r="G246" s="30"/>
      <c r="H246" s="30"/>
      <c r="I246" s="30"/>
      <c r="J246" s="30"/>
      <c r="K246"/>
    </row>
    <row r="247" spans="1:11" ht="15">
      <c r="A247" s="30"/>
      <c r="B247" s="30"/>
      <c r="C247" s="30"/>
      <c r="D247" s="30"/>
      <c r="E247" s="30"/>
      <c r="F247" s="30"/>
      <c r="G247" s="30"/>
      <c r="H247" s="30"/>
      <c r="I247" s="30"/>
      <c r="J247" s="30"/>
      <c r="K247"/>
    </row>
    <row r="248" spans="1:11" ht="15">
      <c r="A248" s="30"/>
      <c r="B248" s="30"/>
      <c r="C248" s="30"/>
      <c r="D248" s="30"/>
      <c r="E248" s="30"/>
      <c r="F248" s="30"/>
      <c r="G248" s="30"/>
      <c r="H248" s="30"/>
      <c r="I248" s="30"/>
      <c r="J248" s="30"/>
      <c r="K248"/>
    </row>
    <row r="249" spans="1:11" ht="15">
      <c r="A249" s="30"/>
      <c r="B249" s="30"/>
      <c r="C249" s="30"/>
      <c r="D249" s="30"/>
      <c r="E249" s="30"/>
      <c r="F249" s="30"/>
      <c r="G249" s="30"/>
      <c r="H249" s="30"/>
      <c r="I249" s="30"/>
      <c r="J249" s="30"/>
      <c r="K249"/>
    </row>
    <row r="250" spans="1:11" ht="15">
      <c r="A250" s="30"/>
      <c r="B250" s="30"/>
      <c r="C250" s="30"/>
      <c r="D250" s="30"/>
      <c r="E250" s="30"/>
      <c r="F250" s="30"/>
      <c r="G250" s="30"/>
      <c r="H250" s="30"/>
      <c r="I250" s="30"/>
      <c r="J250" s="30"/>
      <c r="K250"/>
    </row>
    <row r="251" spans="1:11" ht="15">
      <c r="A251" s="30"/>
      <c r="B251" s="30"/>
      <c r="C251" s="30"/>
      <c r="D251" s="30"/>
      <c r="E251" s="30"/>
      <c r="F251" s="30"/>
      <c r="G251" s="30"/>
      <c r="H251" s="30"/>
      <c r="I251" s="30"/>
      <c r="J251" s="30"/>
      <c r="K251"/>
    </row>
    <row r="252" spans="1:11" ht="15">
      <c r="A252" s="30"/>
      <c r="B252" s="30"/>
      <c r="C252" s="30"/>
      <c r="D252" s="30"/>
      <c r="E252" s="30"/>
      <c r="F252" s="30"/>
      <c r="G252" s="30"/>
      <c r="H252" s="30"/>
      <c r="I252" s="30"/>
      <c r="J252" s="30"/>
      <c r="K252"/>
    </row>
    <row r="253" spans="1:11" ht="15">
      <c r="A253" s="30"/>
      <c r="B253" s="30"/>
      <c r="C253" s="30"/>
      <c r="D253" s="30"/>
      <c r="E253" s="30"/>
      <c r="F253" s="30"/>
      <c r="G253" s="30"/>
      <c r="H253" s="30"/>
      <c r="I253" s="30"/>
      <c r="J253" s="30"/>
      <c r="K253"/>
    </row>
    <row r="254" spans="1:11" ht="15">
      <c r="A254" s="30"/>
      <c r="B254" s="30"/>
      <c r="C254" s="30"/>
      <c r="D254" s="30"/>
      <c r="E254" s="30"/>
      <c r="F254" s="30"/>
      <c r="G254" s="30"/>
      <c r="H254" s="30"/>
      <c r="I254" s="30"/>
      <c r="J254" s="30"/>
      <c r="K254"/>
    </row>
    <row r="255" spans="1:11" ht="15">
      <c r="A255" s="30"/>
      <c r="B255" s="30"/>
      <c r="C255" s="30"/>
      <c r="D255" s="30"/>
      <c r="E255" s="30"/>
      <c r="F255" s="30"/>
      <c r="G255" s="30"/>
      <c r="H255" s="30"/>
      <c r="I255" s="30"/>
      <c r="J255" s="30"/>
      <c r="K255"/>
    </row>
    <row r="256" spans="1:11" ht="15">
      <c r="A256" s="30"/>
      <c r="B256" s="30"/>
      <c r="C256" s="30"/>
      <c r="D256" s="30"/>
      <c r="E256" s="30"/>
      <c r="F256" s="30"/>
      <c r="G256" s="30"/>
      <c r="H256" s="30"/>
      <c r="I256" s="30"/>
      <c r="J256" s="30"/>
      <c r="K256"/>
    </row>
    <row r="257" spans="1:11" ht="15">
      <c r="A257" s="30"/>
      <c r="B257" s="30"/>
      <c r="C257" s="30"/>
      <c r="D257" s="30"/>
      <c r="E257" s="30"/>
      <c r="F257" s="30"/>
      <c r="G257" s="30"/>
      <c r="H257" s="30"/>
      <c r="I257" s="30"/>
      <c r="J257" s="30"/>
      <c r="K257"/>
    </row>
    <row r="258" spans="1:11" ht="15">
      <c r="A258" s="30"/>
      <c r="B258" s="30"/>
      <c r="C258" s="30"/>
      <c r="D258" s="30"/>
      <c r="E258" s="30"/>
      <c r="F258" s="30"/>
      <c r="G258" s="30"/>
      <c r="H258" s="30"/>
      <c r="I258" s="30"/>
      <c r="J258" s="30"/>
      <c r="K258"/>
    </row>
    <row r="259" spans="1:11" ht="15">
      <c r="A259" s="30"/>
      <c r="B259" s="30"/>
      <c r="C259" s="30"/>
      <c r="D259" s="30"/>
      <c r="E259" s="30"/>
      <c r="F259" s="30"/>
      <c r="G259" s="30"/>
      <c r="H259" s="30"/>
      <c r="I259" s="30"/>
      <c r="J259" s="30"/>
      <c r="K259"/>
    </row>
    <row r="260" spans="1:11" ht="15">
      <c r="A260" s="30"/>
      <c r="B260" s="30"/>
      <c r="C260" s="30"/>
      <c r="D260" s="30"/>
      <c r="E260" s="30"/>
      <c r="F260" s="30"/>
      <c r="G260" s="30"/>
      <c r="H260" s="30"/>
      <c r="I260" s="30"/>
      <c r="J260" s="30"/>
      <c r="K260"/>
    </row>
    <row r="261" spans="1:11" ht="15">
      <c r="A261" s="30"/>
      <c r="B261" s="30"/>
      <c r="C261" s="30"/>
      <c r="D261" s="30"/>
      <c r="E261" s="30"/>
      <c r="F261" s="30"/>
      <c r="G261" s="30"/>
      <c r="H261" s="30"/>
      <c r="I261" s="30"/>
      <c r="J261" s="30"/>
      <c r="K261"/>
    </row>
    <row r="262" spans="1:11" ht="15">
      <c r="A262" s="30"/>
      <c r="B262" s="30"/>
      <c r="C262" s="30"/>
      <c r="D262" s="30"/>
      <c r="E262" s="30"/>
      <c r="F262" s="30"/>
      <c r="G262" s="30"/>
      <c r="H262" s="30"/>
      <c r="I262" s="30"/>
      <c r="J262" s="30"/>
      <c r="K262"/>
    </row>
    <row r="263" spans="1:11" ht="15">
      <c r="A263" s="30"/>
      <c r="B263" s="30"/>
      <c r="C263" s="30"/>
      <c r="D263" s="30"/>
      <c r="E263" s="30"/>
      <c r="F263" s="30"/>
      <c r="G263" s="30"/>
      <c r="H263" s="30"/>
      <c r="I263" s="30"/>
      <c r="J263" s="30"/>
      <c r="K263"/>
    </row>
    <row r="264" spans="1:11" ht="15">
      <c r="A264" s="30"/>
      <c r="B264" s="30"/>
      <c r="C264" s="30"/>
      <c r="D264" s="30"/>
      <c r="E264" s="30"/>
      <c r="F264" s="30"/>
      <c r="G264" s="30"/>
      <c r="H264" s="30"/>
      <c r="I264" s="30"/>
      <c r="J264" s="30"/>
      <c r="K264"/>
    </row>
    <row r="265" spans="1:11" ht="15">
      <c r="A265" s="30"/>
      <c r="B265" s="30"/>
      <c r="C265" s="30"/>
      <c r="D265" s="30"/>
      <c r="E265" s="30"/>
      <c r="F265" s="30"/>
      <c r="G265" s="30"/>
      <c r="H265" s="30"/>
      <c r="I265" s="30"/>
      <c r="J265" s="30"/>
      <c r="K265"/>
    </row>
    <row r="266" spans="1:11" ht="15">
      <c r="A266" s="30"/>
      <c r="B266" s="30"/>
      <c r="C266" s="30"/>
      <c r="D266" s="30"/>
      <c r="E266" s="30"/>
      <c r="F266" s="30"/>
      <c r="G266" s="30"/>
      <c r="H266" s="30"/>
      <c r="I266" s="30"/>
      <c r="J266" s="30"/>
      <c r="K266"/>
    </row>
    <row r="267" spans="1:11" ht="15">
      <c r="A267" s="30"/>
      <c r="B267" s="30"/>
      <c r="C267" s="30"/>
      <c r="D267" s="30"/>
      <c r="E267" s="30"/>
      <c r="F267" s="30"/>
      <c r="G267" s="30"/>
      <c r="H267" s="30"/>
      <c r="I267" s="30"/>
      <c r="J267" s="30"/>
      <c r="K267"/>
    </row>
    <row r="268" spans="1:11" ht="15">
      <c r="A268" s="30"/>
      <c r="B268" s="30"/>
      <c r="C268" s="30"/>
      <c r="D268" s="30"/>
      <c r="E268" s="30"/>
      <c r="F268" s="30"/>
      <c r="G268" s="30"/>
      <c r="H268" s="30"/>
      <c r="I268" s="30"/>
      <c r="J268" s="30"/>
      <c r="K268"/>
    </row>
    <row r="269" spans="1:11" ht="15">
      <c r="A269" s="30"/>
      <c r="B269" s="30"/>
      <c r="C269" s="30"/>
      <c r="D269" s="30"/>
      <c r="E269" s="30"/>
      <c r="F269" s="30"/>
      <c r="G269" s="30"/>
      <c r="H269" s="30"/>
      <c r="I269" s="30"/>
      <c r="J269" s="30"/>
      <c r="K269"/>
    </row>
    <row r="270" spans="1:11" ht="15">
      <c r="A270" s="30"/>
      <c r="B270" s="30"/>
      <c r="C270" s="30"/>
      <c r="D270" s="30"/>
      <c r="E270" s="30"/>
      <c r="F270" s="30"/>
      <c r="G270" s="30"/>
      <c r="H270" s="30"/>
      <c r="I270" s="30"/>
      <c r="J270" s="30"/>
      <c r="K270"/>
    </row>
    <row r="271" spans="1:11" ht="15">
      <c r="A271" s="30"/>
      <c r="B271" s="30"/>
      <c r="C271" s="30"/>
      <c r="D271" s="30"/>
      <c r="E271" s="30"/>
      <c r="F271" s="30"/>
      <c r="G271" s="30"/>
      <c r="H271" s="30"/>
      <c r="I271" s="30"/>
      <c r="J271" s="30"/>
      <c r="K271"/>
    </row>
    <row r="272" spans="1:11" ht="15">
      <c r="A272" s="30"/>
      <c r="B272" s="30"/>
      <c r="C272" s="30"/>
      <c r="D272" s="30"/>
      <c r="E272" s="30"/>
      <c r="F272" s="30"/>
      <c r="G272" s="30"/>
      <c r="H272" s="30"/>
      <c r="I272" s="30"/>
      <c r="J272" s="30"/>
      <c r="K272"/>
    </row>
    <row r="273" spans="1:11" ht="15">
      <c r="A273" s="30"/>
      <c r="B273" s="30"/>
      <c r="C273" s="30"/>
      <c r="D273" s="30"/>
      <c r="E273" s="30"/>
      <c r="F273" s="30"/>
      <c r="G273" s="30"/>
      <c r="H273" s="30"/>
      <c r="I273" s="30"/>
      <c r="J273" s="30"/>
      <c r="K273"/>
    </row>
    <row r="274" spans="1:11" ht="15">
      <c r="A274" s="30"/>
      <c r="B274" s="30"/>
      <c r="C274" s="30"/>
      <c r="D274" s="30"/>
      <c r="E274" s="30"/>
      <c r="F274" s="30"/>
      <c r="G274" s="30"/>
      <c r="H274" s="30"/>
      <c r="I274" s="30"/>
      <c r="J274" s="30"/>
      <c r="K274"/>
    </row>
    <row r="275" spans="1:11" ht="15">
      <c r="A275" s="30"/>
      <c r="B275" s="30"/>
      <c r="C275" s="30"/>
      <c r="D275" s="30"/>
      <c r="E275" s="30"/>
      <c r="F275" s="30"/>
      <c r="G275" s="30"/>
      <c r="H275" s="30"/>
      <c r="I275" s="30"/>
      <c r="J275" s="30"/>
      <c r="K275"/>
    </row>
    <row r="276" spans="1:11" ht="15">
      <c r="A276" s="30"/>
      <c r="B276" s="30"/>
      <c r="C276" s="30"/>
      <c r="D276" s="30"/>
      <c r="E276" s="30"/>
      <c r="F276" s="30"/>
      <c r="G276" s="30"/>
      <c r="H276" s="30"/>
      <c r="I276" s="30"/>
      <c r="J276" s="30"/>
      <c r="K276"/>
    </row>
    <row r="277" spans="1:11" ht="15">
      <c r="A277" s="30"/>
      <c r="B277" s="30"/>
      <c r="C277" s="30"/>
      <c r="D277" s="30"/>
      <c r="E277" s="30"/>
      <c r="F277" s="30"/>
      <c r="G277" s="30"/>
      <c r="H277" s="30"/>
      <c r="I277" s="30"/>
      <c r="J277" s="30"/>
      <c r="K277"/>
    </row>
    <row r="278" spans="1:11" ht="15">
      <c r="A278" s="30"/>
      <c r="B278" s="30"/>
      <c r="C278" s="30"/>
      <c r="D278" s="30"/>
      <c r="E278" s="30"/>
      <c r="F278" s="30"/>
      <c r="G278" s="30"/>
      <c r="H278" s="30"/>
      <c r="I278" s="30"/>
      <c r="J278" s="30"/>
      <c r="K278"/>
    </row>
    <row r="279" spans="1:11" ht="15">
      <c r="A279" s="30"/>
      <c r="B279" s="30"/>
      <c r="C279" s="30"/>
      <c r="D279" s="30"/>
      <c r="E279" s="30"/>
      <c r="F279" s="30"/>
      <c r="G279" s="30"/>
      <c r="H279" s="30"/>
      <c r="I279" s="30"/>
      <c r="J279" s="30"/>
      <c r="K279"/>
    </row>
    <row r="280" spans="1:11" ht="15">
      <c r="A280" s="30"/>
      <c r="B280" s="30"/>
      <c r="C280" s="30"/>
      <c r="D280" s="30"/>
      <c r="E280" s="30"/>
      <c r="F280" s="30"/>
      <c r="G280" s="30"/>
      <c r="H280" s="30"/>
      <c r="I280" s="30"/>
      <c r="J280" s="30"/>
      <c r="K280"/>
    </row>
    <row r="281" spans="1:11" ht="15">
      <c r="A281" s="30"/>
      <c r="B281" s="30"/>
      <c r="C281" s="30"/>
      <c r="D281" s="30"/>
      <c r="E281" s="30"/>
      <c r="F281" s="30"/>
      <c r="G281" s="30"/>
      <c r="H281" s="30"/>
      <c r="I281" s="30"/>
      <c r="J281" s="30"/>
      <c r="K281"/>
    </row>
    <row r="282" spans="1:11" ht="15">
      <c r="A282" s="30"/>
      <c r="B282" s="30"/>
      <c r="C282" s="30"/>
      <c r="D282" s="30"/>
      <c r="E282" s="30"/>
      <c r="F282" s="30"/>
      <c r="G282" s="30"/>
      <c r="H282" s="30"/>
      <c r="I282" s="30"/>
      <c r="J282" s="30"/>
      <c r="K282"/>
    </row>
    <row r="283" spans="1:11" ht="15">
      <c r="A283" s="30"/>
      <c r="B283" s="30"/>
      <c r="C283" s="30"/>
      <c r="D283" s="30"/>
      <c r="E283" s="30"/>
      <c r="F283" s="30"/>
      <c r="G283" s="30"/>
      <c r="H283" s="30"/>
      <c r="I283" s="30"/>
      <c r="J283" s="30"/>
      <c r="K283"/>
    </row>
    <row r="284" spans="1:11" ht="15">
      <c r="A284" s="30"/>
      <c r="B284" s="30"/>
      <c r="C284" s="30"/>
      <c r="D284" s="30"/>
      <c r="E284" s="30"/>
      <c r="F284" s="30"/>
      <c r="G284" s="30"/>
      <c r="H284" s="30"/>
      <c r="I284" s="30"/>
      <c r="J284" s="30"/>
      <c r="K284"/>
    </row>
    <row r="285" spans="1:11" ht="15">
      <c r="A285" s="30"/>
      <c r="B285" s="30"/>
      <c r="C285" s="30"/>
      <c r="D285" s="30"/>
      <c r="E285" s="30"/>
      <c r="F285" s="30"/>
      <c r="G285" s="30"/>
      <c r="H285" s="30"/>
      <c r="I285" s="30"/>
      <c r="J285" s="30"/>
      <c r="K285"/>
    </row>
    <row r="286" spans="1:11" ht="15">
      <c r="A286" s="30"/>
      <c r="B286" s="30"/>
      <c r="C286" s="30"/>
      <c r="D286" s="30"/>
      <c r="E286" s="30"/>
      <c r="F286" s="30"/>
      <c r="G286" s="30"/>
      <c r="H286" s="30"/>
      <c r="I286" s="30"/>
      <c r="J286" s="30"/>
      <c r="K286"/>
    </row>
    <row r="287" spans="1:11" ht="15">
      <c r="A287" s="30"/>
      <c r="B287" s="30"/>
      <c r="C287" s="30"/>
      <c r="D287" s="30"/>
      <c r="E287" s="30"/>
      <c r="F287" s="30"/>
      <c r="G287" s="30"/>
      <c r="H287" s="30"/>
      <c r="I287" s="30"/>
      <c r="J287" s="30"/>
      <c r="K287"/>
    </row>
    <row r="288" spans="1:11" ht="15">
      <c r="A288" s="30"/>
      <c r="B288" s="30"/>
      <c r="C288" s="30"/>
      <c r="D288" s="30"/>
      <c r="E288" s="30"/>
      <c r="F288" s="30"/>
      <c r="G288" s="30"/>
      <c r="H288" s="30"/>
      <c r="I288" s="30"/>
      <c r="J288" s="30"/>
      <c r="K288"/>
    </row>
    <row r="289" spans="1:11" ht="15">
      <c r="A289" s="30"/>
      <c r="B289" s="30"/>
      <c r="C289" s="30"/>
      <c r="D289" s="30"/>
      <c r="E289" s="30"/>
      <c r="F289" s="30"/>
      <c r="G289" s="30"/>
      <c r="H289" s="30"/>
      <c r="I289" s="30"/>
      <c r="J289" s="30"/>
      <c r="K289"/>
    </row>
    <row r="290" spans="1:11" ht="15">
      <c r="A290" s="30"/>
      <c r="B290" s="30"/>
      <c r="C290" s="30"/>
      <c r="D290" s="30"/>
      <c r="E290" s="30"/>
      <c r="F290" s="30"/>
      <c r="G290" s="30"/>
      <c r="H290" s="30"/>
      <c r="I290" s="30"/>
      <c r="J290" s="30"/>
      <c r="K290"/>
    </row>
    <row r="291" spans="1:11" ht="15">
      <c r="A291" s="30"/>
      <c r="B291" s="30"/>
      <c r="C291" s="30"/>
      <c r="D291" s="30"/>
      <c r="E291" s="30"/>
      <c r="F291" s="30"/>
      <c r="G291" s="30"/>
      <c r="H291" s="30"/>
      <c r="I291" s="30"/>
      <c r="J291" s="30"/>
      <c r="K291"/>
    </row>
    <row r="292" spans="1:11" ht="15">
      <c r="A292" s="30"/>
      <c r="B292" s="30"/>
      <c r="C292" s="30"/>
      <c r="D292" s="30"/>
      <c r="E292" s="30"/>
      <c r="F292" s="30"/>
      <c r="G292" s="30"/>
      <c r="H292" s="30"/>
      <c r="I292" s="30"/>
      <c r="J292" s="30"/>
      <c r="K292"/>
    </row>
    <row r="293" spans="1:11" ht="15">
      <c r="A293" s="30"/>
      <c r="B293" s="30"/>
      <c r="C293" s="30"/>
      <c r="D293" s="30"/>
      <c r="E293" s="30"/>
      <c r="F293" s="30"/>
      <c r="G293" s="30"/>
      <c r="H293" s="30"/>
      <c r="I293" s="30"/>
      <c r="J293" s="30"/>
      <c r="K293"/>
    </row>
    <row r="294" spans="1:11" ht="15">
      <c r="A294" s="30"/>
      <c r="B294" s="30"/>
      <c r="C294" s="30"/>
      <c r="D294" s="30"/>
      <c r="E294" s="30"/>
      <c r="F294" s="30"/>
      <c r="G294" s="30"/>
      <c r="H294" s="30"/>
      <c r="I294" s="30"/>
      <c r="J294" s="30"/>
      <c r="K294"/>
    </row>
    <row r="295" spans="1:11" ht="15">
      <c r="A295" s="30"/>
      <c r="B295" s="30"/>
      <c r="C295" s="30"/>
      <c r="D295" s="30"/>
      <c r="E295" s="30"/>
      <c r="F295" s="30"/>
      <c r="G295" s="30"/>
      <c r="H295" s="30"/>
      <c r="I295" s="30"/>
      <c r="J295" s="30"/>
      <c r="K295"/>
    </row>
    <row r="296" spans="1:11" ht="15">
      <c r="A296" s="30"/>
      <c r="B296" s="30"/>
      <c r="C296" s="30"/>
      <c r="D296" s="30"/>
      <c r="E296" s="30"/>
      <c r="F296" s="30"/>
      <c r="G296" s="30"/>
      <c r="H296" s="30"/>
      <c r="I296" s="30"/>
      <c r="J296" s="30"/>
      <c r="K296"/>
    </row>
    <row r="297" spans="1:11" ht="15">
      <c r="A297" s="30"/>
      <c r="B297" s="30"/>
      <c r="C297" s="30"/>
      <c r="D297" s="30"/>
      <c r="E297" s="30"/>
      <c r="F297" s="30"/>
      <c r="G297" s="30"/>
      <c r="H297" s="30"/>
      <c r="I297" s="30"/>
      <c r="J297" s="30"/>
      <c r="K297"/>
    </row>
    <row r="298" spans="1:11" ht="15">
      <c r="A298" s="30"/>
      <c r="B298" s="30"/>
      <c r="C298" s="30"/>
      <c r="D298" s="30"/>
      <c r="E298" s="30"/>
      <c r="F298" s="30"/>
      <c r="G298" s="30"/>
      <c r="H298" s="30"/>
      <c r="I298" s="30"/>
      <c r="J298" s="30"/>
      <c r="K298"/>
    </row>
    <row r="299" spans="1:11" ht="15">
      <c r="A299" s="30"/>
      <c r="B299" s="30"/>
      <c r="C299" s="30"/>
      <c r="D299" s="30"/>
      <c r="E299" s="30"/>
      <c r="F299" s="30"/>
      <c r="G299" s="30"/>
      <c r="H299" s="30"/>
      <c r="I299" s="30"/>
      <c r="J299" s="30"/>
      <c r="K299"/>
    </row>
    <row r="300" spans="1:11" ht="15">
      <c r="A300" s="30"/>
      <c r="B300" s="30"/>
      <c r="C300" s="30"/>
      <c r="D300" s="30"/>
      <c r="E300" s="30"/>
      <c r="F300" s="30"/>
      <c r="G300" s="30"/>
      <c r="H300" s="30"/>
      <c r="I300" s="30"/>
      <c r="J300" s="30"/>
      <c r="K300"/>
    </row>
    <row r="301" spans="1:11" ht="15">
      <c r="A301" s="30"/>
      <c r="B301" s="30"/>
      <c r="C301" s="30"/>
      <c r="D301" s="30"/>
      <c r="E301" s="30"/>
      <c r="F301" s="30"/>
      <c r="G301" s="30"/>
      <c r="H301" s="30"/>
      <c r="I301" s="30"/>
      <c r="J301" s="30"/>
      <c r="K301"/>
    </row>
    <row r="302" spans="1:11" ht="15">
      <c r="A302" s="30"/>
      <c r="B302" s="30"/>
      <c r="C302" s="30"/>
      <c r="D302" s="30"/>
      <c r="E302" s="30"/>
      <c r="F302" s="30"/>
      <c r="G302" s="30"/>
      <c r="H302" s="30"/>
      <c r="I302" s="30"/>
      <c r="J302" s="30"/>
      <c r="K302"/>
    </row>
    <row r="303" spans="1:11" ht="15">
      <c r="A303" s="30"/>
      <c r="B303" s="30"/>
      <c r="C303" s="30"/>
      <c r="D303" s="30"/>
      <c r="E303" s="30"/>
      <c r="F303" s="30"/>
      <c r="G303" s="30"/>
      <c r="H303" s="30"/>
      <c r="I303" s="30"/>
      <c r="J303" s="30"/>
      <c r="K303"/>
    </row>
    <row r="304" spans="1:11" ht="15">
      <c r="A304" s="30"/>
      <c r="B304" s="30"/>
      <c r="C304" s="30"/>
      <c r="D304" s="30"/>
      <c r="E304" s="30"/>
      <c r="F304" s="30"/>
      <c r="G304" s="30"/>
      <c r="H304" s="30"/>
      <c r="I304" s="30"/>
      <c r="J304" s="30"/>
      <c r="K304"/>
    </row>
    <row r="305" spans="1:11" ht="15">
      <c r="A305" s="30"/>
      <c r="B305" s="30"/>
      <c r="C305" s="30"/>
      <c r="D305" s="30"/>
      <c r="E305" s="30"/>
      <c r="F305" s="30"/>
      <c r="G305" s="30"/>
      <c r="H305" s="30"/>
      <c r="I305" s="30"/>
      <c r="J305" s="30"/>
      <c r="K305"/>
    </row>
    <row r="306" spans="1:11" ht="15">
      <c r="A306" s="30"/>
      <c r="B306" s="30"/>
      <c r="C306" s="30"/>
      <c r="D306" s="30"/>
      <c r="E306" s="30"/>
      <c r="F306" s="30"/>
      <c r="G306" s="30"/>
      <c r="H306" s="30"/>
      <c r="I306" s="30"/>
      <c r="J306" s="30"/>
      <c r="K306"/>
    </row>
    <row r="307" spans="1:11" ht="15">
      <c r="A307" s="30"/>
      <c r="B307" s="30"/>
      <c r="C307" s="30"/>
      <c r="D307" s="30"/>
      <c r="E307" s="30"/>
      <c r="F307" s="30"/>
      <c r="G307" s="30"/>
      <c r="H307" s="30"/>
      <c r="I307" s="30"/>
      <c r="J307" s="30"/>
      <c r="K307"/>
    </row>
    <row r="308" spans="1:11" ht="15">
      <c r="A308" s="30"/>
      <c r="B308" s="30"/>
      <c r="C308" s="30"/>
      <c r="D308" s="30"/>
      <c r="E308" s="30"/>
      <c r="F308" s="30"/>
      <c r="G308" s="30"/>
      <c r="H308" s="30"/>
      <c r="I308" s="30"/>
      <c r="J308" s="30"/>
      <c r="K308"/>
    </row>
    <row r="309" spans="1:11" ht="15">
      <c r="A309" s="30"/>
      <c r="B309" s="30"/>
      <c r="C309" s="30"/>
      <c r="D309" s="30"/>
      <c r="E309" s="30"/>
      <c r="F309" s="30"/>
      <c r="G309" s="30"/>
      <c r="H309" s="30"/>
      <c r="I309" s="30"/>
      <c r="J309" s="30"/>
      <c r="K309"/>
    </row>
    <row r="310" spans="1:11" ht="15">
      <c r="A310" s="30"/>
      <c r="B310" s="30"/>
      <c r="C310" s="30"/>
      <c r="D310" s="30"/>
      <c r="E310" s="30"/>
      <c r="F310" s="30"/>
      <c r="G310" s="30"/>
      <c r="H310" s="30"/>
      <c r="I310" s="30"/>
      <c r="J310" s="30"/>
      <c r="K310"/>
    </row>
    <row r="311" spans="1:11" ht="15">
      <c r="A311" s="30"/>
      <c r="B311" s="30"/>
      <c r="C311" s="30"/>
      <c r="D311" s="30"/>
      <c r="E311" s="30"/>
      <c r="F311" s="30"/>
      <c r="G311" s="30"/>
      <c r="H311" s="30"/>
      <c r="I311" s="30"/>
      <c r="J311" s="30"/>
      <c r="K311"/>
    </row>
    <row r="312" spans="1:11" ht="15">
      <c r="A312" s="30"/>
      <c r="B312" s="30"/>
      <c r="C312" s="30"/>
      <c r="D312" s="30"/>
      <c r="E312" s="30"/>
      <c r="F312" s="30"/>
      <c r="G312" s="30"/>
      <c r="H312" s="30"/>
      <c r="I312" s="30"/>
      <c r="J312" s="30"/>
      <c r="K312"/>
    </row>
    <row r="313" spans="1:11" ht="15">
      <c r="A313" s="30"/>
      <c r="B313" s="30"/>
      <c r="C313" s="30"/>
      <c r="D313" s="30"/>
      <c r="E313" s="30"/>
      <c r="F313" s="30"/>
      <c r="G313" s="30"/>
      <c r="H313" s="30"/>
      <c r="I313" s="30"/>
      <c r="J313" s="30"/>
      <c r="K313"/>
    </row>
    <row r="314" spans="1:11" ht="15">
      <c r="A314" s="30"/>
      <c r="B314" s="30"/>
      <c r="C314" s="30"/>
      <c r="D314" s="30"/>
      <c r="E314" s="30"/>
      <c r="F314" s="30"/>
      <c r="G314" s="30"/>
      <c r="H314" s="30"/>
      <c r="I314" s="30"/>
      <c r="J314" s="30"/>
      <c r="K314"/>
    </row>
    <row r="315" spans="1:11" ht="15">
      <c r="A315" s="30"/>
      <c r="B315" s="30"/>
      <c r="C315" s="30"/>
      <c r="D315" s="30"/>
      <c r="E315" s="30"/>
      <c r="F315" s="30"/>
      <c r="G315" s="30"/>
      <c r="H315" s="30"/>
      <c r="I315" s="30"/>
      <c r="J315" s="30"/>
      <c r="K315"/>
    </row>
    <row r="316" spans="1:11" ht="15">
      <c r="A316" s="30"/>
      <c r="B316" s="30"/>
      <c r="C316" s="30"/>
      <c r="D316" s="30"/>
      <c r="E316" s="30"/>
      <c r="F316" s="30"/>
      <c r="G316" s="30"/>
      <c r="H316" s="30"/>
      <c r="I316" s="30"/>
      <c r="J316" s="30"/>
      <c r="K316"/>
    </row>
    <row r="317" spans="1:11" ht="15">
      <c r="A317" s="30"/>
      <c r="B317" s="30"/>
      <c r="C317" s="30"/>
      <c r="D317" s="30"/>
      <c r="E317" s="30"/>
      <c r="F317" s="30"/>
      <c r="G317" s="30"/>
      <c r="H317" s="30"/>
      <c r="I317" s="30"/>
      <c r="J317" s="30"/>
      <c r="K317"/>
    </row>
    <row r="318" spans="1:11" ht="15">
      <c r="A318" s="30"/>
      <c r="B318" s="30"/>
      <c r="C318" s="30"/>
      <c r="D318" s="30"/>
      <c r="E318" s="30"/>
      <c r="F318" s="30"/>
      <c r="G318" s="30"/>
      <c r="H318" s="30"/>
      <c r="I318" s="30"/>
      <c r="J318" s="30"/>
      <c r="K318"/>
    </row>
    <row r="319" spans="1:11" ht="15">
      <c r="A319" s="30"/>
      <c r="B319" s="30"/>
      <c r="C319" s="30"/>
      <c r="D319" s="30"/>
      <c r="E319" s="30"/>
      <c r="F319" s="30"/>
      <c r="G319" s="30"/>
      <c r="H319" s="30"/>
      <c r="I319" s="30"/>
      <c r="J319" s="30"/>
      <c r="K319"/>
    </row>
    <row r="320" spans="1:11" ht="15">
      <c r="A320" s="30"/>
      <c r="B320" s="30"/>
      <c r="C320" s="30"/>
      <c r="D320" s="30"/>
      <c r="E320" s="30"/>
      <c r="F320" s="30"/>
      <c r="G320" s="30"/>
      <c r="H320" s="30"/>
      <c r="I320" s="30"/>
      <c r="J320" s="30"/>
      <c r="K320"/>
    </row>
    <row r="321" spans="1:11" ht="15">
      <c r="A321" s="30"/>
      <c r="B321" s="30"/>
      <c r="C321" s="30"/>
      <c r="D321" s="30"/>
      <c r="E321" s="30"/>
      <c r="F321" s="30"/>
      <c r="G321" s="30"/>
      <c r="H321" s="30"/>
      <c r="I321" s="30"/>
      <c r="J321" s="30"/>
      <c r="K321"/>
    </row>
    <row r="322" spans="1:11" ht="15">
      <c r="A322" s="30"/>
      <c r="B322" s="30"/>
      <c r="C322" s="30"/>
      <c r="D322" s="30"/>
      <c r="E322" s="30"/>
      <c r="F322" s="30"/>
      <c r="G322" s="30"/>
      <c r="H322" s="30"/>
      <c r="I322" s="30"/>
      <c r="J322" s="30"/>
      <c r="K322"/>
    </row>
    <row r="323" spans="1:11" ht="15">
      <c r="A323" s="30"/>
      <c r="B323" s="30"/>
      <c r="C323" s="30"/>
      <c r="D323" s="30"/>
      <c r="E323" s="30"/>
      <c r="F323" s="30"/>
      <c r="G323" s="30"/>
      <c r="H323" s="30"/>
      <c r="I323" s="30"/>
      <c r="J323" s="30"/>
      <c r="K323"/>
    </row>
    <row r="324" spans="1:11" ht="15">
      <c r="A324" s="30"/>
      <c r="B324" s="30"/>
      <c r="C324" s="30"/>
      <c r="D324" s="30"/>
      <c r="E324" s="30"/>
      <c r="F324" s="30"/>
      <c r="G324" s="30"/>
      <c r="H324" s="30"/>
      <c r="I324" s="30"/>
      <c r="J324" s="30"/>
      <c r="K324"/>
    </row>
    <row r="325" spans="1:11" ht="15">
      <c r="A325" s="30"/>
      <c r="B325" s="30"/>
      <c r="C325" s="30"/>
      <c r="D325" s="30"/>
      <c r="E325" s="30"/>
      <c r="F325" s="30"/>
      <c r="G325" s="30"/>
      <c r="H325" s="30"/>
      <c r="I325" s="30"/>
      <c r="J325" s="30"/>
      <c r="K325"/>
    </row>
    <row r="326" spans="1:11" ht="15">
      <c r="A326" s="30"/>
      <c r="B326" s="30"/>
      <c r="C326" s="30"/>
      <c r="D326" s="30"/>
      <c r="E326" s="30"/>
      <c r="F326" s="30"/>
      <c r="G326" s="30"/>
      <c r="H326" s="30"/>
      <c r="I326" s="30"/>
      <c r="J326" s="30"/>
      <c r="K326"/>
    </row>
    <row r="327" spans="1:11" ht="15">
      <c r="A327" s="30"/>
      <c r="B327" s="30"/>
      <c r="C327" s="30"/>
      <c r="D327" s="30"/>
      <c r="E327" s="30"/>
      <c r="F327" s="30"/>
      <c r="G327" s="30"/>
      <c r="H327" s="30"/>
      <c r="I327" s="30"/>
      <c r="J327" s="30"/>
      <c r="K327"/>
    </row>
    <row r="328" spans="1:11" ht="15">
      <c r="A328" s="30"/>
      <c r="B328" s="30"/>
      <c r="C328" s="30"/>
      <c r="D328" s="30"/>
      <c r="E328" s="30"/>
      <c r="F328" s="30"/>
      <c r="G328" s="30"/>
      <c r="H328" s="30"/>
      <c r="I328" s="30"/>
      <c r="J328" s="30"/>
      <c r="K328"/>
    </row>
    <row r="329" spans="1:11" ht="15">
      <c r="A329" s="30"/>
      <c r="B329" s="30"/>
      <c r="C329" s="30"/>
      <c r="D329" s="30"/>
      <c r="E329" s="30"/>
      <c r="F329" s="30"/>
      <c r="G329" s="30"/>
      <c r="H329" s="30"/>
      <c r="I329" s="30"/>
      <c r="J329" s="30"/>
      <c r="K329"/>
    </row>
    <row r="330" spans="1:11" ht="15">
      <c r="A330" s="30"/>
      <c r="B330" s="30"/>
      <c r="C330" s="30"/>
      <c r="D330" s="30"/>
      <c r="E330" s="30"/>
      <c r="F330" s="30"/>
      <c r="G330" s="30"/>
      <c r="H330" s="30"/>
      <c r="I330" s="30"/>
      <c r="J330" s="30"/>
      <c r="K330"/>
    </row>
    <row r="331" spans="1:11" ht="15">
      <c r="A331" s="30"/>
      <c r="B331" s="30"/>
      <c r="C331" s="30"/>
      <c r="D331" s="30"/>
      <c r="E331" s="30"/>
      <c r="F331" s="30"/>
      <c r="G331" s="30"/>
      <c r="H331" s="30"/>
      <c r="I331" s="30"/>
      <c r="J331" s="30"/>
      <c r="K331"/>
    </row>
    <row r="332" spans="1:11" ht="15">
      <c r="A332" s="30"/>
      <c r="B332" s="30"/>
      <c r="C332" s="30"/>
      <c r="D332" s="30"/>
      <c r="E332" s="30"/>
      <c r="F332" s="30"/>
      <c r="G332" s="30"/>
      <c r="H332" s="30"/>
      <c r="I332" s="30"/>
      <c r="J332" s="30"/>
      <c r="K332"/>
    </row>
    <row r="333" spans="1:11" ht="15">
      <c r="A333" s="30"/>
      <c r="B333" s="30"/>
      <c r="C333" s="30"/>
      <c r="D333" s="30"/>
      <c r="E333" s="30"/>
      <c r="F333" s="30"/>
      <c r="G333" s="30"/>
      <c r="H333" s="30"/>
      <c r="I333" s="30"/>
      <c r="J333" s="30"/>
      <c r="K333"/>
    </row>
    <row r="334" spans="1:11" ht="15">
      <c r="A334" s="30"/>
      <c r="B334" s="30"/>
      <c r="C334" s="30"/>
      <c r="D334" s="30"/>
      <c r="E334" s="30"/>
      <c r="F334" s="30"/>
      <c r="G334" s="30"/>
      <c r="H334" s="30"/>
      <c r="I334" s="30"/>
      <c r="J334" s="30"/>
      <c r="K334"/>
    </row>
    <row r="335" spans="1:11" ht="15">
      <c r="A335" s="30"/>
      <c r="B335" s="30"/>
      <c r="C335" s="30"/>
      <c r="D335" s="30"/>
      <c r="E335" s="30"/>
      <c r="F335" s="30"/>
      <c r="G335" s="30"/>
      <c r="H335" s="30"/>
      <c r="I335" s="30"/>
      <c r="J335" s="30"/>
      <c r="K335"/>
    </row>
    <row r="336" spans="1:11" ht="15">
      <c r="A336" s="30"/>
      <c r="B336" s="30"/>
      <c r="C336" s="30"/>
      <c r="D336" s="30"/>
      <c r="E336" s="30"/>
      <c r="F336" s="30"/>
      <c r="G336" s="30"/>
      <c r="H336" s="30"/>
      <c r="I336" s="30"/>
      <c r="J336" s="30"/>
      <c r="K336"/>
    </row>
    <row r="337" spans="1:11" ht="15">
      <c r="A337" s="30"/>
      <c r="B337" s="30"/>
      <c r="C337" s="30"/>
      <c r="D337" s="30"/>
      <c r="E337" s="30"/>
      <c r="F337" s="30"/>
      <c r="G337" s="30"/>
      <c r="H337" s="30"/>
      <c r="I337" s="30"/>
      <c r="J337" s="30"/>
      <c r="K337"/>
    </row>
    <row r="338" spans="1:11" ht="15">
      <c r="A338" s="30"/>
      <c r="B338" s="30"/>
      <c r="C338" s="30"/>
      <c r="D338" s="30"/>
      <c r="E338" s="30"/>
      <c r="F338" s="30"/>
      <c r="G338" s="30"/>
      <c r="H338" s="30"/>
      <c r="I338" s="30"/>
      <c r="J338" s="30"/>
      <c r="K338"/>
    </row>
    <row r="339" spans="1:11" ht="15">
      <c r="A339" s="30"/>
      <c r="B339" s="30"/>
      <c r="C339" s="30"/>
      <c r="D339" s="30"/>
      <c r="E339" s="30"/>
      <c r="F339" s="30"/>
      <c r="G339" s="30"/>
      <c r="H339" s="30"/>
      <c r="I339" s="30"/>
      <c r="J339" s="30"/>
      <c r="K339"/>
    </row>
    <row r="340" spans="1:11" ht="15">
      <c r="A340" s="30"/>
      <c r="B340" s="30"/>
      <c r="C340" s="30"/>
      <c r="D340" s="30"/>
      <c r="E340" s="30"/>
      <c r="F340" s="30"/>
      <c r="G340" s="30"/>
      <c r="H340" s="30"/>
      <c r="I340" s="30"/>
      <c r="J340" s="30"/>
      <c r="K340"/>
    </row>
    <row r="341" spans="1:11" ht="15">
      <c r="A341" s="30"/>
      <c r="B341" s="30"/>
      <c r="C341" s="30"/>
      <c r="D341" s="30"/>
      <c r="E341" s="30"/>
      <c r="F341" s="30"/>
      <c r="G341" s="30"/>
      <c r="H341" s="30"/>
      <c r="I341" s="30"/>
      <c r="J341" s="30"/>
      <c r="K341"/>
    </row>
    <row r="342" spans="1:11" ht="15">
      <c r="A342" s="30"/>
      <c r="B342" s="30"/>
      <c r="C342" s="30"/>
      <c r="D342" s="30"/>
      <c r="E342" s="30"/>
      <c r="F342" s="30"/>
      <c r="G342" s="30"/>
      <c r="H342" s="30"/>
      <c r="I342" s="30"/>
      <c r="J342" s="30"/>
      <c r="K342"/>
    </row>
    <row r="343" spans="1:11" ht="15">
      <c r="A343" s="30"/>
      <c r="B343" s="30"/>
      <c r="C343" s="30"/>
      <c r="D343" s="30"/>
      <c r="E343" s="30"/>
      <c r="F343" s="30"/>
      <c r="G343" s="30"/>
      <c r="H343" s="30"/>
      <c r="I343" s="30"/>
      <c r="J343" s="30"/>
      <c r="K343"/>
    </row>
    <row r="344" spans="1:11" ht="15">
      <c r="A344" s="30"/>
      <c r="B344" s="30"/>
      <c r="C344" s="30"/>
      <c r="D344" s="30"/>
      <c r="E344" s="30"/>
      <c r="F344" s="30"/>
      <c r="G344" s="30"/>
      <c r="H344" s="30"/>
      <c r="I344" s="30"/>
      <c r="J344" s="30"/>
      <c r="K344"/>
    </row>
    <row r="345" spans="1:11" ht="15">
      <c r="A345" s="30"/>
      <c r="B345" s="30"/>
      <c r="C345" s="30"/>
      <c r="D345" s="30"/>
      <c r="E345" s="30"/>
      <c r="F345" s="30"/>
      <c r="G345" s="30"/>
      <c r="H345" s="30"/>
      <c r="I345" s="30"/>
      <c r="J345" s="30"/>
      <c r="K345"/>
    </row>
    <row r="346" spans="1:11" ht="15">
      <c r="A346" s="30"/>
      <c r="B346" s="30"/>
      <c r="C346" s="30"/>
      <c r="D346" s="30"/>
      <c r="E346" s="30"/>
      <c r="F346" s="30"/>
      <c r="G346" s="30"/>
      <c r="H346" s="30"/>
      <c r="I346" s="30"/>
      <c r="J346" s="30"/>
      <c r="K346"/>
    </row>
    <row r="347" spans="1:11" ht="15">
      <c r="A347" s="30"/>
      <c r="B347" s="30"/>
      <c r="C347" s="30"/>
      <c r="D347" s="30"/>
      <c r="E347" s="30"/>
      <c r="F347" s="30"/>
      <c r="G347" s="30"/>
      <c r="H347" s="30"/>
      <c r="I347" s="30"/>
      <c r="J347" s="30"/>
      <c r="K347"/>
    </row>
    <row r="348" spans="1:11" ht="15">
      <c r="A348" s="30"/>
      <c r="B348" s="30"/>
      <c r="C348" s="30"/>
      <c r="D348" s="30"/>
      <c r="E348" s="30"/>
      <c r="F348" s="30"/>
      <c r="G348" s="30"/>
      <c r="H348" s="30"/>
      <c r="I348" s="30"/>
      <c r="J348" s="30"/>
      <c r="K348"/>
    </row>
    <row r="349" spans="1:11" ht="15">
      <c r="A349" s="30"/>
      <c r="B349" s="30"/>
      <c r="C349" s="30"/>
      <c r="D349" s="30"/>
      <c r="E349" s="30"/>
      <c r="F349" s="30"/>
      <c r="G349" s="30"/>
      <c r="H349" s="30"/>
      <c r="I349" s="30"/>
      <c r="J349" s="30"/>
      <c r="K349"/>
    </row>
    <row r="350" spans="1:11" ht="15">
      <c r="A350" s="30"/>
      <c r="B350" s="30"/>
      <c r="C350" s="30"/>
      <c r="D350" s="30"/>
      <c r="E350" s="30"/>
      <c r="F350" s="30"/>
      <c r="G350" s="30"/>
      <c r="H350" s="30"/>
      <c r="I350" s="30"/>
      <c r="J350" s="30"/>
      <c r="K350"/>
    </row>
    <row r="351" spans="1:11" ht="15">
      <c r="A351" s="30"/>
      <c r="B351" s="30"/>
      <c r="C351" s="30"/>
      <c r="D351" s="30"/>
      <c r="E351" s="30"/>
      <c r="F351" s="30"/>
      <c r="G351" s="30"/>
      <c r="H351" s="30"/>
      <c r="I351" s="30"/>
      <c r="J351" s="30"/>
      <c r="K351"/>
    </row>
    <row r="352" spans="1:11" ht="15">
      <c r="A352" s="30"/>
      <c r="B352" s="30"/>
      <c r="C352" s="30"/>
      <c r="D352" s="30"/>
      <c r="E352" s="30"/>
      <c r="F352" s="30"/>
      <c r="G352" s="30"/>
      <c r="H352" s="30"/>
      <c r="I352" s="30"/>
      <c r="J352" s="30"/>
      <c r="K352"/>
    </row>
    <row r="353" spans="1:11" ht="15">
      <c r="A353" s="30"/>
      <c r="B353" s="30"/>
      <c r="C353" s="30"/>
      <c r="D353" s="30"/>
      <c r="E353" s="30"/>
      <c r="F353" s="30"/>
      <c r="G353" s="30"/>
      <c r="H353" s="30"/>
      <c r="I353" s="30"/>
      <c r="J353" s="30"/>
      <c r="K353"/>
    </row>
    <row r="354" spans="1:11" ht="15">
      <c r="A354" s="30"/>
      <c r="B354" s="30"/>
      <c r="C354" s="30"/>
      <c r="D354" s="30"/>
      <c r="E354" s="30"/>
      <c r="F354" s="30"/>
      <c r="G354" s="30"/>
      <c r="H354" s="30"/>
      <c r="I354" s="30"/>
      <c r="J354" s="30"/>
      <c r="K354"/>
    </row>
    <row r="355" spans="1:11" ht="15">
      <c r="A355" s="30"/>
      <c r="B355" s="30"/>
      <c r="C355" s="30"/>
      <c r="D355" s="30"/>
      <c r="E355" s="30"/>
      <c r="F355" s="30"/>
      <c r="G355" s="30"/>
      <c r="H355" s="30"/>
      <c r="I355" s="30"/>
      <c r="J355" s="30"/>
      <c r="K355"/>
    </row>
    <row r="356" spans="1:11" ht="15">
      <c r="A356" s="30"/>
      <c r="B356" s="30"/>
      <c r="C356" s="30"/>
      <c r="D356" s="30"/>
      <c r="E356" s="30"/>
      <c r="F356" s="30"/>
      <c r="G356" s="30"/>
      <c r="H356" s="30"/>
      <c r="I356" s="30"/>
      <c r="J356" s="30"/>
      <c r="K356"/>
    </row>
    <row r="357" spans="1:11" ht="15">
      <c r="A357" s="30"/>
      <c r="B357" s="30"/>
      <c r="C357" s="30"/>
      <c r="D357" s="30"/>
      <c r="E357" s="30"/>
      <c r="F357" s="30"/>
      <c r="G357" s="30"/>
      <c r="H357" s="30"/>
      <c r="I357" s="30"/>
      <c r="J357" s="30"/>
      <c r="K357"/>
    </row>
    <row r="358" spans="1:11" ht="15">
      <c r="A358" s="30"/>
      <c r="B358" s="30"/>
      <c r="C358" s="30"/>
      <c r="D358" s="30"/>
      <c r="E358" s="30"/>
      <c r="F358" s="30"/>
      <c r="G358" s="30"/>
      <c r="H358" s="30"/>
      <c r="I358" s="30"/>
      <c r="J358" s="30"/>
      <c r="K358"/>
    </row>
    <row r="359" spans="1:11" ht="15">
      <c r="A359" s="30"/>
      <c r="B359" s="30"/>
      <c r="C359" s="30"/>
      <c r="D359" s="30"/>
      <c r="E359" s="30"/>
      <c r="F359" s="30"/>
      <c r="G359" s="30"/>
      <c r="H359" s="30"/>
      <c r="I359" s="30"/>
      <c r="J359" s="30"/>
      <c r="K359"/>
    </row>
    <row r="360" spans="1:11" ht="15">
      <c r="A360" s="30"/>
      <c r="B360" s="30"/>
      <c r="C360" s="30"/>
      <c r="D360" s="30"/>
      <c r="E360" s="30"/>
      <c r="F360" s="30"/>
      <c r="G360" s="30"/>
      <c r="H360" s="30"/>
      <c r="I360" s="30"/>
      <c r="J360" s="30"/>
      <c r="K360"/>
    </row>
    <row r="361" spans="1:11" ht="15">
      <c r="A361" s="30"/>
      <c r="B361" s="30"/>
      <c r="C361" s="30"/>
      <c r="D361" s="30"/>
      <c r="E361" s="30"/>
      <c r="F361" s="30"/>
      <c r="G361" s="30"/>
      <c r="H361" s="30"/>
      <c r="I361" s="30"/>
      <c r="J361" s="30"/>
      <c r="K361"/>
    </row>
    <row r="362" spans="1:11" ht="15">
      <c r="A362" s="30"/>
      <c r="B362" s="30"/>
      <c r="C362" s="30"/>
      <c r="D362" s="30"/>
      <c r="E362" s="30"/>
      <c r="F362" s="30"/>
      <c r="G362" s="30"/>
      <c r="H362" s="30"/>
      <c r="I362" s="30"/>
      <c r="J362" s="30"/>
      <c r="K362"/>
    </row>
    <row r="363" spans="1:11" ht="15">
      <c r="A363" s="30"/>
      <c r="B363" s="30"/>
      <c r="C363" s="30"/>
      <c r="D363" s="30"/>
      <c r="E363" s="30"/>
      <c r="F363" s="30"/>
      <c r="G363" s="30"/>
      <c r="H363" s="30"/>
      <c r="I363" s="30"/>
      <c r="J363" s="30"/>
      <c r="K363"/>
    </row>
    <row r="364" spans="1:11" ht="15">
      <c r="A364" s="30"/>
      <c r="B364" s="30"/>
      <c r="C364" s="30"/>
      <c r="D364" s="30"/>
      <c r="E364" s="30"/>
      <c r="F364" s="30"/>
      <c r="G364" s="30"/>
      <c r="H364" s="30"/>
      <c r="I364" s="30"/>
      <c r="J364" s="30"/>
      <c r="K364"/>
    </row>
    <row r="365" spans="1:11" ht="15">
      <c r="A365" s="30"/>
      <c r="B365" s="30"/>
      <c r="C365" s="30"/>
      <c r="D365" s="30"/>
      <c r="E365" s="30"/>
      <c r="F365" s="30"/>
      <c r="G365" s="30"/>
      <c r="H365" s="30"/>
      <c r="I365" s="30"/>
      <c r="J365" s="30"/>
      <c r="K365"/>
    </row>
    <row r="366" spans="1:11" ht="15">
      <c r="A366" s="30"/>
      <c r="B366" s="30"/>
      <c r="C366" s="30"/>
      <c r="D366" s="30"/>
      <c r="E366" s="30"/>
      <c r="F366" s="30"/>
      <c r="G366" s="30"/>
      <c r="H366" s="30"/>
      <c r="I366" s="30"/>
      <c r="J366" s="30"/>
      <c r="K366"/>
    </row>
    <row r="367" spans="1:11" ht="15">
      <c r="A367" s="30"/>
      <c r="B367" s="30"/>
      <c r="C367" s="30"/>
      <c r="D367" s="30"/>
      <c r="E367" s="30"/>
      <c r="F367" s="30"/>
      <c r="G367" s="30"/>
      <c r="H367" s="30"/>
      <c r="I367" s="30"/>
      <c r="J367" s="30"/>
      <c r="K367"/>
    </row>
    <row r="368" spans="1:11" ht="15">
      <c r="A368" s="30"/>
      <c r="B368" s="30"/>
      <c r="C368" s="30"/>
      <c r="D368" s="30"/>
      <c r="E368" s="30"/>
      <c r="F368" s="30"/>
      <c r="G368" s="30"/>
      <c r="H368" s="30"/>
      <c r="I368" s="30"/>
      <c r="J368" s="30"/>
      <c r="K368"/>
    </row>
    <row r="369" spans="1:11" ht="15">
      <c r="A369" s="30"/>
      <c r="B369" s="30"/>
      <c r="C369" s="30"/>
      <c r="D369" s="30"/>
      <c r="E369" s="30"/>
      <c r="F369" s="30"/>
      <c r="G369" s="30"/>
      <c r="H369" s="30"/>
      <c r="I369" s="30"/>
      <c r="J369" s="30"/>
      <c r="K369"/>
    </row>
    <row r="370" spans="1:11" ht="15">
      <c r="A370" s="30"/>
      <c r="B370" s="30"/>
      <c r="C370" s="30"/>
      <c r="D370" s="30"/>
      <c r="E370" s="30"/>
      <c r="F370" s="30"/>
      <c r="G370" s="30"/>
      <c r="H370" s="30"/>
      <c r="I370" s="30"/>
      <c r="J370" s="30"/>
      <c r="K370"/>
    </row>
    <row r="371" spans="1:11" ht="15">
      <c r="A371" s="30"/>
      <c r="B371" s="30"/>
      <c r="C371" s="30"/>
      <c r="D371" s="30"/>
      <c r="E371" s="30"/>
      <c r="F371" s="30"/>
      <c r="G371" s="30"/>
      <c r="H371" s="30"/>
      <c r="I371" s="30"/>
      <c r="J371" s="30"/>
      <c r="K371"/>
    </row>
    <row r="372" spans="1:11" ht="15">
      <c r="A372" s="30"/>
      <c r="B372" s="30"/>
      <c r="C372" s="30"/>
      <c r="D372" s="30"/>
      <c r="E372" s="30"/>
      <c r="F372" s="30"/>
      <c r="G372" s="30"/>
      <c r="H372" s="30"/>
      <c r="I372" s="30"/>
      <c r="J372" s="30"/>
      <c r="K372"/>
    </row>
    <row r="373" spans="1:11" ht="15">
      <c r="A373" s="30"/>
      <c r="B373" s="30"/>
      <c r="C373" s="30"/>
      <c r="D373" s="30"/>
      <c r="E373" s="30"/>
      <c r="F373" s="30"/>
      <c r="G373" s="30"/>
      <c r="H373" s="30"/>
      <c r="I373" s="30"/>
      <c r="J373" s="30"/>
      <c r="K373"/>
    </row>
    <row r="374" spans="1:11" ht="15">
      <c r="A374" s="30"/>
      <c r="B374" s="30"/>
      <c r="C374" s="30"/>
      <c r="D374" s="30"/>
      <c r="E374" s="30"/>
      <c r="F374" s="30"/>
      <c r="G374" s="30"/>
      <c r="H374" s="30"/>
      <c r="I374" s="30"/>
      <c r="J374" s="30"/>
      <c r="K374"/>
    </row>
    <row r="375" spans="1:11" ht="15">
      <c r="A375" s="30"/>
      <c r="B375" s="30"/>
      <c r="C375" s="30"/>
      <c r="D375" s="30"/>
      <c r="E375" s="30"/>
      <c r="F375" s="30"/>
      <c r="G375" s="30"/>
      <c r="H375" s="30"/>
      <c r="I375" s="30"/>
      <c r="J375" s="30"/>
      <c r="K375"/>
    </row>
    <row r="376" spans="1:11" ht="15">
      <c r="A376" s="30"/>
      <c r="B376" s="30"/>
      <c r="C376" s="30"/>
      <c r="D376" s="30"/>
      <c r="E376" s="30"/>
      <c r="F376" s="30"/>
      <c r="G376" s="30"/>
      <c r="H376" s="30"/>
      <c r="I376" s="30"/>
      <c r="J376" s="30"/>
      <c r="K376"/>
    </row>
    <row r="377" spans="1:11" ht="15">
      <c r="A377" s="30"/>
      <c r="B377" s="30"/>
      <c r="C377" s="30"/>
      <c r="D377" s="30"/>
      <c r="E377" s="30"/>
      <c r="F377" s="30"/>
      <c r="G377" s="30"/>
      <c r="H377" s="30"/>
      <c r="I377" s="30"/>
      <c r="J377" s="30"/>
      <c r="K377"/>
    </row>
    <row r="378" spans="1:11" ht="15">
      <c r="A378" s="30"/>
      <c r="B378" s="30"/>
      <c r="C378" s="30"/>
      <c r="D378" s="30"/>
      <c r="E378" s="30"/>
      <c r="F378" s="30"/>
      <c r="G378" s="30"/>
      <c r="H378" s="30"/>
      <c r="I378" s="30"/>
      <c r="J378" s="30"/>
      <c r="K378"/>
    </row>
    <row r="379" spans="1:11" ht="15">
      <c r="A379" s="30"/>
      <c r="B379" s="30"/>
      <c r="C379" s="30"/>
      <c r="D379" s="30"/>
      <c r="E379" s="30"/>
      <c r="F379" s="30"/>
      <c r="G379" s="30"/>
      <c r="H379" s="30"/>
      <c r="I379" s="30"/>
      <c r="J379" s="30"/>
      <c r="K379"/>
    </row>
    <row r="380" spans="1:11" ht="15">
      <c r="A380" s="30"/>
      <c r="B380" s="30"/>
      <c r="C380" s="30"/>
      <c r="D380" s="30"/>
      <c r="E380" s="30"/>
      <c r="F380" s="30"/>
      <c r="G380" s="30"/>
      <c r="H380" s="30"/>
      <c r="I380" s="30"/>
      <c r="J380" s="30"/>
      <c r="K380"/>
    </row>
    <row r="381" spans="1:11" ht="15">
      <c r="A381" s="30"/>
      <c r="B381" s="30"/>
      <c r="C381" s="30"/>
      <c r="D381" s="30"/>
      <c r="E381" s="30"/>
      <c r="F381" s="30"/>
      <c r="G381" s="30"/>
      <c r="H381" s="30"/>
      <c r="I381" s="30"/>
      <c r="J381" s="30"/>
      <c r="K381"/>
    </row>
    <row r="382" spans="1:11" ht="15">
      <c r="A382" s="30"/>
      <c r="B382" s="30"/>
      <c r="C382" s="30"/>
      <c r="D382" s="30"/>
      <c r="E382" s="30"/>
      <c r="F382" s="30"/>
      <c r="G382" s="30"/>
      <c r="H382" s="30"/>
      <c r="I382" s="30"/>
      <c r="J382" s="30"/>
      <c r="K382"/>
    </row>
    <row r="383" spans="1:11" ht="15">
      <c r="A383" s="30"/>
      <c r="B383" s="30"/>
      <c r="C383" s="30"/>
      <c r="D383" s="30"/>
      <c r="E383" s="30"/>
      <c r="F383" s="30"/>
      <c r="G383" s="30"/>
      <c r="H383" s="30"/>
      <c r="I383" s="30"/>
      <c r="J383" s="30"/>
      <c r="K383"/>
    </row>
    <row r="384" spans="1:11" ht="15">
      <c r="A384" s="30"/>
      <c r="B384" s="30"/>
      <c r="C384" s="30"/>
      <c r="D384" s="30"/>
      <c r="E384" s="30"/>
      <c r="F384" s="30"/>
      <c r="G384" s="30"/>
      <c r="H384" s="30"/>
      <c r="I384" s="30"/>
      <c r="J384" s="30"/>
      <c r="K384"/>
    </row>
    <row r="385" spans="1:11" ht="15">
      <c r="A385" s="30"/>
      <c r="B385" s="30"/>
      <c r="C385" s="30"/>
      <c r="D385" s="30"/>
      <c r="E385" s="30"/>
      <c r="F385" s="30"/>
      <c r="G385" s="30"/>
      <c r="H385" s="30"/>
      <c r="I385" s="30"/>
      <c r="J385" s="30"/>
      <c r="K385"/>
    </row>
    <row r="386" spans="1:11" ht="15">
      <c r="A386" s="30"/>
      <c r="B386" s="30"/>
      <c r="C386" s="30"/>
      <c r="D386" s="30"/>
      <c r="E386" s="30"/>
      <c r="F386" s="30"/>
      <c r="G386" s="30"/>
      <c r="H386" s="30"/>
      <c r="I386" s="30"/>
      <c r="J386" s="30"/>
      <c r="K386"/>
    </row>
    <row r="387" spans="1:11" ht="15">
      <c r="A387" s="30"/>
      <c r="B387" s="30"/>
      <c r="C387" s="30"/>
      <c r="D387" s="30"/>
      <c r="E387" s="30"/>
      <c r="F387" s="30"/>
      <c r="G387" s="30"/>
      <c r="H387" s="30"/>
      <c r="I387" s="30"/>
      <c r="J387" s="30"/>
      <c r="K387"/>
    </row>
    <row r="388" spans="1:11" ht="15">
      <c r="A388" s="30"/>
      <c r="B388" s="30"/>
      <c r="C388" s="30"/>
      <c r="D388" s="30"/>
      <c r="E388" s="30"/>
      <c r="F388" s="30"/>
      <c r="G388" s="30"/>
      <c r="H388" s="30"/>
      <c r="I388" s="30"/>
      <c r="J388" s="30"/>
      <c r="K388"/>
    </row>
    <row r="389" spans="1:11" ht="15">
      <c r="A389" s="30"/>
      <c r="B389" s="30"/>
      <c r="C389" s="30"/>
      <c r="D389" s="30"/>
      <c r="E389" s="30"/>
      <c r="F389" s="30"/>
      <c r="G389" s="30"/>
      <c r="H389" s="30"/>
      <c r="I389" s="30"/>
      <c r="J389" s="30"/>
      <c r="K389"/>
    </row>
    <row r="390" spans="1:11" ht="15">
      <c r="A390" s="30"/>
      <c r="B390" s="30"/>
      <c r="C390" s="30"/>
      <c r="D390" s="30"/>
      <c r="E390" s="30"/>
      <c r="F390" s="30"/>
      <c r="G390" s="30"/>
      <c r="H390" s="30"/>
      <c r="I390" s="30"/>
      <c r="J390" s="30"/>
      <c r="K390"/>
    </row>
    <row r="391" spans="1:11" ht="15">
      <c r="A391" s="30"/>
      <c r="B391" s="30"/>
      <c r="C391" s="30"/>
      <c r="D391" s="30"/>
      <c r="E391" s="30"/>
      <c r="F391" s="30"/>
      <c r="G391" s="30"/>
      <c r="H391" s="30"/>
      <c r="I391" s="30"/>
      <c r="J391" s="30"/>
      <c r="K391"/>
    </row>
    <row r="392" spans="1:11" ht="15">
      <c r="A392" s="30"/>
      <c r="B392" s="30"/>
      <c r="C392" s="30"/>
      <c r="D392" s="30"/>
      <c r="E392" s="30"/>
      <c r="F392" s="30"/>
      <c r="G392" s="30"/>
      <c r="H392" s="30"/>
      <c r="I392" s="30"/>
      <c r="J392" s="30"/>
      <c r="K392"/>
    </row>
    <row r="393" spans="1:11" ht="15">
      <c r="A393" s="30"/>
      <c r="B393" s="30"/>
      <c r="C393" s="30"/>
      <c r="D393" s="30"/>
      <c r="E393" s="30"/>
      <c r="F393" s="30"/>
      <c r="G393" s="30"/>
      <c r="H393" s="30"/>
      <c r="I393" s="30"/>
      <c r="J393" s="30"/>
      <c r="K393"/>
    </row>
    <row r="394" spans="1:11" ht="15">
      <c r="A394" s="30"/>
      <c r="B394" s="30"/>
      <c r="C394" s="30"/>
      <c r="D394" s="30"/>
      <c r="E394" s="30"/>
      <c r="F394" s="30"/>
      <c r="G394" s="30"/>
      <c r="H394" s="30"/>
      <c r="I394" s="30"/>
      <c r="J394" s="30"/>
      <c r="K394"/>
    </row>
    <row r="395" spans="1:11" ht="15">
      <c r="A395" s="30"/>
      <c r="B395" s="30"/>
      <c r="C395" s="30"/>
      <c r="D395" s="30"/>
      <c r="E395" s="30"/>
      <c r="F395" s="30"/>
      <c r="G395" s="30"/>
      <c r="H395" s="30"/>
      <c r="I395" s="30"/>
      <c r="J395" s="30"/>
      <c r="K395"/>
    </row>
    <row r="396" spans="1:11" ht="15">
      <c r="A396" s="30"/>
      <c r="B396" s="30"/>
      <c r="C396" s="30"/>
      <c r="D396" s="30"/>
      <c r="E396" s="30"/>
      <c r="F396" s="30"/>
      <c r="G396" s="30"/>
      <c r="H396" s="30"/>
      <c r="I396" s="30"/>
      <c r="J396" s="30"/>
      <c r="K396"/>
    </row>
    <row r="397" spans="1:11" ht="15">
      <c r="A397" s="30"/>
      <c r="B397" s="30"/>
      <c r="C397" s="30"/>
      <c r="D397" s="30"/>
      <c r="E397" s="30"/>
      <c r="F397" s="30"/>
      <c r="G397" s="30"/>
      <c r="H397" s="30"/>
      <c r="I397" s="30"/>
      <c r="J397" s="30"/>
      <c r="K397"/>
    </row>
    <row r="398" spans="1:11" ht="15">
      <c r="A398" s="30"/>
      <c r="B398" s="30"/>
      <c r="C398" s="30"/>
      <c r="D398" s="30"/>
      <c r="E398" s="30"/>
      <c r="F398" s="30"/>
      <c r="G398" s="30"/>
      <c r="H398" s="30"/>
      <c r="I398" s="30"/>
      <c r="J398" s="30"/>
      <c r="K398"/>
    </row>
    <row r="399" spans="1:11" ht="15">
      <c r="A399" s="30"/>
      <c r="B399" s="30"/>
      <c r="C399" s="30"/>
      <c r="D399" s="30"/>
      <c r="E399" s="30"/>
      <c r="F399" s="30"/>
      <c r="G399" s="30"/>
      <c r="H399" s="30"/>
      <c r="I399" s="30"/>
      <c r="J399" s="30"/>
      <c r="K399"/>
    </row>
    <row r="400" spans="1:11" ht="15">
      <c r="A400" s="30"/>
      <c r="B400" s="30"/>
      <c r="C400" s="30"/>
      <c r="D400" s="30"/>
      <c r="E400" s="30"/>
      <c r="F400" s="30"/>
      <c r="G400" s="30"/>
      <c r="H400" s="30"/>
      <c r="I400" s="30"/>
      <c r="J400" s="30"/>
      <c r="K400"/>
    </row>
    <row r="401" spans="1:11" ht="15">
      <c r="A401" s="30"/>
      <c r="B401" s="30"/>
      <c r="C401" s="30"/>
      <c r="D401" s="30"/>
      <c r="E401" s="30"/>
      <c r="F401" s="30"/>
      <c r="G401" s="30"/>
      <c r="H401" s="30"/>
      <c r="I401" s="30"/>
      <c r="J401" s="30"/>
      <c r="K401"/>
    </row>
    <row r="402" spans="1:11" ht="15">
      <c r="A402" s="30"/>
      <c r="B402" s="30"/>
      <c r="C402" s="30"/>
      <c r="D402" s="30"/>
      <c r="E402" s="30"/>
      <c r="F402" s="30"/>
      <c r="G402" s="30"/>
      <c r="H402" s="30"/>
      <c r="I402" s="30"/>
      <c r="J402" s="30"/>
      <c r="K402"/>
    </row>
    <row r="403" spans="1:11" ht="15">
      <c r="A403" s="30"/>
      <c r="B403" s="30"/>
      <c r="C403" s="30"/>
      <c r="D403" s="30"/>
      <c r="E403" s="30"/>
      <c r="F403" s="30"/>
      <c r="G403" s="30"/>
      <c r="H403" s="30"/>
      <c r="I403" s="30"/>
      <c r="J403" s="30"/>
      <c r="K403"/>
    </row>
    <row r="404" spans="1:11" ht="15">
      <c r="A404" s="30"/>
      <c r="B404" s="30"/>
      <c r="C404" s="30"/>
      <c r="D404" s="30"/>
      <c r="E404" s="30"/>
      <c r="F404" s="30"/>
      <c r="G404" s="30"/>
      <c r="H404" s="30"/>
      <c r="I404" s="30"/>
      <c r="J404" s="30"/>
      <c r="K404"/>
    </row>
    <row r="405" spans="1:11" ht="15">
      <c r="A405" s="30"/>
      <c r="B405" s="30"/>
      <c r="C405" s="30"/>
      <c r="D405" s="30"/>
      <c r="E405" s="30"/>
      <c r="F405" s="30"/>
      <c r="G405" s="30"/>
      <c r="H405" s="30"/>
      <c r="I405" s="30"/>
      <c r="J405" s="30"/>
      <c r="K405"/>
    </row>
    <row r="406" spans="1:11" ht="15">
      <c r="A406" s="30"/>
      <c r="B406" s="30"/>
      <c r="C406" s="30"/>
      <c r="D406" s="30"/>
      <c r="E406" s="30"/>
      <c r="F406" s="30"/>
      <c r="G406" s="30"/>
      <c r="H406" s="30"/>
      <c r="I406" s="30"/>
      <c r="J406" s="30"/>
      <c r="K406"/>
    </row>
    <row r="407" spans="1:11" ht="15">
      <c r="A407" s="30"/>
      <c r="B407" s="30"/>
      <c r="C407" s="30"/>
      <c r="D407" s="30"/>
      <c r="E407" s="30"/>
      <c r="F407" s="30"/>
      <c r="G407" s="30"/>
      <c r="H407" s="30"/>
      <c r="I407" s="30"/>
      <c r="J407" s="30"/>
      <c r="K407"/>
    </row>
    <row r="408" spans="1:11" ht="15">
      <c r="A408" s="30"/>
      <c r="B408" s="30"/>
      <c r="C408" s="30"/>
      <c r="D408" s="30"/>
      <c r="E408" s="30"/>
      <c r="F408" s="30"/>
      <c r="G408" s="30"/>
      <c r="H408" s="30"/>
      <c r="I408" s="30"/>
      <c r="J408" s="30"/>
      <c r="K408"/>
    </row>
    <row r="409" spans="1:11" ht="15">
      <c r="A409" s="30"/>
      <c r="B409" s="30"/>
      <c r="C409" s="30"/>
      <c r="D409" s="30"/>
      <c r="E409" s="30"/>
      <c r="F409" s="30"/>
      <c r="G409" s="30"/>
      <c r="H409" s="30"/>
      <c r="I409" s="30"/>
      <c r="J409" s="30"/>
      <c r="K409"/>
    </row>
    <row r="410" spans="1:11" ht="15">
      <c r="A410" s="30"/>
      <c r="B410" s="30"/>
      <c r="C410" s="30"/>
      <c r="D410" s="30"/>
      <c r="E410" s="30"/>
      <c r="F410" s="30"/>
      <c r="G410" s="30"/>
      <c r="H410" s="30"/>
      <c r="I410" s="30"/>
      <c r="J410" s="30"/>
      <c r="K410"/>
    </row>
    <row r="411" spans="1:11" ht="15">
      <c r="A411" s="30"/>
      <c r="B411" s="30"/>
      <c r="C411" s="30"/>
      <c r="D411" s="30"/>
      <c r="E411" s="30"/>
      <c r="F411" s="30"/>
      <c r="G411" s="30"/>
      <c r="H411" s="30"/>
      <c r="I411" s="30"/>
      <c r="J411" s="30"/>
      <c r="K411"/>
    </row>
    <row r="412" spans="1:11" ht="15">
      <c r="A412" s="30"/>
      <c r="B412" s="30"/>
      <c r="C412" s="30"/>
      <c r="D412" s="30"/>
      <c r="E412" s="30"/>
      <c r="F412" s="30"/>
      <c r="G412" s="30"/>
      <c r="H412" s="30"/>
      <c r="I412" s="30"/>
      <c r="J412" s="30"/>
      <c r="K412"/>
    </row>
    <row r="413" spans="1:11" ht="15">
      <c r="A413" s="30"/>
      <c r="B413" s="30"/>
      <c r="C413" s="30"/>
      <c r="D413" s="30"/>
      <c r="E413" s="30"/>
      <c r="F413" s="30"/>
      <c r="G413" s="30"/>
      <c r="H413" s="30"/>
      <c r="I413" s="30"/>
      <c r="J413" s="30"/>
      <c r="K413"/>
    </row>
    <row r="414" spans="1:11" ht="15">
      <c r="A414" s="30"/>
      <c r="B414" s="30"/>
      <c r="C414" s="30"/>
      <c r="D414" s="30"/>
      <c r="E414" s="30"/>
      <c r="F414" s="30"/>
      <c r="G414" s="30"/>
      <c r="H414" s="30"/>
      <c r="I414" s="30"/>
      <c r="J414" s="30"/>
      <c r="K414"/>
    </row>
    <row r="415" spans="1:11" ht="15">
      <c r="A415" s="30"/>
      <c r="B415" s="30"/>
      <c r="C415" s="30"/>
      <c r="D415" s="30"/>
      <c r="E415" s="30"/>
      <c r="F415" s="30"/>
      <c r="G415" s="30"/>
      <c r="H415" s="30"/>
      <c r="I415" s="30"/>
      <c r="J415" s="30"/>
      <c r="K415"/>
    </row>
    <row r="416" spans="1:11" ht="15">
      <c r="A416" s="30"/>
      <c r="B416" s="30"/>
      <c r="C416" s="30"/>
      <c r="D416" s="30"/>
      <c r="E416" s="30"/>
      <c r="F416" s="30"/>
      <c r="G416" s="30"/>
      <c r="H416" s="30"/>
      <c r="I416" s="30"/>
      <c r="J416" s="30"/>
      <c r="K416"/>
    </row>
    <row r="417" spans="1:11" ht="15">
      <c r="A417" s="30"/>
      <c r="B417" s="30"/>
      <c r="C417" s="30"/>
      <c r="D417" s="30"/>
      <c r="E417" s="30"/>
      <c r="F417" s="30"/>
      <c r="G417" s="30"/>
      <c r="H417" s="30"/>
      <c r="I417" s="30"/>
      <c r="J417" s="30"/>
      <c r="K417"/>
    </row>
    <row r="418" spans="1:11" ht="15">
      <c r="A418" s="30"/>
      <c r="B418" s="30"/>
      <c r="C418" s="30"/>
      <c r="D418" s="30"/>
      <c r="E418" s="30"/>
      <c r="F418" s="30"/>
      <c r="G418" s="30"/>
      <c r="H418" s="30"/>
      <c r="I418" s="30"/>
      <c r="J418" s="30"/>
      <c r="K418"/>
    </row>
    <row r="419" spans="1:11" ht="15">
      <c r="A419" s="30"/>
      <c r="B419" s="30"/>
      <c r="C419" s="30"/>
      <c r="D419" s="30"/>
      <c r="E419" s="30"/>
      <c r="F419" s="30"/>
      <c r="G419" s="30"/>
      <c r="H419" s="30"/>
      <c r="I419" s="30"/>
      <c r="J419" s="30"/>
      <c r="K419"/>
    </row>
    <row r="420" spans="1:11" ht="15">
      <c r="A420" s="30"/>
      <c r="B420" s="30"/>
      <c r="C420" s="30"/>
      <c r="D420" s="30"/>
      <c r="E420" s="30"/>
      <c r="F420" s="30"/>
      <c r="G420" s="30"/>
      <c r="H420" s="30"/>
      <c r="I420" s="30"/>
      <c r="J420" s="30"/>
      <c r="K420"/>
    </row>
    <row r="421" spans="1:11" ht="15">
      <c r="A421" s="30"/>
      <c r="B421" s="30"/>
      <c r="C421" s="30"/>
      <c r="D421" s="30"/>
      <c r="E421" s="30"/>
      <c r="F421" s="30"/>
      <c r="G421" s="30"/>
      <c r="H421" s="30"/>
      <c r="I421" s="30"/>
      <c r="J421" s="30"/>
      <c r="K421"/>
    </row>
    <row r="422" spans="1:11" ht="15">
      <c r="A422" s="30"/>
      <c r="B422" s="30"/>
      <c r="C422" s="30"/>
      <c r="D422" s="30"/>
      <c r="E422" s="30"/>
      <c r="F422" s="30"/>
      <c r="G422" s="30"/>
      <c r="H422" s="30"/>
      <c r="I422" s="30"/>
      <c r="J422" s="30"/>
      <c r="K422"/>
    </row>
    <row r="423" spans="1:11" ht="15">
      <c r="A423" s="30"/>
      <c r="B423" s="30"/>
      <c r="C423" s="30"/>
      <c r="D423" s="30"/>
      <c r="E423" s="30"/>
      <c r="F423" s="30"/>
      <c r="G423" s="30"/>
      <c r="H423" s="30"/>
      <c r="I423" s="30"/>
      <c r="J423" s="30"/>
      <c r="K423"/>
    </row>
    <row r="424" spans="1:11" ht="15">
      <c r="A424" s="30"/>
      <c r="B424" s="30"/>
      <c r="C424" s="30"/>
      <c r="D424" s="30"/>
      <c r="E424" s="30"/>
      <c r="F424" s="30"/>
      <c r="G424" s="30"/>
      <c r="H424" s="30"/>
      <c r="I424" s="30"/>
      <c r="J424" s="30"/>
      <c r="K424"/>
    </row>
    <row r="425" spans="1:11" ht="15">
      <c r="A425" s="30"/>
      <c r="B425" s="30"/>
      <c r="C425" s="30"/>
      <c r="D425" s="30"/>
      <c r="E425" s="30"/>
      <c r="F425" s="30"/>
      <c r="G425" s="30"/>
      <c r="H425" s="30"/>
      <c r="I425" s="30"/>
      <c r="J425" s="30"/>
      <c r="K425"/>
    </row>
    <row r="426" spans="1:11" ht="15">
      <c r="A426" s="30"/>
      <c r="B426" s="30"/>
      <c r="C426" s="30"/>
      <c r="D426" s="30"/>
      <c r="E426" s="30"/>
      <c r="F426" s="30"/>
      <c r="G426" s="30"/>
      <c r="H426" s="30"/>
      <c r="I426" s="30"/>
      <c r="J426" s="30"/>
      <c r="K426"/>
    </row>
    <row r="427" spans="1:11" ht="15">
      <c r="A427" s="30"/>
      <c r="B427" s="30"/>
      <c r="C427" s="30"/>
      <c r="D427" s="30"/>
      <c r="E427" s="30"/>
      <c r="F427" s="30"/>
      <c r="G427" s="30"/>
      <c r="H427" s="30"/>
      <c r="I427" s="30"/>
      <c r="J427" s="30"/>
      <c r="K427"/>
    </row>
    <row r="428" spans="1:11" ht="15">
      <c r="A428" s="30"/>
      <c r="B428" s="30"/>
      <c r="C428" s="30"/>
      <c r="D428" s="30"/>
      <c r="E428" s="30"/>
      <c r="F428" s="30"/>
      <c r="G428" s="30"/>
      <c r="H428" s="30"/>
      <c r="I428" s="30"/>
      <c r="J428" s="30"/>
      <c r="K428"/>
    </row>
    <row r="429" spans="1:11" ht="15">
      <c r="A429" s="30"/>
      <c r="B429" s="30"/>
      <c r="C429" s="30"/>
      <c r="D429" s="30"/>
      <c r="E429" s="30"/>
      <c r="F429" s="30"/>
      <c r="G429" s="30"/>
      <c r="H429" s="30"/>
      <c r="I429" s="30"/>
      <c r="J429" s="30"/>
      <c r="K429"/>
    </row>
    <row r="430" spans="1:11" ht="15">
      <c r="A430" s="30"/>
      <c r="B430" s="30"/>
      <c r="C430" s="30"/>
      <c r="D430" s="30"/>
      <c r="E430" s="30"/>
      <c r="F430" s="30"/>
      <c r="G430" s="30"/>
      <c r="H430" s="30"/>
      <c r="I430" s="30"/>
      <c r="J430" s="30"/>
      <c r="K430"/>
    </row>
    <row r="431" spans="1:11" ht="15">
      <c r="A431" s="30"/>
      <c r="B431" s="30"/>
      <c r="C431" s="30"/>
      <c r="D431" s="30"/>
      <c r="E431" s="30"/>
      <c r="F431" s="30"/>
      <c r="G431" s="30"/>
      <c r="H431" s="30"/>
      <c r="I431" s="30"/>
      <c r="J431" s="30"/>
      <c r="K431"/>
    </row>
    <row r="432" spans="1:11" ht="15">
      <c r="A432" s="30"/>
      <c r="B432" s="30"/>
      <c r="C432" s="30"/>
      <c r="D432" s="30"/>
      <c r="E432" s="30"/>
      <c r="F432" s="30"/>
      <c r="G432" s="30"/>
      <c r="H432" s="30"/>
      <c r="I432" s="30"/>
      <c r="J432" s="30"/>
      <c r="K432"/>
    </row>
    <row r="433" spans="1:11" ht="15">
      <c r="A433" s="30"/>
      <c r="B433" s="30"/>
      <c r="C433" s="30"/>
      <c r="D433" s="30"/>
      <c r="E433" s="30"/>
      <c r="F433" s="30"/>
      <c r="G433" s="30"/>
      <c r="H433" s="30"/>
      <c r="I433" s="30"/>
      <c r="J433" s="30"/>
      <c r="K433"/>
    </row>
    <row r="434" spans="1:11" ht="15">
      <c r="A434" s="30"/>
      <c r="B434" s="30"/>
      <c r="C434" s="30"/>
      <c r="D434" s="30"/>
      <c r="E434" s="30"/>
      <c r="F434" s="30"/>
      <c r="G434" s="30"/>
      <c r="H434" s="30"/>
      <c r="I434" s="30"/>
      <c r="J434" s="30"/>
      <c r="K434"/>
    </row>
    <row r="435" spans="1:11" ht="15">
      <c r="A435" s="30"/>
      <c r="B435" s="30"/>
      <c r="C435" s="30"/>
      <c r="D435" s="30"/>
      <c r="E435" s="30"/>
      <c r="F435" s="30"/>
      <c r="G435" s="30"/>
      <c r="H435" s="30"/>
      <c r="I435" s="30"/>
      <c r="J435" s="30"/>
      <c r="K435"/>
    </row>
    <row r="436" spans="1:11" ht="15">
      <c r="A436" s="30"/>
      <c r="B436" s="30"/>
      <c r="C436" s="30"/>
      <c r="D436" s="30"/>
      <c r="E436" s="30"/>
      <c r="F436" s="30"/>
      <c r="G436" s="30"/>
      <c r="H436" s="30"/>
      <c r="I436" s="30"/>
      <c r="J436" s="30"/>
      <c r="K436"/>
    </row>
    <row r="437" spans="1:11" ht="15">
      <c r="A437" s="30"/>
      <c r="B437" s="30"/>
      <c r="C437" s="30"/>
      <c r="D437" s="30"/>
      <c r="E437" s="30"/>
      <c r="F437" s="30"/>
      <c r="G437" s="30"/>
      <c r="H437" s="30"/>
      <c r="I437" s="30"/>
      <c r="J437" s="30"/>
      <c r="K437"/>
    </row>
    <row r="438" spans="1:11" ht="15">
      <c r="A438" s="30"/>
      <c r="B438" s="30"/>
      <c r="C438" s="30"/>
      <c r="D438" s="30"/>
      <c r="E438" s="30"/>
      <c r="F438" s="30"/>
      <c r="G438" s="30"/>
      <c r="H438" s="30"/>
      <c r="I438" s="30"/>
      <c r="J438" s="30"/>
      <c r="K438"/>
    </row>
    <row r="439" spans="1:11" ht="15">
      <c r="A439" s="30"/>
      <c r="B439" s="30"/>
      <c r="C439" s="30"/>
      <c r="D439" s="30"/>
      <c r="E439" s="30"/>
      <c r="F439" s="30"/>
      <c r="G439" s="30"/>
      <c r="H439" s="30"/>
      <c r="I439" s="30"/>
      <c r="J439" s="30"/>
      <c r="K439"/>
    </row>
    <row r="440" spans="1:11" ht="15">
      <c r="A440" s="30"/>
      <c r="B440" s="30"/>
      <c r="C440" s="30"/>
      <c r="D440" s="30"/>
      <c r="E440" s="30"/>
      <c r="F440" s="30"/>
      <c r="G440" s="30"/>
      <c r="H440" s="30"/>
      <c r="I440" s="30"/>
      <c r="J440" s="30"/>
      <c r="K440"/>
    </row>
    <row r="441" spans="1:11" ht="15">
      <c r="A441" s="30"/>
      <c r="B441" s="30"/>
      <c r="C441" s="30"/>
      <c r="D441" s="30"/>
      <c r="E441" s="30"/>
      <c r="F441" s="30"/>
      <c r="G441" s="30"/>
      <c r="H441" s="30"/>
      <c r="I441" s="30"/>
      <c r="J441" s="30"/>
      <c r="K441"/>
    </row>
    <row r="442" spans="1:11" ht="15">
      <c r="A442" s="30"/>
      <c r="B442" s="30"/>
      <c r="C442" s="30"/>
      <c r="D442" s="30"/>
      <c r="E442" s="30"/>
      <c r="F442" s="30"/>
      <c r="G442" s="30"/>
      <c r="H442" s="30"/>
      <c r="I442" s="30"/>
      <c r="J442" s="30"/>
      <c r="K442"/>
    </row>
    <row r="443" spans="1:11" ht="15">
      <c r="A443" s="30"/>
      <c r="B443" s="30"/>
      <c r="C443" s="30"/>
      <c r="D443" s="30"/>
      <c r="E443" s="30"/>
      <c r="F443" s="30"/>
      <c r="G443" s="30"/>
      <c r="H443" s="30"/>
      <c r="I443" s="30"/>
      <c r="J443" s="30"/>
      <c r="K443"/>
    </row>
    <row r="444" spans="1:11" ht="15">
      <c r="A444" s="30"/>
      <c r="B444" s="30"/>
      <c r="C444" s="30"/>
      <c r="D444" s="30"/>
      <c r="E444" s="30"/>
      <c r="F444" s="30"/>
      <c r="G444" s="30"/>
      <c r="H444" s="30"/>
      <c r="I444" s="30"/>
      <c r="J444" s="30"/>
      <c r="K444"/>
    </row>
    <row r="445" spans="1:11" ht="15">
      <c r="A445" s="30"/>
      <c r="B445" s="30"/>
      <c r="C445" s="30"/>
      <c r="D445" s="30"/>
      <c r="E445" s="30"/>
      <c r="F445" s="30"/>
      <c r="G445" s="30"/>
      <c r="H445" s="30"/>
      <c r="I445" s="30"/>
      <c r="J445" s="30"/>
      <c r="K445"/>
    </row>
    <row r="446" spans="1:11" ht="15">
      <c r="A446" s="30"/>
      <c r="B446" s="30"/>
      <c r="C446" s="30"/>
      <c r="D446" s="30"/>
      <c r="E446" s="30"/>
      <c r="F446" s="30"/>
      <c r="G446" s="30"/>
      <c r="H446" s="30"/>
      <c r="I446" s="30"/>
      <c r="J446" s="30"/>
      <c r="K446"/>
    </row>
    <row r="447" spans="1:11" ht="15">
      <c r="A447" s="30"/>
      <c r="B447" s="30"/>
      <c r="C447" s="30"/>
      <c r="D447" s="30"/>
      <c r="E447" s="30"/>
      <c r="F447" s="30"/>
      <c r="G447" s="30"/>
      <c r="H447" s="30"/>
      <c r="I447" s="30"/>
      <c r="J447" s="30"/>
      <c r="K447"/>
    </row>
    <row r="448" spans="1:11" ht="15">
      <c r="A448" s="30"/>
      <c r="B448" s="30"/>
      <c r="C448" s="30"/>
      <c r="D448" s="30"/>
      <c r="E448" s="30"/>
      <c r="F448" s="30"/>
      <c r="G448" s="30"/>
      <c r="H448" s="30"/>
      <c r="I448" s="30"/>
      <c r="J448" s="30"/>
      <c r="K448"/>
    </row>
    <row r="449" spans="1:11" ht="15">
      <c r="A449" s="30"/>
      <c r="B449" s="30"/>
      <c r="C449" s="30"/>
      <c r="D449" s="30"/>
      <c r="E449" s="30"/>
      <c r="F449" s="30"/>
      <c r="G449" s="30"/>
      <c r="H449" s="30"/>
      <c r="I449" s="30"/>
      <c r="J449" s="30"/>
      <c r="K449"/>
    </row>
    <row r="450" spans="1:11" ht="15">
      <c r="A450" s="30"/>
      <c r="B450" s="30"/>
      <c r="C450" s="30"/>
      <c r="D450" s="30"/>
      <c r="E450" s="30"/>
      <c r="F450" s="30"/>
      <c r="G450" s="30"/>
      <c r="H450" s="30"/>
      <c r="I450" s="30"/>
      <c r="J450" s="30"/>
      <c r="K450"/>
    </row>
    <row r="451" spans="1:11" ht="15">
      <c r="A451" s="30"/>
      <c r="B451" s="30"/>
      <c r="C451" s="30"/>
      <c r="D451" s="30"/>
      <c r="E451" s="30"/>
      <c r="F451" s="30"/>
      <c r="G451" s="30"/>
      <c r="H451" s="30"/>
      <c r="I451" s="30"/>
      <c r="J451" s="30"/>
      <c r="K451"/>
    </row>
    <row r="452" spans="1:11" ht="15">
      <c r="A452" s="30"/>
      <c r="B452" s="30"/>
      <c r="C452" s="30"/>
      <c r="D452" s="30"/>
      <c r="E452" s="30"/>
      <c r="F452" s="30"/>
      <c r="G452" s="30"/>
      <c r="H452" s="30"/>
      <c r="I452" s="30"/>
      <c r="J452" s="30"/>
      <c r="K452"/>
    </row>
    <row r="453" spans="1:11" ht="15">
      <c r="A453" s="30"/>
      <c r="B453" s="30"/>
      <c r="C453" s="30"/>
      <c r="D453" s="30"/>
      <c r="E453" s="30"/>
      <c r="F453" s="30"/>
      <c r="G453" s="30"/>
      <c r="H453" s="30"/>
      <c r="I453" s="30"/>
      <c r="J453" s="30"/>
      <c r="K453"/>
    </row>
    <row r="454" spans="1:11" ht="15">
      <c r="A454" s="30"/>
      <c r="B454" s="30"/>
      <c r="C454" s="30"/>
      <c r="D454" s="30"/>
      <c r="E454" s="30"/>
      <c r="F454" s="30"/>
      <c r="G454" s="30"/>
      <c r="H454" s="30"/>
      <c r="I454" s="30"/>
      <c r="J454" s="30"/>
      <c r="K454"/>
    </row>
    <row r="455" spans="1:11" ht="15">
      <c r="A455" s="30"/>
      <c r="B455" s="30"/>
      <c r="C455" s="30"/>
      <c r="D455" s="30"/>
      <c r="E455" s="30"/>
      <c r="F455" s="30"/>
      <c r="G455" s="30"/>
      <c r="H455" s="30"/>
      <c r="I455" s="30"/>
      <c r="J455" s="30"/>
      <c r="K455"/>
    </row>
    <row r="456" spans="1:11" ht="15">
      <c r="A456" s="30"/>
      <c r="B456" s="30"/>
      <c r="C456" s="30"/>
      <c r="D456" s="30"/>
      <c r="E456" s="30"/>
      <c r="F456" s="30"/>
      <c r="G456" s="30"/>
      <c r="H456" s="30"/>
      <c r="I456" s="30"/>
      <c r="J456" s="30"/>
      <c r="K456"/>
    </row>
    <row r="457" spans="1:11" ht="15">
      <c r="A457" s="30"/>
      <c r="B457" s="30"/>
      <c r="C457" s="30"/>
      <c r="D457" s="30"/>
      <c r="E457" s="30"/>
      <c r="F457" s="30"/>
      <c r="G457" s="30"/>
      <c r="H457" s="30"/>
      <c r="I457" s="30"/>
      <c r="J457" s="30"/>
      <c r="K457"/>
    </row>
    <row r="458" spans="1:11" ht="15">
      <c r="A458" s="30"/>
      <c r="B458" s="30"/>
      <c r="C458" s="30"/>
      <c r="D458" s="30"/>
      <c r="E458" s="30"/>
      <c r="F458" s="30"/>
      <c r="G458" s="30"/>
      <c r="H458" s="30"/>
      <c r="I458" s="30"/>
      <c r="J458" s="30"/>
      <c r="K458"/>
    </row>
    <row r="459" spans="1:11" ht="15">
      <c r="A459" s="30"/>
      <c r="B459" s="30"/>
      <c r="C459" s="30"/>
      <c r="D459" s="30"/>
      <c r="E459" s="30"/>
      <c r="F459" s="30"/>
      <c r="G459" s="30"/>
      <c r="H459" s="30"/>
      <c r="I459" s="30"/>
      <c r="J459" s="30"/>
      <c r="K459"/>
    </row>
    <row r="460" spans="1:11" ht="15">
      <c r="A460" s="30"/>
      <c r="B460" s="30"/>
      <c r="C460" s="30"/>
      <c r="D460" s="30"/>
      <c r="E460" s="30"/>
      <c r="F460" s="30"/>
      <c r="G460" s="30"/>
      <c r="H460" s="30"/>
      <c r="I460" s="30"/>
      <c r="J460" s="30"/>
      <c r="K460"/>
    </row>
    <row r="461" spans="1:11" ht="15">
      <c r="A461" s="30"/>
      <c r="B461" s="30"/>
      <c r="C461" s="30"/>
      <c r="D461" s="30"/>
      <c r="E461" s="30"/>
      <c r="F461" s="30"/>
      <c r="G461" s="30"/>
      <c r="H461" s="30"/>
      <c r="I461" s="30"/>
      <c r="J461" s="30"/>
      <c r="K461"/>
    </row>
    <row r="462" spans="1:11" ht="15">
      <c r="A462" s="30"/>
      <c r="B462" s="30"/>
      <c r="C462" s="30"/>
      <c r="D462" s="30"/>
      <c r="E462" s="30"/>
      <c r="F462" s="30"/>
      <c r="G462" s="30"/>
      <c r="H462" s="30"/>
      <c r="I462" s="30"/>
      <c r="J462" s="30"/>
      <c r="K462"/>
    </row>
    <row r="463" spans="1:11" ht="15">
      <c r="A463" s="30"/>
      <c r="B463" s="30"/>
      <c r="C463" s="30"/>
      <c r="D463" s="30"/>
      <c r="E463" s="30"/>
      <c r="F463" s="30"/>
      <c r="G463" s="30"/>
      <c r="H463" s="30"/>
      <c r="I463" s="30"/>
      <c r="J463" s="30"/>
      <c r="K463"/>
    </row>
    <row r="464" spans="1:11" ht="15">
      <c r="A464" s="30"/>
      <c r="B464" s="30"/>
      <c r="C464" s="30"/>
      <c r="D464" s="30"/>
      <c r="E464" s="30"/>
      <c r="F464" s="30"/>
      <c r="G464" s="30"/>
      <c r="H464" s="30"/>
      <c r="I464" s="30"/>
      <c r="J464" s="30"/>
      <c r="K464"/>
    </row>
    <row r="465" spans="1:11" ht="15">
      <c r="A465" s="30"/>
      <c r="B465" s="30"/>
      <c r="C465" s="30"/>
      <c r="D465" s="30"/>
      <c r="E465" s="30"/>
      <c r="F465" s="30"/>
      <c r="G465" s="30"/>
      <c r="H465" s="30"/>
      <c r="I465" s="30"/>
      <c r="J465" s="30"/>
      <c r="K465"/>
    </row>
    <row r="466" spans="1:11" ht="15">
      <c r="A466" s="30"/>
      <c r="B466" s="30"/>
      <c r="C466" s="30"/>
      <c r="D466" s="30"/>
      <c r="E466" s="30"/>
      <c r="F466" s="30"/>
      <c r="G466" s="30"/>
      <c r="H466" s="30"/>
      <c r="I466" s="30"/>
      <c r="J466" s="30"/>
      <c r="K466"/>
    </row>
    <row r="467" spans="1:11" ht="15">
      <c r="A467" s="30"/>
      <c r="B467" s="30"/>
      <c r="C467" s="30"/>
      <c r="D467" s="30"/>
      <c r="E467" s="30"/>
      <c r="F467" s="30"/>
      <c r="G467" s="30"/>
      <c r="H467" s="30"/>
      <c r="I467" s="30"/>
      <c r="J467" s="30"/>
      <c r="K467"/>
    </row>
    <row r="468" spans="1:11" ht="15">
      <c r="A468" s="30"/>
      <c r="B468" s="30"/>
      <c r="C468" s="30"/>
      <c r="D468" s="30"/>
      <c r="E468" s="30"/>
      <c r="F468" s="30"/>
      <c r="G468" s="30"/>
      <c r="H468" s="30"/>
      <c r="I468" s="30"/>
      <c r="J468" s="30"/>
      <c r="K468"/>
    </row>
    <row r="469" spans="1:11" ht="15">
      <c r="A469" s="30"/>
      <c r="B469" s="30"/>
      <c r="C469" s="30"/>
      <c r="D469" s="30"/>
      <c r="E469" s="30"/>
      <c r="F469" s="30"/>
      <c r="G469" s="30"/>
      <c r="H469" s="30"/>
      <c r="I469" s="30"/>
      <c r="J469" s="30"/>
      <c r="K469"/>
    </row>
    <row r="470" spans="1:11" ht="15">
      <c r="A470" s="30"/>
      <c r="B470" s="30"/>
      <c r="C470" s="30"/>
      <c r="D470" s="30"/>
      <c r="E470" s="30"/>
      <c r="F470" s="30"/>
      <c r="G470" s="30"/>
      <c r="H470" s="30"/>
      <c r="I470" s="30"/>
      <c r="J470" s="30"/>
      <c r="K470"/>
    </row>
    <row r="471" spans="1:11" ht="15">
      <c r="A471" s="30"/>
      <c r="B471" s="30"/>
      <c r="C471" s="30"/>
      <c r="D471" s="30"/>
      <c r="E471" s="30"/>
      <c r="F471" s="30"/>
      <c r="G471" s="30"/>
      <c r="H471" s="30"/>
      <c r="I471" s="30"/>
      <c r="J471" s="30"/>
      <c r="K471"/>
    </row>
    <row r="472" spans="1:11" ht="15">
      <c r="A472" s="30"/>
      <c r="B472" s="30"/>
      <c r="C472" s="30"/>
      <c r="D472" s="30"/>
      <c r="E472" s="30"/>
      <c r="F472" s="30"/>
      <c r="G472" s="30"/>
      <c r="H472" s="30"/>
      <c r="I472" s="30"/>
      <c r="J472" s="30"/>
      <c r="K472"/>
    </row>
    <row r="473" spans="1:11" ht="15">
      <c r="A473" s="30"/>
      <c r="B473" s="30"/>
      <c r="C473" s="30"/>
      <c r="D473" s="30"/>
      <c r="E473" s="30"/>
      <c r="F473" s="30"/>
      <c r="G473" s="30"/>
      <c r="H473" s="30"/>
      <c r="I473" s="30"/>
      <c r="J473" s="30"/>
      <c r="K473"/>
    </row>
    <row r="474" spans="1:11" ht="15">
      <c r="A474" s="30"/>
      <c r="B474" s="30"/>
      <c r="C474" s="30"/>
      <c r="D474" s="30"/>
      <c r="E474" s="30"/>
      <c r="F474" s="30"/>
      <c r="G474" s="30"/>
      <c r="H474" s="30"/>
      <c r="I474" s="30"/>
      <c r="J474" s="30"/>
      <c r="K474"/>
    </row>
    <row r="475" spans="1:11" ht="15">
      <c r="A475" s="30"/>
      <c r="B475" s="30"/>
      <c r="C475" s="30"/>
      <c r="D475" s="30"/>
      <c r="E475" s="30"/>
      <c r="F475" s="30"/>
      <c r="G475" s="30"/>
      <c r="H475" s="30"/>
      <c r="I475" s="30"/>
      <c r="J475" s="30"/>
      <c r="K475"/>
    </row>
    <row r="476" spans="1:11" ht="15">
      <c r="A476" s="30"/>
      <c r="B476" s="30"/>
      <c r="C476" s="30"/>
      <c r="D476" s="30"/>
      <c r="E476" s="30"/>
      <c r="F476" s="30"/>
      <c r="G476" s="30"/>
      <c r="H476" s="30"/>
      <c r="I476" s="30"/>
      <c r="J476" s="30"/>
      <c r="K476"/>
    </row>
    <row r="477" spans="1:11" ht="15">
      <c r="A477" s="30"/>
      <c r="B477" s="30"/>
      <c r="C477" s="30"/>
      <c r="D477" s="30"/>
      <c r="E477" s="30"/>
      <c r="F477" s="30"/>
      <c r="G477" s="30"/>
      <c r="H477" s="30"/>
      <c r="I477" s="30"/>
      <c r="J477" s="30"/>
      <c r="K477"/>
    </row>
    <row r="478" spans="1:11" ht="15">
      <c r="A478" s="30"/>
      <c r="B478" s="30"/>
      <c r="C478" s="30"/>
      <c r="D478" s="30"/>
      <c r="E478" s="30"/>
      <c r="F478" s="30"/>
      <c r="G478" s="30"/>
      <c r="H478" s="30"/>
      <c r="I478" s="30"/>
      <c r="J478" s="30"/>
      <c r="K478"/>
    </row>
    <row r="479" spans="1:11" ht="15">
      <c r="A479" s="30"/>
      <c r="B479" s="30"/>
      <c r="C479" s="30"/>
      <c r="D479" s="30"/>
      <c r="E479" s="30"/>
      <c r="F479" s="30"/>
      <c r="G479" s="30"/>
      <c r="H479" s="30"/>
      <c r="I479" s="30"/>
      <c r="J479" s="30"/>
      <c r="K479"/>
    </row>
    <row r="480" spans="1:11" ht="15">
      <c r="A480" s="30"/>
      <c r="B480" s="30"/>
      <c r="C480" s="30"/>
      <c r="D480" s="30"/>
      <c r="E480" s="30"/>
      <c r="F480" s="30"/>
      <c r="G480" s="30"/>
      <c r="H480" s="30"/>
      <c r="I480" s="30"/>
      <c r="J480" s="30"/>
      <c r="K480"/>
    </row>
    <row r="481" spans="1:11" ht="15">
      <c r="A481" s="30"/>
      <c r="B481" s="30"/>
      <c r="C481" s="30"/>
      <c r="D481" s="30"/>
      <c r="E481" s="30"/>
      <c r="F481" s="30"/>
      <c r="G481" s="30"/>
      <c r="H481" s="30"/>
      <c r="I481" s="30"/>
      <c r="J481" s="30"/>
      <c r="K481"/>
    </row>
    <row r="482" spans="1:11" ht="15">
      <c r="A482" s="30"/>
      <c r="B482" s="30"/>
      <c r="C482" s="30"/>
      <c r="D482" s="30"/>
      <c r="E482" s="30"/>
      <c r="F482" s="30"/>
      <c r="G482" s="30"/>
      <c r="H482" s="30"/>
      <c r="I482" s="30"/>
      <c r="J482" s="30"/>
      <c r="K482"/>
    </row>
    <row r="483" spans="1:11" ht="15">
      <c r="A483" s="30"/>
      <c r="B483" s="30"/>
      <c r="C483" s="30"/>
      <c r="D483" s="30"/>
      <c r="E483" s="30"/>
      <c r="F483" s="30"/>
      <c r="G483" s="30"/>
      <c r="H483" s="30"/>
      <c r="I483" s="30"/>
      <c r="J483" s="30"/>
      <c r="K483"/>
    </row>
    <row r="484" spans="1:11" ht="15">
      <c r="A484" s="30"/>
      <c r="B484" s="30"/>
      <c r="C484" s="30"/>
      <c r="D484" s="30"/>
      <c r="E484" s="30"/>
      <c r="F484" s="30"/>
      <c r="G484" s="30"/>
      <c r="H484" s="30"/>
      <c r="I484" s="30"/>
      <c r="J484" s="30"/>
      <c r="K484"/>
    </row>
    <row r="485" spans="1:11" ht="15">
      <c r="A485" s="30"/>
      <c r="B485" s="30"/>
      <c r="C485" s="30"/>
      <c r="D485" s="30"/>
      <c r="E485" s="30"/>
      <c r="F485" s="30"/>
      <c r="G485" s="30"/>
      <c r="H485" s="30"/>
      <c r="I485" s="30"/>
      <c r="J485" s="30"/>
      <c r="K485"/>
    </row>
    <row r="486" spans="1:11" ht="15">
      <c r="A486" s="30"/>
      <c r="B486" s="30"/>
      <c r="C486" s="30"/>
      <c r="D486" s="30"/>
      <c r="E486" s="30"/>
      <c r="F486" s="30"/>
      <c r="G486" s="30"/>
      <c r="H486" s="30"/>
      <c r="I486" s="30"/>
      <c r="J486" s="30"/>
      <c r="K486"/>
    </row>
    <row r="487" spans="1:11" ht="15">
      <c r="A487" s="30"/>
      <c r="B487" s="30"/>
      <c r="C487" s="30"/>
      <c r="D487" s="30"/>
      <c r="E487" s="30"/>
      <c r="F487" s="30"/>
      <c r="G487" s="30"/>
      <c r="H487" s="30"/>
      <c r="I487" s="30"/>
      <c r="J487" s="30"/>
      <c r="K487"/>
    </row>
    <row r="488" spans="1:11" ht="15">
      <c r="A488" s="30"/>
      <c r="B488" s="30"/>
      <c r="C488" s="30"/>
      <c r="D488" s="30"/>
      <c r="E488" s="30"/>
      <c r="F488" s="30"/>
      <c r="G488" s="30"/>
      <c r="H488" s="30"/>
      <c r="I488" s="30"/>
      <c r="J488" s="30"/>
      <c r="K488"/>
    </row>
    <row r="489" spans="1:11" ht="15">
      <c r="A489" s="30"/>
      <c r="B489" s="30"/>
      <c r="C489" s="30"/>
      <c r="D489" s="30"/>
      <c r="E489" s="30"/>
      <c r="F489" s="30"/>
      <c r="G489" s="30"/>
      <c r="H489" s="30"/>
      <c r="I489" s="30"/>
      <c r="J489" s="30"/>
      <c r="K489"/>
    </row>
    <row r="490" spans="1:11" ht="15">
      <c r="A490" s="30"/>
      <c r="B490" s="30"/>
      <c r="C490" s="30"/>
      <c r="D490" s="30"/>
      <c r="E490" s="30"/>
      <c r="F490" s="30"/>
      <c r="G490" s="30"/>
      <c r="H490" s="30"/>
      <c r="I490" s="30"/>
      <c r="J490" s="30"/>
      <c r="K490"/>
    </row>
    <row r="491" spans="1:11" ht="15">
      <c r="A491" s="30"/>
      <c r="B491" s="30"/>
      <c r="C491" s="30"/>
      <c r="D491" s="30"/>
      <c r="E491" s="30"/>
      <c r="F491" s="30"/>
      <c r="G491" s="30"/>
      <c r="H491" s="30"/>
      <c r="I491" s="30"/>
      <c r="J491" s="30"/>
      <c r="K491"/>
    </row>
    <row r="492" spans="1:11" ht="15">
      <c r="A492" s="30"/>
      <c r="B492" s="30"/>
      <c r="C492" s="30"/>
      <c r="D492" s="30"/>
      <c r="E492" s="30"/>
      <c r="F492" s="30"/>
      <c r="G492" s="30"/>
      <c r="H492" s="30"/>
      <c r="I492" s="30"/>
      <c r="J492" s="30"/>
      <c r="K492"/>
    </row>
    <row r="493" spans="1:11" ht="15">
      <c r="A493" s="30"/>
      <c r="B493" s="30"/>
      <c r="C493" s="30"/>
      <c r="D493" s="30"/>
      <c r="E493" s="30"/>
      <c r="F493" s="30"/>
      <c r="G493" s="30"/>
      <c r="H493" s="30"/>
      <c r="I493" s="30"/>
      <c r="J493" s="30"/>
      <c r="K493"/>
    </row>
    <row r="494" spans="1:11" ht="15">
      <c r="A494" s="30"/>
      <c r="B494" s="30"/>
      <c r="C494" s="30"/>
      <c r="D494" s="30"/>
      <c r="E494" s="30"/>
      <c r="F494" s="30"/>
      <c r="G494" s="30"/>
      <c r="H494" s="30"/>
      <c r="I494" s="30"/>
      <c r="J494" s="30"/>
      <c r="K494"/>
    </row>
    <row r="495" spans="1:11" ht="15">
      <c r="A495" s="30"/>
      <c r="B495" s="30"/>
      <c r="C495" s="30"/>
      <c r="D495" s="30"/>
      <c r="E495" s="30"/>
      <c r="F495" s="30"/>
      <c r="G495" s="30"/>
      <c r="H495" s="30"/>
      <c r="I495" s="30"/>
      <c r="J495" s="30"/>
      <c r="K495"/>
    </row>
    <row r="496" spans="1:11" ht="15">
      <c r="A496" s="30"/>
      <c r="B496" s="30"/>
      <c r="C496" s="30"/>
      <c r="D496" s="30"/>
      <c r="E496" s="30"/>
      <c r="F496" s="30"/>
      <c r="G496" s="30"/>
      <c r="H496" s="30"/>
      <c r="I496" s="30"/>
      <c r="J496" s="30"/>
      <c r="K496"/>
    </row>
    <row r="497" spans="1:11" ht="15">
      <c r="A497" s="30"/>
      <c r="B497" s="30"/>
      <c r="C497" s="30"/>
      <c r="D497" s="30"/>
      <c r="E497" s="30"/>
      <c r="F497" s="30"/>
      <c r="G497" s="30"/>
      <c r="H497" s="30"/>
      <c r="I497" s="30"/>
      <c r="J497" s="30"/>
      <c r="K497"/>
    </row>
    <row r="498" spans="1:11" ht="15">
      <c r="A498" s="30"/>
      <c r="B498" s="30"/>
      <c r="C498" s="30"/>
      <c r="D498" s="30"/>
      <c r="E498" s="30"/>
      <c r="F498" s="30"/>
      <c r="G498" s="30"/>
      <c r="H498" s="30"/>
      <c r="I498" s="30"/>
      <c r="J498" s="30"/>
      <c r="K498"/>
    </row>
    <row r="499" spans="1:11" ht="15">
      <c r="A499" s="30"/>
      <c r="B499" s="30"/>
      <c r="C499" s="30"/>
      <c r="D499" s="30"/>
      <c r="E499" s="30"/>
      <c r="F499" s="30"/>
      <c r="G499" s="30"/>
      <c r="H499" s="30"/>
      <c r="I499" s="30"/>
      <c r="J499" s="30"/>
      <c r="K499"/>
    </row>
    <row r="500" spans="1:11" ht="15">
      <c r="A500" s="30"/>
      <c r="B500" s="30"/>
      <c r="C500" s="30"/>
      <c r="D500" s="30"/>
      <c r="E500" s="30"/>
      <c r="F500" s="30"/>
      <c r="G500" s="30"/>
      <c r="H500" s="30"/>
      <c r="I500" s="30"/>
      <c r="J500" s="30"/>
      <c r="K500"/>
    </row>
    <row r="501" spans="1:11" ht="15">
      <c r="A501" s="30"/>
      <c r="B501" s="30"/>
      <c r="C501" s="30"/>
      <c r="D501" s="30"/>
      <c r="E501" s="30"/>
      <c r="F501" s="30"/>
      <c r="G501" s="30"/>
      <c r="H501" s="30"/>
      <c r="I501" s="30"/>
      <c r="J501" s="30"/>
      <c r="K501"/>
    </row>
    <row r="502" spans="1:11" ht="15">
      <c r="A502" s="30"/>
      <c r="B502" s="30"/>
      <c r="C502" s="30"/>
      <c r="D502" s="30"/>
      <c r="E502" s="30"/>
      <c r="F502" s="30"/>
      <c r="G502" s="30"/>
      <c r="H502" s="30"/>
      <c r="I502" s="30"/>
      <c r="J502" s="30"/>
      <c r="K502"/>
    </row>
    <row r="503" spans="1:11" ht="15">
      <c r="A503" s="30"/>
      <c r="B503" s="30"/>
      <c r="C503" s="30"/>
      <c r="D503" s="30"/>
      <c r="E503" s="30"/>
      <c r="F503" s="30"/>
      <c r="G503" s="30"/>
      <c r="H503" s="30"/>
      <c r="I503" s="30"/>
      <c r="J503" s="30"/>
      <c r="K503"/>
    </row>
    <row r="504" spans="1:11" ht="15">
      <c r="A504" s="30"/>
      <c r="B504" s="30"/>
      <c r="C504" s="30"/>
      <c r="D504" s="30"/>
      <c r="E504" s="30"/>
      <c r="F504" s="30"/>
      <c r="G504" s="30"/>
      <c r="H504" s="30"/>
      <c r="I504" s="30"/>
      <c r="J504" s="30"/>
      <c r="K504"/>
    </row>
    <row r="505" spans="1:11" ht="15">
      <c r="A505" s="30"/>
      <c r="B505" s="30"/>
      <c r="C505" s="30"/>
      <c r="D505" s="30"/>
      <c r="E505" s="30"/>
      <c r="F505" s="30"/>
      <c r="G505" s="30"/>
      <c r="H505" s="30"/>
      <c r="I505" s="30"/>
      <c r="J505" s="30"/>
      <c r="K505"/>
    </row>
    <row r="506" spans="1:11" ht="15">
      <c r="A506" s="30"/>
      <c r="B506" s="30"/>
      <c r="C506" s="30"/>
      <c r="D506" s="30"/>
      <c r="E506" s="30"/>
      <c r="F506" s="30"/>
      <c r="G506" s="30"/>
      <c r="H506" s="30"/>
      <c r="I506" s="30"/>
      <c r="J506" s="30"/>
      <c r="K506"/>
    </row>
    <row r="507" spans="1:11" ht="15">
      <c r="A507" s="30"/>
      <c r="B507" s="30"/>
      <c r="C507" s="30"/>
      <c r="D507" s="30"/>
      <c r="E507" s="30"/>
      <c r="F507" s="30"/>
      <c r="G507" s="30"/>
      <c r="H507" s="30"/>
      <c r="I507" s="30"/>
      <c r="J507" s="30"/>
      <c r="K507"/>
    </row>
    <row r="508" spans="1:11" ht="15">
      <c r="A508" s="30"/>
      <c r="B508" s="30"/>
      <c r="C508" s="30"/>
      <c r="D508" s="30"/>
      <c r="E508" s="30"/>
      <c r="F508" s="30"/>
      <c r="G508" s="30"/>
      <c r="H508" s="30"/>
      <c r="I508" s="30"/>
      <c r="J508" s="30"/>
      <c r="K508"/>
    </row>
    <row r="509" spans="1:11" ht="15">
      <c r="A509" s="30"/>
      <c r="B509" s="30"/>
      <c r="C509" s="30"/>
      <c r="D509" s="30"/>
      <c r="E509" s="30"/>
      <c r="F509" s="30"/>
      <c r="G509" s="30"/>
      <c r="H509" s="30"/>
      <c r="I509" s="30"/>
      <c r="J509" s="30"/>
      <c r="K509"/>
    </row>
    <row r="510" spans="1:11" ht="15">
      <c r="A510" s="30"/>
      <c r="B510" s="30"/>
      <c r="C510" s="30"/>
      <c r="D510" s="30"/>
      <c r="E510" s="30"/>
      <c r="F510" s="30"/>
      <c r="G510" s="30"/>
      <c r="H510" s="30"/>
      <c r="I510" s="30"/>
      <c r="J510" s="30"/>
      <c r="K510"/>
    </row>
    <row r="511" spans="1:11" ht="15">
      <c r="A511" s="30"/>
      <c r="B511" s="30"/>
      <c r="C511" s="30"/>
      <c r="D511" s="30"/>
      <c r="E511" s="30"/>
      <c r="F511" s="30"/>
      <c r="G511" s="30"/>
      <c r="H511" s="30"/>
      <c r="I511" s="30"/>
      <c r="J511" s="30"/>
      <c r="K511"/>
    </row>
    <row r="512" spans="1:11" ht="15">
      <c r="A512" s="30"/>
      <c r="B512" s="30"/>
      <c r="C512" s="30"/>
      <c r="D512" s="30"/>
      <c r="E512" s="30"/>
      <c r="F512" s="30"/>
      <c r="G512" s="30"/>
      <c r="H512" s="30"/>
      <c r="I512" s="30"/>
      <c r="J512" s="30"/>
      <c r="K512"/>
    </row>
    <row r="513" spans="1:11" ht="15">
      <c r="A513" s="30"/>
      <c r="B513" s="30"/>
      <c r="C513" s="30"/>
      <c r="D513" s="30"/>
      <c r="E513" s="30"/>
      <c r="F513" s="30"/>
      <c r="G513" s="30"/>
      <c r="H513" s="30"/>
      <c r="I513" s="30"/>
      <c r="J513" s="30"/>
      <c r="K513"/>
    </row>
    <row r="514" spans="1:11" ht="15">
      <c r="A514" s="30"/>
      <c r="B514" s="30"/>
      <c r="C514" s="30"/>
      <c r="D514" s="30"/>
      <c r="E514" s="30"/>
      <c r="F514" s="30"/>
      <c r="G514" s="30"/>
      <c r="H514" s="30"/>
      <c r="I514" s="30"/>
      <c r="J514" s="30"/>
      <c r="K514"/>
    </row>
    <row r="515" spans="1:11" ht="15">
      <c r="A515" s="30"/>
      <c r="B515" s="30"/>
      <c r="C515" s="30"/>
      <c r="D515" s="30"/>
      <c r="E515" s="30"/>
      <c r="F515" s="30"/>
      <c r="G515" s="30"/>
      <c r="H515" s="30"/>
      <c r="I515" s="30"/>
      <c r="J515" s="30"/>
      <c r="K515"/>
    </row>
    <row r="516" spans="1:11" ht="15">
      <c r="A516" s="30"/>
      <c r="B516" s="30"/>
      <c r="C516" s="30"/>
      <c r="D516" s="30"/>
      <c r="E516" s="30"/>
      <c r="F516" s="30"/>
      <c r="G516" s="30"/>
      <c r="H516" s="30"/>
      <c r="I516" s="30"/>
      <c r="J516" s="30"/>
      <c r="K516"/>
    </row>
    <row r="517" spans="1:11" ht="15">
      <c r="A517" s="30"/>
      <c r="B517" s="30"/>
      <c r="C517" s="30"/>
      <c r="D517" s="30"/>
      <c r="E517" s="30"/>
      <c r="F517" s="30"/>
      <c r="G517" s="30"/>
      <c r="H517" s="30"/>
      <c r="I517" s="30"/>
      <c r="J517" s="30"/>
      <c r="K517"/>
    </row>
    <row r="518" spans="1:11" ht="15">
      <c r="A518" s="30"/>
      <c r="B518" s="30"/>
      <c r="C518" s="30"/>
      <c r="D518" s="30"/>
      <c r="E518" s="30"/>
      <c r="F518" s="30"/>
      <c r="G518" s="30"/>
      <c r="H518" s="30"/>
      <c r="I518" s="30"/>
      <c r="J518" s="30"/>
      <c r="K518"/>
    </row>
    <row r="519" spans="1:11" ht="15">
      <c r="A519" s="30"/>
      <c r="B519" s="30"/>
      <c r="C519" s="30"/>
      <c r="D519" s="30"/>
      <c r="E519" s="30"/>
      <c r="F519" s="30"/>
      <c r="G519" s="30"/>
      <c r="H519" s="30"/>
      <c r="I519" s="30"/>
      <c r="J519" s="30"/>
      <c r="K519"/>
    </row>
    <row r="520" spans="1:11" ht="15">
      <c r="A520" s="30"/>
      <c r="B520" s="30"/>
      <c r="C520" s="30"/>
      <c r="D520" s="30"/>
      <c r="E520" s="30"/>
      <c r="F520" s="30"/>
      <c r="G520" s="30"/>
      <c r="H520" s="30"/>
      <c r="I520" s="30"/>
      <c r="J520" s="30"/>
      <c r="K520"/>
    </row>
    <row r="521" spans="1:11" ht="15">
      <c r="A521" s="30"/>
      <c r="B521" s="30"/>
      <c r="C521" s="30"/>
      <c r="D521" s="30"/>
      <c r="E521" s="30"/>
      <c r="F521" s="30"/>
      <c r="G521" s="30"/>
      <c r="H521" s="30"/>
      <c r="I521" s="30"/>
      <c r="J521" s="30"/>
      <c r="K521"/>
    </row>
    <row r="522" spans="1:11" ht="15">
      <c r="A522" s="30"/>
      <c r="B522" s="30"/>
      <c r="C522" s="30"/>
      <c r="D522" s="30"/>
      <c r="E522" s="30"/>
      <c r="F522" s="30"/>
      <c r="G522" s="30"/>
      <c r="H522" s="30"/>
      <c r="I522" s="30"/>
      <c r="J522" s="30"/>
      <c r="K522"/>
    </row>
    <row r="523" spans="1:11" ht="15">
      <c r="A523" s="30"/>
      <c r="B523" s="30"/>
      <c r="C523" s="30"/>
      <c r="D523" s="30"/>
      <c r="E523" s="30"/>
      <c r="F523" s="30"/>
      <c r="G523" s="30"/>
      <c r="H523" s="30"/>
      <c r="I523" s="30"/>
      <c r="J523" s="30"/>
      <c r="K523"/>
    </row>
    <row r="524" spans="1:11" ht="15">
      <c r="A524" s="30"/>
      <c r="B524" s="30"/>
      <c r="C524" s="30"/>
      <c r="D524" s="30"/>
      <c r="E524" s="30"/>
      <c r="F524" s="30"/>
      <c r="G524" s="30"/>
      <c r="H524" s="30"/>
      <c r="I524" s="30"/>
      <c r="J524" s="30"/>
      <c r="K524"/>
    </row>
    <row r="525" spans="1:11" ht="15">
      <c r="A525" s="30"/>
      <c r="B525" s="30"/>
      <c r="C525" s="30"/>
      <c r="D525" s="30"/>
      <c r="E525" s="30"/>
      <c r="F525" s="30"/>
      <c r="G525" s="30"/>
      <c r="H525" s="30"/>
      <c r="I525" s="30"/>
      <c r="J525" s="30"/>
      <c r="K525"/>
    </row>
    <row r="526" spans="1:11" ht="15">
      <c r="A526" s="30"/>
      <c r="B526" s="30"/>
      <c r="C526" s="30"/>
      <c r="D526" s="30"/>
      <c r="E526" s="30"/>
      <c r="F526" s="30"/>
      <c r="G526" s="30"/>
      <c r="H526" s="30"/>
      <c r="I526" s="30"/>
      <c r="J526" s="30"/>
      <c r="K526"/>
    </row>
    <row r="527" spans="1:11" ht="15">
      <c r="A527" s="30"/>
      <c r="B527" s="30"/>
      <c r="C527" s="30"/>
      <c r="D527" s="30"/>
      <c r="E527" s="30"/>
      <c r="F527" s="30"/>
      <c r="G527" s="30"/>
      <c r="H527" s="30"/>
      <c r="I527" s="30"/>
      <c r="J527" s="30"/>
      <c r="K527"/>
    </row>
    <row r="528" spans="1:11" ht="15">
      <c r="A528" s="30"/>
      <c r="B528" s="30"/>
      <c r="C528" s="30"/>
      <c r="D528" s="30"/>
      <c r="E528" s="30"/>
      <c r="F528" s="30"/>
      <c r="G528" s="30"/>
      <c r="H528" s="30"/>
      <c r="I528" s="30"/>
      <c r="J528" s="30"/>
      <c r="K528"/>
    </row>
    <row r="529" spans="1:11" ht="15">
      <c r="A529" s="30"/>
      <c r="B529" s="30"/>
      <c r="C529" s="30"/>
      <c r="D529" s="30"/>
      <c r="E529" s="30"/>
      <c r="F529" s="30"/>
      <c r="G529" s="30"/>
      <c r="H529" s="30"/>
      <c r="I529" s="30"/>
      <c r="J529" s="30"/>
      <c r="K529"/>
    </row>
    <row r="530" spans="1:11" ht="15">
      <c r="A530" s="30"/>
      <c r="B530" s="30"/>
      <c r="C530" s="30"/>
      <c r="D530" s="30"/>
      <c r="E530" s="30"/>
      <c r="F530" s="30"/>
      <c r="G530" s="30"/>
      <c r="H530" s="30"/>
      <c r="I530" s="30"/>
      <c r="J530" s="30"/>
      <c r="K530"/>
    </row>
    <row r="531" spans="1:11" ht="15">
      <c r="A531" s="30"/>
      <c r="B531" s="30"/>
      <c r="C531" s="30"/>
      <c r="D531" s="30"/>
      <c r="E531" s="30"/>
      <c r="F531" s="30"/>
      <c r="G531" s="30"/>
      <c r="H531" s="30"/>
      <c r="I531" s="30"/>
      <c r="J531" s="30"/>
      <c r="K531"/>
    </row>
    <row r="532" spans="1:11" ht="15">
      <c r="A532" s="30"/>
      <c r="B532" s="30"/>
      <c r="C532" s="30"/>
      <c r="D532" s="30"/>
      <c r="E532" s="30"/>
      <c r="F532" s="30"/>
      <c r="G532" s="30"/>
      <c r="H532" s="30"/>
      <c r="I532" s="30"/>
      <c r="J532" s="30"/>
      <c r="K532"/>
    </row>
    <row r="533" spans="1:11" ht="15">
      <c r="A533" s="30"/>
      <c r="B533" s="30"/>
      <c r="C533" s="30"/>
      <c r="D533" s="30"/>
      <c r="E533" s="30"/>
      <c r="F533" s="30"/>
      <c r="G533" s="30"/>
      <c r="H533" s="30"/>
      <c r="I533" s="30"/>
      <c r="J533" s="30"/>
      <c r="K533"/>
    </row>
    <row r="534" spans="1:11" ht="15">
      <c r="A534" s="30"/>
      <c r="B534" s="30"/>
      <c r="C534" s="30"/>
      <c r="D534" s="30"/>
      <c r="E534" s="30"/>
      <c r="F534" s="30"/>
      <c r="G534" s="30"/>
      <c r="H534" s="30"/>
      <c r="I534" s="30"/>
      <c r="J534" s="30"/>
      <c r="K534"/>
    </row>
    <row r="535" spans="1:11" ht="15">
      <c r="A535" s="30"/>
      <c r="B535" s="30"/>
      <c r="C535" s="30"/>
      <c r="D535" s="30"/>
      <c r="E535" s="30"/>
      <c r="F535" s="30"/>
      <c r="G535" s="30"/>
      <c r="H535" s="30"/>
      <c r="I535" s="30"/>
      <c r="J535" s="30"/>
      <c r="K535"/>
    </row>
    <row r="536" spans="1:11" ht="15">
      <c r="A536" s="30"/>
      <c r="B536" s="30"/>
      <c r="C536" s="30"/>
      <c r="D536" s="30"/>
      <c r="E536" s="30"/>
      <c r="F536" s="30"/>
      <c r="G536" s="30"/>
      <c r="H536" s="30"/>
      <c r="I536" s="30"/>
      <c r="J536" s="30"/>
      <c r="K536"/>
    </row>
    <row r="537" spans="1:11" ht="15">
      <c r="A537" s="30"/>
      <c r="B537" s="30"/>
      <c r="C537" s="30"/>
      <c r="D537" s="30"/>
      <c r="E537" s="30"/>
      <c r="F537" s="30"/>
      <c r="G537" s="30"/>
      <c r="H537" s="30"/>
      <c r="I537" s="30"/>
      <c r="J537" s="30"/>
      <c r="K537"/>
    </row>
    <row r="538" spans="1:11" ht="15">
      <c r="A538" s="30"/>
      <c r="B538" s="30"/>
      <c r="C538" s="30"/>
      <c r="D538" s="30"/>
      <c r="E538" s="30"/>
      <c r="F538" s="30"/>
      <c r="G538" s="30"/>
      <c r="H538" s="30"/>
      <c r="I538" s="30"/>
      <c r="J538" s="30"/>
      <c r="K538"/>
    </row>
    <row r="539" spans="1:11" ht="15">
      <c r="A539" s="30"/>
      <c r="B539" s="30"/>
      <c r="C539" s="30"/>
      <c r="D539" s="30"/>
      <c r="E539" s="30"/>
      <c r="F539" s="30"/>
      <c r="G539" s="30"/>
      <c r="H539" s="30"/>
      <c r="I539" s="30"/>
      <c r="J539" s="30"/>
      <c r="K539"/>
    </row>
    <row r="540" spans="1:11" ht="15">
      <c r="A540" s="30"/>
      <c r="B540" s="30"/>
      <c r="C540" s="30"/>
      <c r="D540" s="30"/>
      <c r="E540" s="30"/>
      <c r="F540" s="30"/>
      <c r="G540" s="30"/>
      <c r="H540" s="30"/>
      <c r="I540" s="30"/>
      <c r="J540" s="30"/>
      <c r="K540"/>
    </row>
    <row r="541" spans="1:11" ht="15">
      <c r="A541" s="30"/>
      <c r="B541" s="30"/>
      <c r="C541" s="30"/>
      <c r="D541" s="30"/>
      <c r="E541" s="30"/>
      <c r="F541" s="30"/>
      <c r="G541" s="30"/>
      <c r="H541" s="30"/>
      <c r="I541" s="30"/>
      <c r="J541" s="30"/>
      <c r="K541"/>
    </row>
    <row r="542" spans="1:11" ht="15">
      <c r="A542" s="30"/>
      <c r="B542" s="30"/>
      <c r="C542" s="30"/>
      <c r="D542" s="30"/>
      <c r="E542" s="30"/>
      <c r="F542" s="30"/>
      <c r="G542" s="30"/>
      <c r="H542" s="30"/>
      <c r="I542" s="30"/>
      <c r="J542" s="30"/>
      <c r="K542"/>
    </row>
    <row r="543" spans="1:11" ht="15">
      <c r="A543" s="30"/>
      <c r="B543" s="30"/>
      <c r="C543" s="30"/>
      <c r="D543" s="30"/>
      <c r="E543" s="30"/>
      <c r="F543" s="30"/>
      <c r="G543" s="30"/>
      <c r="H543" s="30"/>
      <c r="I543" s="30"/>
      <c r="J543" s="30"/>
      <c r="K543"/>
    </row>
    <row r="544" spans="1:11" ht="15">
      <c r="A544" s="30"/>
      <c r="B544" s="30"/>
      <c r="C544" s="30"/>
      <c r="D544" s="30"/>
      <c r="E544" s="30"/>
      <c r="F544" s="30"/>
      <c r="G544" s="30"/>
      <c r="H544" s="30"/>
      <c r="I544" s="30"/>
      <c r="J544" s="30"/>
      <c r="K544"/>
    </row>
    <row r="545" spans="1:11" ht="15">
      <c r="A545" s="30"/>
      <c r="B545" s="30"/>
      <c r="C545" s="30"/>
      <c r="D545" s="30"/>
      <c r="E545" s="30"/>
      <c r="F545" s="30"/>
      <c r="G545" s="30"/>
      <c r="H545" s="30"/>
      <c r="I545" s="30"/>
      <c r="J545" s="30"/>
      <c r="K545"/>
    </row>
    <row r="546" spans="1:11" ht="15">
      <c r="A546" s="30"/>
      <c r="B546" s="30"/>
      <c r="C546" s="30"/>
      <c r="D546" s="30"/>
      <c r="E546" s="30"/>
      <c r="F546" s="30"/>
      <c r="G546" s="30"/>
      <c r="H546" s="30"/>
      <c r="I546" s="30"/>
      <c r="J546" s="30"/>
      <c r="K546"/>
    </row>
    <row r="547" spans="1:11" ht="15">
      <c r="A547" s="30"/>
      <c r="B547" s="30"/>
      <c r="C547" s="30"/>
      <c r="D547" s="30"/>
      <c r="E547" s="30"/>
      <c r="F547" s="30"/>
      <c r="G547" s="30"/>
      <c r="H547" s="30"/>
      <c r="I547" s="30"/>
      <c r="J547" s="30"/>
      <c r="K547"/>
    </row>
    <row r="548" spans="1:11" ht="15">
      <c r="A548" s="30"/>
      <c r="B548" s="30"/>
      <c r="C548" s="30"/>
      <c r="D548" s="30"/>
      <c r="E548" s="30"/>
      <c r="F548" s="30"/>
      <c r="G548" s="30"/>
      <c r="H548" s="30"/>
      <c r="I548" s="30"/>
      <c r="J548" s="30"/>
      <c r="K548"/>
    </row>
    <row r="549" spans="1:11" ht="15">
      <c r="A549" s="30"/>
      <c r="B549" s="30"/>
      <c r="C549" s="30"/>
      <c r="D549" s="30"/>
      <c r="E549" s="30"/>
      <c r="F549" s="30"/>
      <c r="G549" s="30"/>
      <c r="H549" s="30"/>
      <c r="I549" s="30"/>
      <c r="J549" s="30"/>
      <c r="K549"/>
    </row>
    <row r="550" spans="1:11" ht="15">
      <c r="A550" s="30"/>
      <c r="B550" s="30"/>
      <c r="C550" s="30"/>
      <c r="D550" s="30"/>
      <c r="E550" s="30"/>
      <c r="F550" s="30"/>
      <c r="G550" s="30"/>
      <c r="H550" s="30"/>
      <c r="I550" s="30"/>
      <c r="J550" s="30"/>
      <c r="K550"/>
    </row>
    <row r="551" spans="1:11" ht="15">
      <c r="A551" s="30"/>
      <c r="B551" s="30"/>
      <c r="C551" s="30"/>
      <c r="D551" s="30"/>
      <c r="E551" s="30"/>
      <c r="F551" s="30"/>
      <c r="G551" s="30"/>
      <c r="H551" s="30"/>
      <c r="I551" s="30"/>
      <c r="J551" s="30"/>
      <c r="K551"/>
    </row>
    <row r="552" spans="1:11" ht="15">
      <c r="A552" s="30"/>
      <c r="B552" s="30"/>
      <c r="C552" s="30"/>
      <c r="D552" s="30"/>
      <c r="E552" s="30"/>
      <c r="F552" s="30"/>
      <c r="G552" s="30"/>
      <c r="H552" s="30"/>
      <c r="I552" s="30"/>
      <c r="J552" s="30"/>
      <c r="K552"/>
    </row>
    <row r="553" spans="1:11" ht="15">
      <c r="A553" s="30"/>
      <c r="B553" s="30"/>
      <c r="C553" s="30"/>
      <c r="D553" s="30"/>
      <c r="E553" s="30"/>
      <c r="F553" s="30"/>
      <c r="G553" s="30"/>
      <c r="H553" s="30"/>
      <c r="I553" s="30"/>
      <c r="J553" s="30"/>
      <c r="K553"/>
    </row>
    <row r="554" spans="1:11" ht="15">
      <c r="A554" s="30"/>
      <c r="B554" s="30"/>
      <c r="C554" s="30"/>
      <c r="D554" s="30"/>
      <c r="E554" s="30"/>
      <c r="F554" s="30"/>
      <c r="G554" s="30"/>
      <c r="H554" s="30"/>
      <c r="I554" s="30"/>
      <c r="J554" s="30"/>
      <c r="K554"/>
    </row>
    <row r="555" spans="1:11" ht="15">
      <c r="A555" s="30"/>
      <c r="B555" s="30"/>
      <c r="C555" s="30"/>
      <c r="D555" s="30"/>
      <c r="E555" s="30"/>
      <c r="F555" s="30"/>
      <c r="G555" s="30"/>
      <c r="H555" s="30"/>
      <c r="I555" s="30"/>
      <c r="J555" s="30"/>
      <c r="K555"/>
    </row>
    <row r="556" spans="1:11" ht="15">
      <c r="A556" s="30"/>
      <c r="B556" s="30"/>
      <c r="C556" s="30"/>
      <c r="D556" s="30"/>
      <c r="E556" s="30"/>
      <c r="F556" s="30"/>
      <c r="G556" s="30"/>
      <c r="H556" s="30"/>
      <c r="I556" s="30"/>
      <c r="J556" s="30"/>
      <c r="K556"/>
    </row>
    <row r="557" spans="1:11" ht="15">
      <c r="A557" s="30"/>
      <c r="B557" s="30"/>
      <c r="C557" s="30"/>
      <c r="D557" s="30"/>
      <c r="E557" s="30"/>
      <c r="F557" s="30"/>
      <c r="G557" s="30"/>
      <c r="H557" s="30"/>
      <c r="I557" s="30"/>
      <c r="J557" s="30"/>
      <c r="K557"/>
    </row>
    <row r="558" spans="1:11" ht="15">
      <c r="A558" s="30"/>
      <c r="B558" s="30"/>
      <c r="C558" s="30"/>
      <c r="D558" s="30"/>
      <c r="E558" s="30"/>
      <c r="F558" s="30"/>
      <c r="G558" s="30"/>
      <c r="H558" s="30"/>
      <c r="I558" s="30"/>
      <c r="J558" s="30"/>
      <c r="K558"/>
    </row>
    <row r="559" spans="1:11" ht="15">
      <c r="A559" s="30"/>
      <c r="B559" s="30"/>
      <c r="C559" s="30"/>
      <c r="D559" s="30"/>
      <c r="E559" s="30"/>
      <c r="F559" s="30"/>
      <c r="G559" s="30"/>
      <c r="H559" s="30"/>
      <c r="I559" s="30"/>
      <c r="J559" s="30"/>
      <c r="K559"/>
    </row>
    <row r="560" spans="1:11" ht="15">
      <c r="A560" s="30"/>
      <c r="B560" s="30"/>
      <c r="C560" s="30"/>
      <c r="D560" s="30"/>
      <c r="E560" s="30"/>
      <c r="F560" s="30"/>
      <c r="G560" s="30"/>
      <c r="H560" s="30"/>
      <c r="I560" s="30"/>
      <c r="J560" s="30"/>
      <c r="K560"/>
    </row>
    <row r="561" spans="1:11" ht="15">
      <c r="A561" s="30"/>
      <c r="B561" s="30"/>
      <c r="C561" s="30"/>
      <c r="D561" s="30"/>
      <c r="E561" s="30"/>
      <c r="F561" s="30"/>
      <c r="G561" s="30"/>
      <c r="H561" s="30"/>
      <c r="I561" s="30"/>
      <c r="J561" s="30"/>
      <c r="K561"/>
    </row>
    <row r="562" spans="1:11" ht="15">
      <c r="A562" s="30"/>
      <c r="B562" s="30"/>
      <c r="C562" s="30"/>
      <c r="D562" s="30"/>
      <c r="E562" s="30"/>
      <c r="F562" s="30"/>
      <c r="G562" s="30"/>
      <c r="H562" s="30"/>
      <c r="I562" s="30"/>
      <c r="J562" s="30"/>
      <c r="K562"/>
    </row>
    <row r="563" spans="1:11" ht="15">
      <c r="A563" s="30"/>
      <c r="B563" s="30"/>
      <c r="C563" s="30"/>
      <c r="D563" s="30"/>
      <c r="E563" s="30"/>
      <c r="F563" s="30"/>
      <c r="G563" s="30"/>
      <c r="H563" s="30"/>
      <c r="I563" s="30"/>
      <c r="J563" s="30"/>
      <c r="K563"/>
    </row>
    <row r="564" spans="1:11" ht="15">
      <c r="A564" s="30"/>
      <c r="B564" s="30"/>
      <c r="C564" s="30"/>
      <c r="D564" s="30"/>
      <c r="E564" s="30"/>
      <c r="F564" s="30"/>
      <c r="G564" s="30"/>
      <c r="H564" s="30"/>
      <c r="I564" s="30"/>
      <c r="J564" s="30"/>
      <c r="K564"/>
    </row>
    <row r="565" spans="1:11" ht="15">
      <c r="A565" s="30"/>
      <c r="B565" s="30"/>
      <c r="C565" s="30"/>
      <c r="D565" s="30"/>
      <c r="E565" s="30"/>
      <c r="F565" s="30"/>
      <c r="G565" s="30"/>
      <c r="H565" s="30"/>
      <c r="I565" s="30"/>
      <c r="J565" s="30"/>
      <c r="K565"/>
    </row>
    <row r="566" spans="1:11" ht="15">
      <c r="A566" s="30"/>
      <c r="B566" s="30"/>
      <c r="C566" s="30"/>
      <c r="D566" s="30"/>
      <c r="E566" s="30"/>
      <c r="F566" s="30"/>
      <c r="G566" s="30"/>
      <c r="H566" s="30"/>
      <c r="I566" s="30"/>
      <c r="J566" s="30"/>
      <c r="K566"/>
    </row>
    <row r="567" spans="1:11" ht="15">
      <c r="A567" s="30"/>
      <c r="B567" s="30"/>
      <c r="C567" s="30"/>
      <c r="D567" s="30"/>
      <c r="E567" s="30"/>
      <c r="F567" s="30"/>
      <c r="G567" s="30"/>
      <c r="H567" s="30"/>
      <c r="I567" s="30"/>
      <c r="J567" s="30"/>
      <c r="K567"/>
    </row>
    <row r="568" spans="1:11" ht="15">
      <c r="A568" s="30"/>
      <c r="B568" s="30"/>
      <c r="C568" s="30"/>
      <c r="D568" s="30"/>
      <c r="E568" s="30"/>
      <c r="F568" s="30"/>
      <c r="G568" s="30"/>
      <c r="H568" s="30"/>
      <c r="I568" s="30"/>
      <c r="J568" s="30"/>
      <c r="K568"/>
    </row>
    <row r="569" spans="1:11" ht="15">
      <c r="A569" s="30"/>
      <c r="B569" s="30"/>
      <c r="C569" s="30"/>
      <c r="D569" s="30"/>
      <c r="E569" s="30"/>
      <c r="F569" s="30"/>
      <c r="G569" s="30"/>
      <c r="H569" s="30"/>
      <c r="I569" s="30"/>
      <c r="J569" s="30"/>
      <c r="K569"/>
    </row>
    <row r="570" spans="1:11" ht="15">
      <c r="A570" s="30"/>
      <c r="B570" s="30"/>
      <c r="C570" s="30"/>
      <c r="D570" s="30"/>
      <c r="E570" s="30"/>
      <c r="F570" s="30"/>
      <c r="G570" s="30"/>
      <c r="H570" s="30"/>
      <c r="I570" s="30"/>
      <c r="J570" s="30"/>
      <c r="K570"/>
    </row>
    <row r="571" spans="1:11" ht="15">
      <c r="A571" s="30"/>
      <c r="B571" s="30"/>
      <c r="C571" s="30"/>
      <c r="D571" s="30"/>
      <c r="E571" s="30"/>
      <c r="F571" s="30"/>
      <c r="G571" s="30"/>
      <c r="H571" s="30"/>
      <c r="I571" s="30"/>
      <c r="J571" s="30"/>
      <c r="K571"/>
    </row>
    <row r="572" spans="1:11" ht="15">
      <c r="A572" s="30"/>
      <c r="B572" s="30"/>
      <c r="C572" s="30"/>
      <c r="D572" s="30"/>
      <c r="E572" s="30"/>
      <c r="F572" s="30"/>
      <c r="G572" s="30"/>
      <c r="H572" s="30"/>
      <c r="I572" s="30"/>
      <c r="J572" s="30"/>
      <c r="K572"/>
    </row>
    <row r="573" spans="1:11" ht="15">
      <c r="A573" s="30"/>
      <c r="B573" s="30"/>
      <c r="C573" s="30"/>
      <c r="D573" s="30"/>
      <c r="E573" s="30"/>
      <c r="F573" s="30"/>
      <c r="G573" s="30"/>
      <c r="H573" s="30"/>
      <c r="I573" s="30"/>
      <c r="J573" s="30"/>
      <c r="K573"/>
    </row>
    <row r="574" spans="1:11" ht="15">
      <c r="A574" s="30"/>
      <c r="B574" s="30"/>
      <c r="C574" s="30"/>
      <c r="D574" s="30"/>
      <c r="E574" s="30"/>
      <c r="F574" s="30"/>
      <c r="G574" s="30"/>
      <c r="H574" s="30"/>
      <c r="I574" s="30"/>
      <c r="J574" s="30"/>
      <c r="K574"/>
    </row>
    <row r="575" spans="1:11" ht="15">
      <c r="A575" s="30"/>
      <c r="B575" s="30"/>
      <c r="C575" s="30"/>
      <c r="D575" s="30"/>
      <c r="E575" s="30"/>
      <c r="F575" s="30"/>
      <c r="G575" s="30"/>
      <c r="H575" s="30"/>
      <c r="I575" s="30"/>
      <c r="J575" s="30"/>
      <c r="K575"/>
    </row>
    <row r="576" spans="1:11" ht="15">
      <c r="A576" s="30"/>
      <c r="B576" s="30"/>
      <c r="C576" s="30"/>
      <c r="D576" s="30"/>
      <c r="E576" s="30"/>
      <c r="F576" s="30"/>
      <c r="G576" s="30"/>
      <c r="H576" s="30"/>
      <c r="I576" s="30"/>
      <c r="J576" s="30"/>
      <c r="K576"/>
    </row>
    <row r="577" spans="1:11" ht="15">
      <c r="A577" s="30"/>
      <c r="B577" s="30"/>
      <c r="C577" s="30"/>
      <c r="D577" s="30"/>
      <c r="E577" s="30"/>
      <c r="F577" s="30"/>
      <c r="G577" s="30"/>
      <c r="H577" s="30"/>
      <c r="I577" s="30"/>
      <c r="J577" s="30"/>
      <c r="K577"/>
    </row>
    <row r="578" spans="1:11" ht="15">
      <c r="A578" s="30"/>
      <c r="B578" s="30"/>
      <c r="C578" s="30"/>
      <c r="D578" s="30"/>
      <c r="E578" s="30"/>
      <c r="F578" s="30"/>
      <c r="G578" s="30"/>
      <c r="H578" s="30"/>
      <c r="I578" s="30"/>
      <c r="J578" s="30"/>
      <c r="K578"/>
    </row>
    <row r="579" spans="1:11" ht="15">
      <c r="A579" s="30"/>
      <c r="B579" s="30"/>
      <c r="C579" s="30"/>
      <c r="D579" s="30"/>
      <c r="E579" s="30"/>
      <c r="F579" s="30"/>
      <c r="G579" s="30"/>
      <c r="H579" s="30"/>
      <c r="I579" s="30"/>
      <c r="J579" s="30"/>
      <c r="K579"/>
    </row>
    <row r="580" spans="1:11" ht="15">
      <c r="A580" s="30"/>
      <c r="B580" s="30"/>
      <c r="C580" s="30"/>
      <c r="D580" s="30"/>
      <c r="E580" s="30"/>
      <c r="F580" s="30"/>
      <c r="G580" s="30"/>
      <c r="H580" s="30"/>
      <c r="I580" s="30"/>
      <c r="J580" s="30"/>
      <c r="K580"/>
    </row>
    <row r="581" spans="1:11" ht="15">
      <c r="A581" s="30"/>
      <c r="B581" s="30"/>
      <c r="C581" s="30"/>
      <c r="D581" s="30"/>
      <c r="E581" s="30"/>
      <c r="F581" s="30"/>
      <c r="G581" s="30"/>
      <c r="H581" s="30"/>
      <c r="I581" s="30"/>
      <c r="J581" s="30"/>
      <c r="K581"/>
    </row>
    <row r="582" spans="1:11" ht="15">
      <c r="A582" s="30"/>
      <c r="B582" s="30"/>
      <c r="C582" s="30"/>
      <c r="D582" s="30"/>
      <c r="E582" s="30"/>
      <c r="F582" s="30"/>
      <c r="G582" s="30"/>
      <c r="H582" s="30"/>
      <c r="I582" s="30"/>
      <c r="J582" s="30"/>
      <c r="K582"/>
    </row>
    <row r="583" spans="1:11" ht="15">
      <c r="A583" s="30"/>
      <c r="B583" s="30"/>
      <c r="C583" s="30"/>
      <c r="D583" s="30"/>
      <c r="E583" s="30"/>
      <c r="F583" s="30"/>
      <c r="G583" s="30"/>
      <c r="H583" s="30"/>
      <c r="I583" s="30"/>
      <c r="J583" s="30"/>
      <c r="K583"/>
    </row>
    <row r="584" spans="1:11" ht="15">
      <c r="A584" s="30"/>
      <c r="B584" s="30"/>
      <c r="C584" s="30"/>
      <c r="D584" s="30"/>
      <c r="E584" s="30"/>
      <c r="F584" s="30"/>
      <c r="G584" s="30"/>
      <c r="H584" s="30"/>
      <c r="I584" s="30"/>
      <c r="J584" s="30"/>
      <c r="K584"/>
    </row>
    <row r="585" spans="1:11" ht="15">
      <c r="A585" s="30"/>
      <c r="B585" s="30"/>
      <c r="C585" s="30"/>
      <c r="D585" s="30"/>
      <c r="E585" s="30"/>
      <c r="F585" s="30"/>
      <c r="G585" s="30"/>
      <c r="H585" s="30"/>
      <c r="I585" s="30"/>
      <c r="J585" s="30"/>
      <c r="K585"/>
    </row>
    <row r="586" spans="1:11" ht="15">
      <c r="A586" s="30"/>
      <c r="B586" s="30"/>
      <c r="C586" s="30"/>
      <c r="D586" s="30"/>
      <c r="E586" s="30"/>
      <c r="F586" s="30"/>
      <c r="G586" s="30"/>
      <c r="H586" s="30"/>
      <c r="I586" s="30"/>
      <c r="J586" s="30"/>
      <c r="K586"/>
    </row>
    <row r="587" spans="1:11" ht="15">
      <c r="A587" s="30"/>
      <c r="B587" s="30"/>
      <c r="C587" s="30"/>
      <c r="D587" s="30"/>
      <c r="E587" s="30"/>
      <c r="F587" s="30"/>
      <c r="G587" s="30"/>
      <c r="H587" s="30"/>
      <c r="I587" s="30"/>
      <c r="J587" s="30"/>
      <c r="K587"/>
    </row>
    <row r="588" spans="1:11" ht="15">
      <c r="A588" s="30"/>
      <c r="B588" s="30"/>
      <c r="C588" s="30"/>
      <c r="D588" s="30"/>
      <c r="E588" s="30"/>
      <c r="F588" s="30"/>
      <c r="G588" s="30"/>
      <c r="H588" s="30"/>
      <c r="I588" s="30"/>
      <c r="J588" s="30"/>
      <c r="K588"/>
    </row>
    <row r="589" spans="1:11" ht="15">
      <c r="A589" s="30"/>
      <c r="B589" s="30"/>
      <c r="C589" s="30"/>
      <c r="D589" s="30"/>
      <c r="E589" s="30"/>
      <c r="F589" s="30"/>
      <c r="G589" s="30"/>
      <c r="H589" s="30"/>
      <c r="I589" s="30"/>
      <c r="J589" s="30"/>
      <c r="K589"/>
    </row>
    <row r="590" spans="1:11" ht="15">
      <c r="A590" s="30"/>
      <c r="B590" s="30"/>
      <c r="C590" s="30"/>
      <c r="D590" s="30"/>
      <c r="E590" s="30"/>
      <c r="F590" s="30"/>
      <c r="G590" s="30"/>
      <c r="H590" s="30"/>
      <c r="I590" s="30"/>
      <c r="J590" s="30"/>
      <c r="K590"/>
    </row>
    <row r="591" spans="1:11" ht="15">
      <c r="A591" s="30"/>
      <c r="B591" s="30"/>
      <c r="C591" s="30"/>
      <c r="D591" s="30"/>
      <c r="E591" s="30"/>
      <c r="F591" s="30"/>
      <c r="G591" s="30"/>
      <c r="H591" s="30"/>
      <c r="I591" s="30"/>
      <c r="J591" s="30"/>
      <c r="K591"/>
    </row>
    <row r="592" spans="1:11" ht="15">
      <c r="A592" s="30"/>
      <c r="B592" s="30"/>
      <c r="C592" s="30"/>
      <c r="D592" s="30"/>
      <c r="E592" s="30"/>
      <c r="F592" s="30"/>
      <c r="G592" s="30"/>
      <c r="H592" s="30"/>
      <c r="I592" s="30"/>
      <c r="J592" s="30"/>
      <c r="K592"/>
    </row>
    <row r="593" spans="1:11" ht="15">
      <c r="A593" s="30"/>
      <c r="B593" s="30"/>
      <c r="C593" s="30"/>
      <c r="D593" s="30"/>
      <c r="E593" s="30"/>
      <c r="F593" s="30"/>
      <c r="G593" s="30"/>
      <c r="H593" s="30"/>
      <c r="I593" s="30"/>
      <c r="J593" s="30"/>
      <c r="K593"/>
    </row>
    <row r="594" spans="1:11" ht="15">
      <c r="A594" s="30"/>
      <c r="B594" s="30"/>
      <c r="C594" s="30"/>
      <c r="D594" s="30"/>
      <c r="E594" s="30"/>
      <c r="F594" s="30"/>
      <c r="G594" s="30"/>
      <c r="H594" s="30"/>
      <c r="I594" s="30"/>
      <c r="J594" s="30"/>
      <c r="K594"/>
    </row>
    <row r="595" spans="1:11" ht="15">
      <c r="A595" s="30"/>
      <c r="B595" s="30"/>
      <c r="C595" s="30"/>
      <c r="D595" s="30"/>
      <c r="E595" s="30"/>
      <c r="F595" s="30"/>
      <c r="G595" s="30"/>
      <c r="H595" s="30"/>
      <c r="I595" s="30"/>
      <c r="J595" s="30"/>
      <c r="K595"/>
    </row>
    <row r="596" spans="1:11" ht="15">
      <c r="A596" s="30"/>
      <c r="B596" s="30"/>
      <c r="C596" s="30"/>
      <c r="D596" s="30"/>
      <c r="E596" s="30"/>
      <c r="F596" s="30"/>
      <c r="G596" s="30"/>
      <c r="H596" s="30"/>
      <c r="I596" s="30"/>
      <c r="J596" s="30"/>
      <c r="K596"/>
    </row>
    <row r="597" spans="1:11" ht="15">
      <c r="A597" s="30"/>
      <c r="B597" s="30"/>
      <c r="C597" s="30"/>
      <c r="D597" s="30"/>
      <c r="E597" s="30"/>
      <c r="F597" s="30"/>
      <c r="G597" s="30"/>
      <c r="H597" s="30"/>
      <c r="I597" s="30"/>
      <c r="J597" s="30"/>
      <c r="K597"/>
    </row>
    <row r="598" spans="1:11" ht="15">
      <c r="A598" s="30"/>
      <c r="B598" s="30"/>
      <c r="C598" s="30"/>
      <c r="D598" s="30"/>
      <c r="E598" s="30"/>
      <c r="F598" s="30"/>
      <c r="G598" s="30"/>
      <c r="H598" s="30"/>
      <c r="I598" s="30"/>
      <c r="J598" s="30"/>
      <c r="K598"/>
    </row>
    <row r="599" spans="1:11" ht="15">
      <c r="A599" s="30"/>
      <c r="B599" s="30"/>
      <c r="C599" s="30"/>
      <c r="D599" s="30"/>
      <c r="E599" s="30"/>
      <c r="F599" s="30"/>
      <c r="G599" s="30"/>
      <c r="H599" s="30"/>
      <c r="I599" s="30"/>
      <c r="J599" s="30"/>
      <c r="K599"/>
    </row>
    <row r="600" spans="1:11" ht="15">
      <c r="A600" s="30"/>
      <c r="B600" s="30"/>
      <c r="C600" s="30"/>
      <c r="D600" s="30"/>
      <c r="E600" s="30"/>
      <c r="F600" s="30"/>
      <c r="G600" s="30"/>
      <c r="H600" s="30"/>
      <c r="I600" s="30"/>
      <c r="J600" s="30"/>
      <c r="K600"/>
    </row>
    <row r="601" spans="1:11" ht="15">
      <c r="A601" s="30"/>
      <c r="B601" s="30"/>
      <c r="C601" s="30"/>
      <c r="D601" s="30"/>
      <c r="E601" s="30"/>
      <c r="F601" s="30"/>
      <c r="G601" s="30"/>
      <c r="H601" s="30"/>
      <c r="I601" s="30"/>
      <c r="J601" s="30"/>
      <c r="K601"/>
    </row>
    <row r="602" spans="1:11" ht="15">
      <c r="A602" s="30"/>
      <c r="B602" s="30"/>
      <c r="C602" s="30"/>
      <c r="D602" s="30"/>
      <c r="E602" s="30"/>
      <c r="F602" s="30"/>
      <c r="G602" s="30"/>
      <c r="H602" s="30"/>
      <c r="I602" s="30"/>
      <c r="J602" s="30"/>
      <c r="K602"/>
    </row>
    <row r="603" spans="1:11" ht="15">
      <c r="A603" s="30"/>
      <c r="B603" s="30"/>
      <c r="C603" s="30"/>
      <c r="D603" s="30"/>
      <c r="E603" s="30"/>
      <c r="F603" s="30"/>
      <c r="G603" s="30"/>
      <c r="H603" s="30"/>
      <c r="I603" s="30"/>
      <c r="J603" s="30"/>
      <c r="K603"/>
    </row>
    <row r="604" spans="1:11" ht="15">
      <c r="A604" s="30"/>
      <c r="B604" s="30"/>
      <c r="C604" s="30"/>
      <c r="D604" s="30"/>
      <c r="E604" s="30"/>
      <c r="F604" s="30"/>
      <c r="G604" s="30"/>
      <c r="H604" s="30"/>
      <c r="I604" s="30"/>
      <c r="J604" s="30"/>
      <c r="K604"/>
    </row>
    <row r="605" spans="1:11" ht="15">
      <c r="A605" s="30"/>
      <c r="B605" s="30"/>
      <c r="C605" s="30"/>
      <c r="D605" s="30"/>
      <c r="E605" s="30"/>
      <c r="F605" s="30"/>
      <c r="G605" s="30"/>
      <c r="H605" s="30"/>
      <c r="I605" s="30"/>
      <c r="J605" s="30"/>
      <c r="K605"/>
    </row>
    <row r="606" spans="1:11" ht="15">
      <c r="A606" s="30"/>
      <c r="B606" s="30"/>
      <c r="C606" s="30"/>
      <c r="D606" s="30"/>
      <c r="E606" s="30"/>
      <c r="F606" s="30"/>
      <c r="G606" s="30"/>
      <c r="H606" s="30"/>
      <c r="I606" s="30"/>
      <c r="J606" s="30"/>
      <c r="K606"/>
    </row>
    <row r="607" spans="1:11" ht="15">
      <c r="A607" s="30"/>
      <c r="B607" s="30"/>
      <c r="C607" s="30"/>
      <c r="D607" s="30"/>
      <c r="E607" s="30"/>
      <c r="F607" s="30"/>
      <c r="G607" s="30"/>
      <c r="H607" s="30"/>
      <c r="I607" s="30"/>
      <c r="J607" s="30"/>
      <c r="K607"/>
    </row>
    <row r="608" spans="1:11" ht="15">
      <c r="A608" s="30"/>
      <c r="B608" s="30"/>
      <c r="C608" s="30"/>
      <c r="D608" s="30"/>
      <c r="E608" s="30"/>
      <c r="F608" s="30"/>
      <c r="G608" s="30"/>
      <c r="H608" s="30"/>
      <c r="I608" s="30"/>
      <c r="J608" s="30"/>
      <c r="K608"/>
    </row>
    <row r="609" spans="1:11" ht="15">
      <c r="A609" s="30"/>
      <c r="B609" s="30"/>
      <c r="C609" s="30"/>
      <c r="D609" s="30"/>
      <c r="E609" s="30"/>
      <c r="F609" s="30"/>
      <c r="G609" s="30"/>
      <c r="H609" s="30"/>
      <c r="I609" s="30"/>
      <c r="J609" s="30"/>
      <c r="K609"/>
    </row>
    <row r="610" spans="1:11" ht="15">
      <c r="A610" s="30"/>
      <c r="B610" s="30"/>
      <c r="C610" s="30"/>
      <c r="D610" s="30"/>
      <c r="E610" s="30"/>
      <c r="F610" s="30"/>
      <c r="G610" s="30"/>
      <c r="H610" s="30"/>
      <c r="I610" s="30"/>
      <c r="J610" s="30"/>
      <c r="K610"/>
    </row>
    <row r="611" spans="1:11" ht="15">
      <c r="A611" s="30"/>
      <c r="B611" s="30"/>
      <c r="C611" s="30"/>
      <c r="D611" s="30"/>
      <c r="E611" s="30"/>
      <c r="F611" s="30"/>
      <c r="G611" s="30"/>
      <c r="H611" s="30"/>
      <c r="I611" s="30"/>
      <c r="J611" s="30"/>
      <c r="K611"/>
    </row>
    <row r="612" spans="1:11" ht="15">
      <c r="A612" s="30"/>
      <c r="B612" s="30"/>
      <c r="C612" s="30"/>
      <c r="D612" s="30"/>
      <c r="E612" s="30"/>
      <c r="F612" s="30"/>
      <c r="G612" s="30"/>
      <c r="H612" s="30"/>
      <c r="I612" s="30"/>
      <c r="J612" s="30"/>
      <c r="K612"/>
    </row>
    <row r="613" spans="1:11" ht="15">
      <c r="A613" s="30"/>
      <c r="B613" s="30"/>
      <c r="C613" s="30"/>
      <c r="D613" s="30"/>
      <c r="E613" s="30"/>
      <c r="F613" s="30"/>
      <c r="G613" s="30"/>
      <c r="H613" s="30"/>
      <c r="I613" s="30"/>
      <c r="J613" s="30"/>
      <c r="K613"/>
    </row>
    <row r="614" spans="1:11" ht="15">
      <c r="A614" s="30"/>
      <c r="B614" s="30"/>
      <c r="C614" s="30"/>
      <c r="D614" s="30"/>
      <c r="E614" s="30"/>
      <c r="F614" s="30"/>
      <c r="G614" s="30"/>
      <c r="H614" s="30"/>
      <c r="I614" s="30"/>
      <c r="J614" s="30"/>
      <c r="K614"/>
    </row>
    <row r="615" spans="1:11" ht="15">
      <c r="A615" s="30"/>
      <c r="B615" s="30"/>
      <c r="C615" s="30"/>
      <c r="D615" s="30"/>
      <c r="E615" s="30"/>
      <c r="F615" s="30"/>
      <c r="G615" s="30"/>
      <c r="H615" s="30"/>
      <c r="I615" s="30"/>
      <c r="J615" s="30"/>
      <c r="K615"/>
    </row>
    <row r="616" spans="1:11" ht="15">
      <c r="A616" s="30"/>
      <c r="B616" s="30"/>
      <c r="C616" s="30"/>
      <c r="D616" s="30"/>
      <c r="E616" s="30"/>
      <c r="F616" s="30"/>
      <c r="G616" s="30"/>
      <c r="H616" s="30"/>
      <c r="I616" s="30"/>
      <c r="J616" s="30"/>
      <c r="K616"/>
    </row>
    <row r="617" spans="1:11" ht="15">
      <c r="A617" s="30"/>
      <c r="B617" s="30"/>
      <c r="C617" s="30"/>
      <c r="D617" s="30"/>
      <c r="E617" s="30"/>
      <c r="F617" s="30"/>
      <c r="G617" s="30"/>
      <c r="H617" s="30"/>
      <c r="I617" s="30"/>
      <c r="J617" s="30"/>
      <c r="K617"/>
    </row>
    <row r="618" spans="1:11" ht="15">
      <c r="A618" s="30"/>
      <c r="B618" s="30"/>
      <c r="C618" s="30"/>
      <c r="D618" s="30"/>
      <c r="E618" s="30"/>
      <c r="F618" s="30"/>
      <c r="G618" s="30"/>
      <c r="H618" s="30"/>
      <c r="I618" s="30"/>
      <c r="J618" s="30"/>
      <c r="K618"/>
    </row>
    <row r="619" spans="1:11" ht="15">
      <c r="A619" s="30"/>
      <c r="B619" s="30"/>
      <c r="C619" s="30"/>
      <c r="D619" s="30"/>
      <c r="E619" s="30"/>
      <c r="F619" s="30"/>
      <c r="G619" s="30"/>
      <c r="H619" s="30"/>
      <c r="I619" s="30"/>
      <c r="J619" s="30"/>
      <c r="K619"/>
    </row>
    <row r="620" spans="1:11" ht="15">
      <c r="A620" s="30"/>
      <c r="B620" s="30"/>
      <c r="C620" s="30"/>
      <c r="D620" s="30"/>
      <c r="E620" s="30"/>
      <c r="F620" s="30"/>
      <c r="G620" s="30"/>
      <c r="H620" s="30"/>
      <c r="I620" s="30"/>
      <c r="J620" s="30"/>
      <c r="K620"/>
    </row>
    <row r="621" spans="1:11" ht="15">
      <c r="A621" s="30"/>
      <c r="B621" s="30"/>
      <c r="C621" s="30"/>
      <c r="D621" s="30"/>
      <c r="E621" s="30"/>
      <c r="F621" s="30"/>
      <c r="G621" s="30"/>
      <c r="H621" s="30"/>
      <c r="I621" s="30"/>
      <c r="J621" s="30"/>
      <c r="K621"/>
    </row>
    <row r="622" spans="1:11" ht="15">
      <c r="A622" s="30"/>
      <c r="B622" s="30"/>
      <c r="C622" s="30"/>
      <c r="D622" s="30"/>
      <c r="E622" s="30"/>
      <c r="F622" s="30"/>
      <c r="G622" s="30"/>
      <c r="H622" s="30"/>
      <c r="I622" s="30"/>
      <c r="J622" s="30"/>
      <c r="K622"/>
    </row>
    <row r="623" spans="1:11" ht="15">
      <c r="A623" s="30"/>
      <c r="B623" s="30"/>
      <c r="C623" s="30"/>
      <c r="D623" s="30"/>
      <c r="E623" s="30"/>
      <c r="F623" s="30"/>
      <c r="G623" s="30"/>
      <c r="H623" s="30"/>
      <c r="I623" s="30"/>
      <c r="J623" s="30"/>
      <c r="K623"/>
    </row>
    <row r="624" spans="1:11" ht="15">
      <c r="A624" s="30"/>
      <c r="B624" s="30"/>
      <c r="C624" s="30"/>
      <c r="D624" s="30"/>
      <c r="E624" s="30"/>
      <c r="F624" s="30"/>
      <c r="G624" s="30"/>
      <c r="H624" s="30"/>
      <c r="I624" s="30"/>
      <c r="J624" s="30"/>
      <c r="K624"/>
    </row>
    <row r="625" spans="1:11" ht="15">
      <c r="A625" s="30"/>
      <c r="B625" s="30"/>
      <c r="C625" s="30"/>
      <c r="D625" s="30"/>
      <c r="E625" s="30"/>
      <c r="F625" s="30"/>
      <c r="G625" s="30"/>
      <c r="H625" s="30"/>
      <c r="I625" s="30"/>
      <c r="J625" s="30"/>
      <c r="K625"/>
    </row>
    <row r="626" spans="1:11" ht="15">
      <c r="A626" s="30"/>
      <c r="B626" s="30"/>
      <c r="C626" s="30"/>
      <c r="D626" s="30"/>
      <c r="E626" s="30"/>
      <c r="F626" s="30"/>
      <c r="G626" s="30"/>
      <c r="H626" s="30"/>
      <c r="I626" s="30"/>
      <c r="J626" s="30"/>
      <c r="K626"/>
    </row>
    <row r="627" spans="1:11" ht="15">
      <c r="A627" s="30"/>
      <c r="B627" s="30"/>
      <c r="C627" s="30"/>
      <c r="D627" s="30"/>
      <c r="E627" s="30"/>
      <c r="F627" s="30"/>
      <c r="G627" s="30"/>
      <c r="H627" s="30"/>
      <c r="I627" s="30"/>
      <c r="J627" s="30"/>
      <c r="K627"/>
    </row>
    <row r="628" spans="1:11" ht="15">
      <c r="A628" s="30"/>
      <c r="B628" s="30"/>
      <c r="C628" s="30"/>
      <c r="D628" s="30"/>
      <c r="E628" s="30"/>
      <c r="F628" s="30"/>
      <c r="G628" s="30"/>
      <c r="H628" s="30"/>
      <c r="I628" s="30"/>
      <c r="J628" s="30"/>
      <c r="K628"/>
    </row>
    <row r="629" spans="1:11" ht="15">
      <c r="A629" s="30"/>
      <c r="B629" s="30"/>
      <c r="C629" s="30"/>
      <c r="D629" s="30"/>
      <c r="E629" s="30"/>
      <c r="F629" s="30"/>
      <c r="G629" s="30"/>
      <c r="H629" s="30"/>
      <c r="I629" s="30"/>
      <c r="J629" s="30"/>
      <c r="K629"/>
    </row>
    <row r="630" spans="1:11" ht="15">
      <c r="A630" s="30"/>
      <c r="B630" s="30"/>
      <c r="C630" s="30"/>
      <c r="D630" s="30"/>
      <c r="E630" s="30"/>
      <c r="F630" s="30"/>
      <c r="G630" s="30"/>
      <c r="H630" s="30"/>
      <c r="I630" s="30"/>
      <c r="J630" s="30"/>
      <c r="K630"/>
    </row>
    <row r="631" spans="1:11" ht="15">
      <c r="A631" s="30"/>
      <c r="B631" s="30"/>
      <c r="C631" s="30"/>
      <c r="D631" s="30"/>
      <c r="E631" s="30"/>
      <c r="F631" s="30"/>
      <c r="G631" s="30"/>
      <c r="H631" s="30"/>
      <c r="I631" s="30"/>
      <c r="J631" s="30"/>
      <c r="K631"/>
    </row>
    <row r="632" spans="1:11" ht="15">
      <c r="A632" s="30"/>
      <c r="B632" s="30"/>
      <c r="C632" s="30"/>
      <c r="D632" s="30"/>
      <c r="E632" s="30"/>
      <c r="F632" s="30"/>
      <c r="G632" s="30"/>
      <c r="H632" s="30"/>
      <c r="I632" s="30"/>
      <c r="J632" s="30"/>
      <c r="K632"/>
    </row>
    <row r="633" spans="1:11" ht="15">
      <c r="A633" s="30"/>
      <c r="B633" s="30"/>
      <c r="C633" s="30"/>
      <c r="D633" s="30"/>
      <c r="E633" s="30"/>
      <c r="F633" s="30"/>
      <c r="G633" s="30"/>
      <c r="H633" s="30"/>
      <c r="I633" s="30"/>
      <c r="J633" s="30"/>
      <c r="K633"/>
    </row>
    <row r="634" spans="1:11" ht="15">
      <c r="A634" s="30"/>
      <c r="B634" s="30"/>
      <c r="C634" s="30"/>
      <c r="D634" s="30"/>
      <c r="E634" s="30"/>
      <c r="F634" s="30"/>
      <c r="G634" s="30"/>
      <c r="H634" s="30"/>
      <c r="I634" s="30"/>
      <c r="J634" s="30"/>
      <c r="K634"/>
    </row>
    <row r="635" spans="1:11" ht="15">
      <c r="A635" s="30"/>
      <c r="B635" s="30"/>
      <c r="C635" s="30"/>
      <c r="D635" s="30"/>
      <c r="E635" s="30"/>
      <c r="F635" s="30"/>
      <c r="G635" s="30"/>
      <c r="H635" s="30"/>
      <c r="I635" s="30"/>
      <c r="J635" s="30"/>
      <c r="K635"/>
    </row>
    <row r="636" spans="1:11" ht="15">
      <c r="A636" s="30"/>
      <c r="B636" s="30"/>
      <c r="C636" s="30"/>
      <c r="D636" s="30"/>
      <c r="E636" s="30"/>
      <c r="F636" s="30"/>
      <c r="G636" s="30"/>
      <c r="H636" s="30"/>
      <c r="I636" s="30"/>
      <c r="J636" s="30"/>
      <c r="K636"/>
    </row>
    <row r="637" spans="1:11" ht="15">
      <c r="A637" s="30"/>
      <c r="B637" s="30"/>
      <c r="C637" s="30"/>
      <c r="D637" s="30"/>
      <c r="E637" s="30"/>
      <c r="F637" s="30"/>
      <c r="G637" s="30"/>
      <c r="H637" s="30"/>
      <c r="I637" s="30"/>
      <c r="J637" s="30"/>
      <c r="K637"/>
    </row>
    <row r="638" spans="1:11" ht="15">
      <c r="A638" s="30"/>
      <c r="B638" s="30"/>
      <c r="C638" s="30"/>
      <c r="D638" s="30"/>
      <c r="E638" s="30"/>
      <c r="F638" s="30"/>
      <c r="G638" s="30"/>
      <c r="H638" s="30"/>
      <c r="I638" s="30"/>
      <c r="J638" s="30"/>
      <c r="K638"/>
    </row>
    <row r="639" spans="1:11" ht="15">
      <c r="A639" s="30"/>
      <c r="B639" s="30"/>
      <c r="C639" s="30"/>
      <c r="D639" s="30"/>
      <c r="E639" s="30"/>
      <c r="F639" s="30"/>
      <c r="G639" s="30"/>
      <c r="H639" s="30"/>
      <c r="I639" s="30"/>
      <c r="J639" s="30"/>
      <c r="K639"/>
    </row>
    <row r="640" spans="1:11" ht="15">
      <c r="A640" s="30"/>
      <c r="B640" s="30"/>
      <c r="C640" s="30"/>
      <c r="D640" s="30"/>
      <c r="E640" s="30"/>
      <c r="F640" s="30"/>
      <c r="G640" s="30"/>
      <c r="H640" s="30"/>
      <c r="I640" s="30"/>
      <c r="J640" s="30"/>
      <c r="K640"/>
    </row>
    <row r="641" spans="1:11" ht="15">
      <c r="A641" s="30"/>
      <c r="B641" s="30"/>
      <c r="C641" s="30"/>
      <c r="D641" s="30"/>
      <c r="E641" s="30"/>
      <c r="F641" s="30"/>
      <c r="G641" s="30"/>
      <c r="H641" s="30"/>
      <c r="I641" s="30"/>
      <c r="J641" s="30"/>
      <c r="K641"/>
    </row>
    <row r="642" spans="1:11" ht="15">
      <c r="A642" s="30"/>
      <c r="B642" s="30"/>
      <c r="C642" s="30"/>
      <c r="D642" s="30"/>
      <c r="E642" s="30"/>
      <c r="F642" s="30"/>
      <c r="G642" s="30"/>
      <c r="H642" s="30"/>
      <c r="I642" s="30"/>
      <c r="J642" s="30"/>
      <c r="K642"/>
    </row>
    <row r="643" spans="1:11" ht="15">
      <c r="A643" s="30"/>
      <c r="B643" s="30"/>
      <c r="C643" s="30"/>
      <c r="D643" s="30"/>
      <c r="E643" s="30"/>
      <c r="F643" s="30"/>
      <c r="G643" s="30"/>
      <c r="H643" s="30"/>
      <c r="I643" s="30"/>
      <c r="J643" s="30"/>
      <c r="K643"/>
    </row>
    <row r="644" spans="1:11" ht="15">
      <c r="A644" s="30"/>
      <c r="B644" s="30"/>
      <c r="C644" s="30"/>
      <c r="D644" s="30"/>
      <c r="E644" s="30"/>
      <c r="F644" s="30"/>
      <c r="G644" s="30"/>
      <c r="H644" s="30"/>
      <c r="I644" s="30"/>
      <c r="J644" s="30"/>
      <c r="K644"/>
    </row>
    <row r="645" spans="1:11" ht="15">
      <c r="A645" s="30"/>
      <c r="B645" s="30"/>
      <c r="C645" s="30"/>
      <c r="D645" s="30"/>
      <c r="E645" s="30"/>
      <c r="F645" s="30"/>
      <c r="G645" s="30"/>
      <c r="H645" s="30"/>
      <c r="I645" s="30"/>
      <c r="J645" s="30"/>
      <c r="K645"/>
    </row>
    <row r="646" spans="1:11" ht="15">
      <c r="A646" s="30"/>
      <c r="B646" s="30"/>
      <c r="C646" s="30"/>
      <c r="D646" s="30"/>
      <c r="E646" s="30"/>
      <c r="F646" s="30"/>
      <c r="G646" s="30"/>
      <c r="H646" s="30"/>
      <c r="I646" s="30"/>
      <c r="J646" s="30"/>
      <c r="K646"/>
    </row>
    <row r="647" spans="1:11" ht="15">
      <c r="A647" s="30"/>
      <c r="B647" s="30"/>
      <c r="C647" s="30"/>
      <c r="D647" s="30"/>
      <c r="E647" s="30"/>
      <c r="F647" s="30"/>
      <c r="G647" s="30"/>
      <c r="H647" s="30"/>
      <c r="I647" s="30"/>
      <c r="J647" s="30"/>
      <c r="K647"/>
    </row>
    <row r="648" spans="1:11" ht="15">
      <c r="A648" s="30"/>
      <c r="B648" s="30"/>
      <c r="C648" s="30"/>
      <c r="D648" s="30"/>
      <c r="E648" s="30"/>
      <c r="F648" s="30"/>
      <c r="G648" s="30"/>
      <c r="H648" s="30"/>
      <c r="I648" s="30"/>
      <c r="J648" s="30"/>
      <c r="K648"/>
    </row>
    <row r="649" spans="1:11" ht="15">
      <c r="A649" s="30"/>
      <c r="B649" s="30"/>
      <c r="C649" s="30"/>
      <c r="D649" s="30"/>
      <c r="E649" s="30"/>
      <c r="F649" s="30"/>
      <c r="G649" s="30"/>
      <c r="H649" s="30"/>
      <c r="I649" s="30"/>
      <c r="J649" s="30"/>
      <c r="K649"/>
    </row>
    <row r="650" spans="1:11" ht="15">
      <c r="A650" s="30"/>
      <c r="B650" s="30"/>
      <c r="C650" s="30"/>
      <c r="D650" s="30"/>
      <c r="E650" s="30"/>
      <c r="F650" s="30"/>
      <c r="G650" s="30"/>
      <c r="H650" s="30"/>
      <c r="I650" s="30"/>
      <c r="J650" s="30"/>
      <c r="K650"/>
    </row>
    <row r="651" spans="1:11" ht="15">
      <c r="A651" s="30"/>
      <c r="B651" s="30"/>
      <c r="C651" s="30"/>
      <c r="D651" s="30"/>
      <c r="E651" s="30"/>
      <c r="F651" s="30"/>
      <c r="G651" s="30"/>
      <c r="H651" s="30"/>
      <c r="I651" s="30"/>
      <c r="J651" s="30"/>
      <c r="K651"/>
    </row>
    <row r="652" spans="1:11" ht="15">
      <c r="A652" s="30"/>
      <c r="B652" s="30"/>
      <c r="C652" s="30"/>
      <c r="D652" s="30"/>
      <c r="E652" s="30"/>
      <c r="F652" s="30"/>
      <c r="G652" s="30"/>
      <c r="H652" s="30"/>
      <c r="I652" s="30"/>
      <c r="J652" s="30"/>
      <c r="K652"/>
    </row>
    <row r="653" spans="1:11" ht="15">
      <c r="A653" s="30"/>
      <c r="B653" s="30"/>
      <c r="C653" s="30"/>
      <c r="D653" s="30"/>
      <c r="E653" s="30"/>
      <c r="F653" s="30"/>
      <c r="G653" s="30"/>
      <c r="H653" s="30"/>
      <c r="I653" s="30"/>
      <c r="J653" s="30"/>
      <c r="K653"/>
    </row>
    <row r="654" spans="1:11" ht="15">
      <c r="A654" s="30"/>
      <c r="B654" s="30"/>
      <c r="C654" s="30"/>
      <c r="D654" s="30"/>
      <c r="E654" s="30"/>
      <c r="F654" s="30"/>
      <c r="G654" s="30"/>
      <c r="H654" s="30"/>
      <c r="I654" s="30"/>
      <c r="J654" s="30"/>
      <c r="K654"/>
    </row>
    <row r="655" spans="1:11" ht="15">
      <c r="A655" s="30"/>
      <c r="B655" s="30"/>
      <c r="C655" s="30"/>
      <c r="D655" s="30"/>
      <c r="E655" s="30"/>
      <c r="F655" s="30"/>
      <c r="G655" s="30"/>
      <c r="H655" s="30"/>
      <c r="I655" s="30"/>
      <c r="J655" s="30"/>
      <c r="K655"/>
    </row>
    <row r="656" spans="1:11" ht="15">
      <c r="A656" s="30"/>
      <c r="B656" s="30"/>
      <c r="C656" s="30"/>
      <c r="D656" s="30"/>
      <c r="E656" s="30"/>
      <c r="F656" s="30"/>
      <c r="G656" s="30"/>
      <c r="H656" s="30"/>
      <c r="I656" s="30"/>
      <c r="J656" s="30"/>
      <c r="K656"/>
    </row>
    <row r="657" spans="1:11" ht="15">
      <c r="A657" s="30"/>
      <c r="B657" s="30"/>
      <c r="C657" s="30"/>
      <c r="D657" s="30"/>
      <c r="E657" s="30"/>
      <c r="F657" s="30"/>
      <c r="G657" s="30"/>
      <c r="H657" s="30"/>
      <c r="I657" s="30"/>
      <c r="J657" s="30"/>
      <c r="K657"/>
    </row>
    <row r="658" spans="1:11" ht="15">
      <c r="A658" s="30"/>
      <c r="B658" s="30"/>
      <c r="C658" s="30"/>
      <c r="D658" s="30"/>
      <c r="E658" s="30"/>
      <c r="F658" s="30"/>
      <c r="G658" s="30"/>
      <c r="H658" s="30"/>
      <c r="I658" s="30"/>
      <c r="J658" s="30"/>
      <c r="K658"/>
    </row>
    <row r="659" spans="1:11" ht="15">
      <c r="A659" s="30"/>
      <c r="B659" s="30"/>
      <c r="C659" s="30"/>
      <c r="D659" s="30"/>
      <c r="E659" s="30"/>
      <c r="F659" s="30"/>
      <c r="G659" s="30"/>
      <c r="H659" s="30"/>
      <c r="I659" s="30"/>
      <c r="J659" s="30"/>
      <c r="K659"/>
    </row>
    <row r="660" spans="1:11" ht="15">
      <c r="A660" s="30"/>
      <c r="B660" s="30"/>
      <c r="C660" s="30"/>
      <c r="D660" s="30"/>
      <c r="E660" s="30"/>
      <c r="F660" s="30"/>
      <c r="G660" s="30"/>
      <c r="H660" s="30"/>
      <c r="I660" s="30"/>
      <c r="J660" s="30"/>
      <c r="K660"/>
    </row>
    <row r="661" spans="1:11" ht="15">
      <c r="A661" s="30"/>
      <c r="B661" s="30"/>
      <c r="C661" s="30"/>
      <c r="D661" s="30"/>
      <c r="E661" s="30"/>
      <c r="F661" s="30"/>
      <c r="G661" s="30"/>
      <c r="H661" s="30"/>
      <c r="I661" s="30"/>
      <c r="J661" s="30"/>
      <c r="K661"/>
    </row>
    <row r="662" spans="1:11" ht="15">
      <c r="A662" s="30"/>
      <c r="B662" s="30"/>
      <c r="C662" s="30"/>
      <c r="D662" s="30"/>
      <c r="E662" s="30"/>
      <c r="F662" s="30"/>
      <c r="G662" s="30"/>
      <c r="H662" s="30"/>
      <c r="I662" s="30"/>
      <c r="J662" s="30"/>
      <c r="K662"/>
    </row>
    <row r="663" spans="1:11" ht="15">
      <c r="A663" s="30"/>
      <c r="B663" s="30"/>
      <c r="C663" s="30"/>
      <c r="D663" s="30"/>
      <c r="E663" s="30"/>
      <c r="F663" s="30"/>
      <c r="G663" s="30"/>
      <c r="H663" s="30"/>
      <c r="I663" s="30"/>
      <c r="J663" s="30"/>
      <c r="K663"/>
    </row>
    <row r="664" spans="1:11" ht="15">
      <c r="A664" s="30"/>
      <c r="B664" s="30"/>
      <c r="C664" s="30"/>
      <c r="D664" s="30"/>
      <c r="E664" s="30"/>
      <c r="F664" s="30"/>
      <c r="G664" s="30"/>
      <c r="H664" s="30"/>
      <c r="I664" s="30"/>
      <c r="J664" s="30"/>
      <c r="K664"/>
    </row>
    <row r="665" spans="1:11" ht="15">
      <c r="A665" s="30"/>
      <c r="B665" s="30"/>
      <c r="C665" s="30"/>
      <c r="D665" s="30"/>
      <c r="E665" s="30"/>
      <c r="F665" s="30"/>
      <c r="G665" s="30"/>
      <c r="H665" s="30"/>
      <c r="I665" s="30"/>
      <c r="J665" s="30"/>
      <c r="K665"/>
    </row>
    <row r="666" spans="1:11" ht="15">
      <c r="A666" s="30"/>
      <c r="B666" s="30"/>
      <c r="C666" s="30"/>
      <c r="D666" s="30"/>
      <c r="E666" s="30"/>
      <c r="F666" s="30"/>
      <c r="G666" s="30"/>
      <c r="H666" s="30"/>
      <c r="I666" s="30"/>
      <c r="J666" s="30"/>
      <c r="K666" s="30"/>
    </row>
    <row r="667" spans="1:11" ht="15">
      <c r="A667" s="30"/>
      <c r="B667" s="30"/>
      <c r="C667" s="30"/>
      <c r="D667" s="30"/>
      <c r="E667" s="30"/>
      <c r="F667" s="30"/>
      <c r="G667" s="30"/>
      <c r="H667" s="30"/>
      <c r="I667" s="30"/>
      <c r="J667" s="30"/>
      <c r="K667" s="30"/>
    </row>
    <row r="668" spans="1:11" ht="15">
      <c r="A668" s="30"/>
      <c r="B668" s="30"/>
      <c r="C668" s="30"/>
      <c r="D668" s="30"/>
      <c r="E668" s="30"/>
      <c r="F668" s="30"/>
      <c r="G668" s="30"/>
      <c r="H668" s="30"/>
      <c r="I668" s="30"/>
      <c r="J668" s="30"/>
      <c r="K668" s="30"/>
    </row>
    <row r="669" spans="1:11" ht="15">
      <c r="A669" s="30"/>
      <c r="B669" s="30"/>
      <c r="C669" s="30"/>
      <c r="D669" s="30"/>
      <c r="E669" s="30"/>
      <c r="F669" s="30"/>
      <c r="G669" s="30"/>
      <c r="H669" s="30"/>
      <c r="I669" s="30"/>
      <c r="J669" s="30"/>
      <c r="K669" s="30"/>
    </row>
    <row r="670" spans="1:11" ht="15">
      <c r="A670" s="30"/>
      <c r="B670" s="30"/>
      <c r="C670" s="30"/>
      <c r="D670" s="30"/>
      <c r="E670" s="30"/>
      <c r="F670" s="30"/>
      <c r="G670" s="30"/>
      <c r="H670" s="30"/>
      <c r="I670" s="30"/>
      <c r="J670" s="30"/>
      <c r="K670" s="30"/>
    </row>
    <row r="671" spans="1:11" ht="15">
      <c r="A671" s="30"/>
      <c r="B671" s="30"/>
      <c r="C671" s="30"/>
      <c r="D671" s="30"/>
      <c r="E671" s="30"/>
      <c r="F671" s="30"/>
      <c r="G671" s="30"/>
      <c r="H671" s="30"/>
      <c r="I671" s="30"/>
      <c r="J671" s="30"/>
      <c r="K671" s="30"/>
    </row>
    <row r="672" spans="1:11" ht="15">
      <c r="A672" s="30"/>
      <c r="B672" s="30"/>
      <c r="C672" s="30"/>
      <c r="D672" s="30"/>
      <c r="E672" s="30"/>
      <c r="F672" s="30"/>
      <c r="G672" s="30"/>
      <c r="H672" s="30"/>
      <c r="I672" s="30"/>
      <c r="J672" s="30"/>
      <c r="K672" s="30"/>
    </row>
    <row r="673" spans="1:11" ht="15">
      <c r="A673" s="30"/>
      <c r="B673" s="30"/>
      <c r="C673" s="30"/>
      <c r="D673" s="30"/>
      <c r="E673" s="30"/>
      <c r="F673" s="30"/>
      <c r="G673" s="30"/>
      <c r="H673" s="30"/>
      <c r="I673" s="30"/>
      <c r="J673" s="30"/>
      <c r="K673" s="30"/>
    </row>
    <row r="674" spans="1:11" ht="15">
      <c r="A674" s="30"/>
      <c r="B674" s="30"/>
      <c r="C674" s="30"/>
      <c r="D674" s="30"/>
      <c r="E674" s="30"/>
      <c r="F674" s="30"/>
      <c r="G674" s="30"/>
      <c r="H674" s="30"/>
      <c r="I674" s="30"/>
      <c r="J674" s="30"/>
      <c r="K674" s="30"/>
    </row>
    <row r="675" spans="1:11" ht="15">
      <c r="A675" s="30"/>
      <c r="B675" s="30"/>
      <c r="C675" s="30"/>
      <c r="D675" s="30"/>
      <c r="E675" s="30"/>
      <c r="F675" s="30"/>
      <c r="G675" s="30"/>
      <c r="H675" s="30"/>
      <c r="I675" s="30"/>
      <c r="J675" s="30"/>
      <c r="K675" s="30"/>
    </row>
    <row r="676" spans="1:11" ht="15">
      <c r="A676" s="30"/>
      <c r="B676" s="30"/>
      <c r="C676" s="30"/>
      <c r="D676" s="30"/>
      <c r="E676" s="30"/>
      <c r="F676" s="30"/>
      <c r="G676" s="30"/>
      <c r="H676" s="30"/>
      <c r="I676" s="30"/>
      <c r="J676" s="30"/>
      <c r="K676" s="30"/>
    </row>
    <row r="677" spans="1:11" ht="15">
      <c r="A677" s="30"/>
      <c r="B677" s="30"/>
      <c r="C677" s="30"/>
      <c r="D677" s="30"/>
      <c r="E677" s="30"/>
      <c r="F677" s="30"/>
      <c r="G677" s="30"/>
      <c r="H677" s="30"/>
      <c r="I677" s="30"/>
      <c r="J677" s="30"/>
      <c r="K677" s="30"/>
    </row>
    <row r="678" spans="1:11" ht="15">
      <c r="A678" s="30"/>
      <c r="B678" s="30"/>
      <c r="C678" s="30"/>
      <c r="D678" s="30"/>
      <c r="E678" s="30"/>
      <c r="F678" s="30"/>
      <c r="G678" s="30"/>
      <c r="H678" s="30"/>
      <c r="I678" s="30"/>
      <c r="J678" s="30"/>
      <c r="K678" s="30"/>
    </row>
    <row r="679" spans="1:11" ht="15">
      <c r="A679" s="30"/>
      <c r="B679" s="30"/>
      <c r="C679" s="30"/>
      <c r="D679" s="30"/>
      <c r="E679" s="30"/>
      <c r="F679" s="30"/>
      <c r="G679" s="30"/>
      <c r="H679" s="30"/>
      <c r="I679" s="30"/>
      <c r="J679" s="30"/>
      <c r="K679" s="30"/>
    </row>
    <row r="680" spans="1:11" ht="15">
      <c r="A680" s="30"/>
      <c r="B680" s="30"/>
      <c r="C680" s="30"/>
      <c r="D680" s="30"/>
      <c r="E680" s="30"/>
      <c r="F680" s="30"/>
      <c r="G680" s="30"/>
      <c r="H680" s="30"/>
      <c r="I680" s="30"/>
      <c r="J680" s="30"/>
      <c r="K680" s="30"/>
    </row>
    <row r="681" spans="1:11" ht="15">
      <c r="A681" s="30"/>
      <c r="B681" s="30"/>
      <c r="C681" s="30"/>
      <c r="D681" s="30"/>
      <c r="E681" s="30"/>
      <c r="F681" s="30"/>
      <c r="G681" s="30"/>
      <c r="H681" s="30"/>
      <c r="I681" s="30"/>
      <c r="J681" s="30"/>
      <c r="K681" s="30"/>
    </row>
    <row r="682" spans="1:11" ht="15">
      <c r="A682" s="30"/>
      <c r="B682" s="30"/>
      <c r="C682" s="30"/>
      <c r="D682" s="30"/>
      <c r="E682" s="30"/>
      <c r="F682" s="30"/>
      <c r="G682" s="30"/>
      <c r="H682" s="30"/>
      <c r="I682" s="30"/>
      <c r="J682" s="30"/>
      <c r="K682" s="30"/>
    </row>
    <row r="683" spans="1:11" ht="15">
      <c r="A683" s="30"/>
      <c r="B683" s="30"/>
      <c r="C683" s="30"/>
      <c r="D683" s="30"/>
      <c r="E683" s="30"/>
      <c r="F683" s="30"/>
      <c r="G683" s="30"/>
      <c r="H683" s="30"/>
      <c r="I683" s="30"/>
      <c r="J683" s="30"/>
      <c r="K683" s="30"/>
    </row>
    <row r="684" spans="1:11" ht="15">
      <c r="A684" s="30"/>
      <c r="B684" s="30"/>
      <c r="C684" s="30"/>
      <c r="D684" s="30"/>
      <c r="E684" s="30"/>
      <c r="F684" s="30"/>
      <c r="G684" s="30"/>
      <c r="H684" s="30"/>
      <c r="I684" s="30"/>
      <c r="J684" s="30"/>
      <c r="K684" s="30"/>
    </row>
    <row r="685" spans="1:11" ht="15">
      <c r="A685" s="30"/>
      <c r="B685" s="30"/>
      <c r="C685" s="30"/>
      <c r="D685" s="30"/>
      <c r="E685" s="30"/>
      <c r="F685" s="30"/>
      <c r="G685" s="30"/>
      <c r="H685" s="30"/>
      <c r="I685" s="30"/>
      <c r="J685" s="30"/>
      <c r="K685" s="30"/>
    </row>
    <row r="686" spans="1:11" ht="15">
      <c r="A686" s="30"/>
      <c r="B686" s="30"/>
      <c r="C686" s="30"/>
      <c r="D686" s="30"/>
      <c r="E686" s="30"/>
      <c r="F686" s="30"/>
      <c r="G686" s="30"/>
      <c r="H686" s="30"/>
      <c r="I686" s="30"/>
      <c r="J686" s="30"/>
      <c r="K686" s="30"/>
    </row>
    <row r="687" spans="1:11" ht="15">
      <c r="A687" s="30"/>
      <c r="B687" s="30"/>
      <c r="C687" s="30"/>
      <c r="D687" s="30"/>
      <c r="E687" s="30"/>
      <c r="F687" s="30"/>
      <c r="G687" s="30"/>
      <c r="H687" s="30"/>
      <c r="I687" s="30"/>
      <c r="J687" s="30"/>
      <c r="K687" s="30"/>
    </row>
    <row r="688" spans="1:11" ht="15">
      <c r="A688" s="30"/>
      <c r="B688" s="30"/>
      <c r="C688" s="30"/>
      <c r="D688" s="30"/>
      <c r="E688" s="30"/>
      <c r="F688" s="30"/>
      <c r="G688" s="30"/>
      <c r="H688" s="30"/>
      <c r="I688" s="30"/>
      <c r="J688" s="30"/>
      <c r="K688" s="30"/>
    </row>
    <row r="689" spans="1:11" ht="15">
      <c r="A689" s="30"/>
      <c r="B689" s="30"/>
      <c r="C689" s="30"/>
      <c r="D689" s="30"/>
      <c r="E689" s="30"/>
      <c r="F689" s="30"/>
      <c r="G689" s="30"/>
      <c r="H689" s="30"/>
      <c r="I689" s="30"/>
      <c r="J689" s="30"/>
      <c r="K689" s="30"/>
    </row>
    <row r="690" spans="1:11" ht="15">
      <c r="A690" s="30"/>
      <c r="B690" s="30"/>
      <c r="C690" s="30"/>
      <c r="D690" s="30"/>
      <c r="E690" s="30"/>
      <c r="F690" s="30"/>
      <c r="G690" s="30"/>
      <c r="H690" s="30"/>
      <c r="I690" s="30"/>
      <c r="J690" s="30"/>
      <c r="K690" s="30"/>
    </row>
    <row r="691" spans="1:11" ht="15">
      <c r="A691" s="30"/>
      <c r="B691" s="30"/>
      <c r="C691" s="30"/>
      <c r="D691" s="30"/>
      <c r="E691" s="30"/>
      <c r="F691" s="30"/>
      <c r="G691" s="30"/>
      <c r="H691" s="30"/>
      <c r="I691" s="30"/>
      <c r="J691" s="30"/>
      <c r="K691" s="30"/>
    </row>
    <row r="692" spans="1:11" ht="15">
      <c r="A692" s="30"/>
      <c r="B692" s="30"/>
      <c r="C692" s="30"/>
      <c r="D692" s="30"/>
      <c r="E692" s="30"/>
      <c r="F692" s="30"/>
      <c r="G692" s="30"/>
      <c r="H692" s="30"/>
      <c r="I692" s="30"/>
      <c r="J692" s="30"/>
      <c r="K692" s="30"/>
    </row>
    <row r="693" spans="1:11" ht="15">
      <c r="A693" s="30"/>
      <c r="B693" s="30"/>
      <c r="C693" s="30"/>
      <c r="D693" s="30"/>
      <c r="E693" s="30"/>
      <c r="F693" s="30"/>
      <c r="G693" s="30"/>
      <c r="H693" s="30"/>
      <c r="I693" s="30"/>
      <c r="J693" s="30"/>
      <c r="K693" s="30"/>
    </row>
    <row r="694" spans="1:11" ht="15">
      <c r="A694" s="30"/>
      <c r="B694" s="30"/>
      <c r="C694" s="30"/>
      <c r="D694" s="30"/>
      <c r="E694" s="30"/>
      <c r="F694" s="30"/>
      <c r="G694" s="30"/>
      <c r="H694" s="30"/>
      <c r="I694" s="30"/>
      <c r="J694" s="30"/>
      <c r="K694" s="30"/>
    </row>
    <row r="695" spans="1:11" ht="15">
      <c r="A695" s="30"/>
      <c r="B695" s="30"/>
      <c r="C695" s="30"/>
      <c r="D695" s="30"/>
      <c r="E695" s="30"/>
      <c r="F695" s="30"/>
      <c r="G695" s="30"/>
      <c r="H695" s="30"/>
      <c r="I695" s="30"/>
      <c r="J695" s="30"/>
      <c r="K695" s="30"/>
    </row>
    <row r="696" spans="1:11" ht="15">
      <c r="A696" s="30"/>
      <c r="B696" s="30"/>
      <c r="C696" s="30"/>
      <c r="D696" s="30"/>
      <c r="E696" s="30"/>
      <c r="F696" s="30"/>
      <c r="G696" s="30"/>
      <c r="H696" s="30"/>
      <c r="I696" s="30"/>
      <c r="J696" s="30"/>
      <c r="K696" s="30"/>
    </row>
    <row r="697" spans="1:11" ht="15">
      <c r="A697" s="30"/>
      <c r="B697" s="30"/>
      <c r="C697" s="30"/>
      <c r="D697" s="30"/>
      <c r="E697" s="30"/>
      <c r="F697" s="30"/>
      <c r="G697" s="30"/>
      <c r="H697" s="30"/>
      <c r="I697" s="30"/>
      <c r="J697" s="30"/>
      <c r="K697" s="30"/>
    </row>
    <row r="698" spans="1:11" ht="15">
      <c r="A698" s="30"/>
      <c r="B698" s="30"/>
      <c r="C698" s="30"/>
      <c r="D698" s="30"/>
      <c r="E698" s="30"/>
      <c r="F698" s="30"/>
      <c r="G698" s="30"/>
      <c r="H698" s="30"/>
      <c r="I698" s="30"/>
      <c r="J698" s="30"/>
      <c r="K698" s="30"/>
    </row>
    <row r="699" spans="1:11" ht="15">
      <c r="A699" s="30"/>
      <c r="B699" s="30"/>
      <c r="C699" s="30"/>
      <c r="D699" s="30"/>
      <c r="E699" s="30"/>
      <c r="F699" s="30"/>
      <c r="G699" s="30"/>
      <c r="H699" s="30"/>
      <c r="I699" s="30"/>
      <c r="J699" s="30"/>
      <c r="K699" s="30"/>
    </row>
    <row r="700" spans="1:11" ht="15">
      <c r="A700" s="30"/>
      <c r="B700" s="30"/>
      <c r="C700" s="30"/>
      <c r="D700" s="30"/>
      <c r="E700" s="30"/>
      <c r="F700" s="30"/>
      <c r="G700" s="30"/>
      <c r="H700" s="30"/>
      <c r="I700" s="30"/>
      <c r="J700" s="30"/>
      <c r="K700" s="30"/>
    </row>
    <row r="701" spans="1:11" ht="15">
      <c r="A701" s="30"/>
      <c r="B701" s="30"/>
      <c r="C701" s="30"/>
      <c r="D701" s="30"/>
      <c r="E701" s="30"/>
      <c r="F701" s="30"/>
      <c r="G701" s="30"/>
      <c r="H701" s="30"/>
      <c r="I701" s="30"/>
      <c r="J701" s="30"/>
      <c r="K701" s="30"/>
    </row>
    <row r="702" spans="1:11" ht="15">
      <c r="A702" s="30"/>
      <c r="B702" s="30"/>
      <c r="C702" s="30"/>
      <c r="D702" s="30"/>
      <c r="E702" s="30"/>
      <c r="F702" s="30"/>
      <c r="G702" s="30"/>
      <c r="H702" s="30"/>
      <c r="I702" s="30"/>
      <c r="J702" s="30"/>
      <c r="K702" s="30"/>
    </row>
    <row r="703" spans="1:11" ht="15">
      <c r="A703" s="30"/>
      <c r="B703" s="30"/>
      <c r="C703" s="30"/>
      <c r="D703" s="30"/>
      <c r="E703" s="30"/>
      <c r="F703" s="30"/>
      <c r="G703" s="30"/>
      <c r="H703" s="30"/>
      <c r="I703" s="30"/>
      <c r="J703" s="30"/>
      <c r="K703" s="30"/>
    </row>
    <row r="704" spans="1:11" ht="15">
      <c r="A704" s="30"/>
      <c r="B704" s="30"/>
      <c r="C704" s="30"/>
      <c r="D704" s="30"/>
      <c r="E704" s="30"/>
      <c r="F704" s="30"/>
      <c r="G704" s="30"/>
      <c r="H704" s="30"/>
      <c r="I704" s="30"/>
      <c r="J704" s="30"/>
      <c r="K704" s="30"/>
    </row>
    <row r="705" spans="1:11" ht="15">
      <c r="A705" s="30"/>
      <c r="B705" s="30"/>
      <c r="C705" s="30"/>
      <c r="D705" s="30"/>
      <c r="E705" s="30"/>
      <c r="F705" s="30"/>
      <c r="G705" s="30"/>
      <c r="H705" s="30"/>
      <c r="I705" s="30"/>
      <c r="J705" s="30"/>
      <c r="K705" s="30"/>
    </row>
    <row r="706" spans="1:11" ht="15">
      <c r="A706" s="30"/>
      <c r="B706" s="30"/>
      <c r="C706" s="30"/>
      <c r="D706" s="30"/>
      <c r="E706" s="30"/>
      <c r="F706" s="30"/>
      <c r="G706" s="30"/>
      <c r="H706" s="30"/>
      <c r="I706" s="30"/>
      <c r="J706" s="30"/>
      <c r="K706" s="30"/>
    </row>
    <row r="707" spans="1:11" ht="15">
      <c r="A707" s="30"/>
      <c r="B707" s="30"/>
      <c r="C707" s="30"/>
      <c r="D707" s="30"/>
      <c r="E707" s="30"/>
      <c r="F707" s="30"/>
      <c r="G707" s="30"/>
      <c r="H707" s="30"/>
      <c r="I707" s="30"/>
      <c r="J707" s="30"/>
      <c r="K707" s="30"/>
    </row>
    <row r="708" spans="1:11" ht="15">
      <c r="A708" s="30"/>
      <c r="B708" s="30"/>
      <c r="C708" s="30"/>
      <c r="D708" s="30"/>
      <c r="E708" s="30"/>
      <c r="F708" s="30"/>
      <c r="G708" s="30"/>
      <c r="H708" s="30"/>
      <c r="I708" s="30"/>
      <c r="J708" s="30"/>
      <c r="K708" s="30"/>
    </row>
    <row r="709" spans="1:11" ht="15">
      <c r="A709" s="30"/>
      <c r="B709" s="30"/>
      <c r="C709" s="30"/>
      <c r="D709" s="30"/>
      <c r="E709" s="30"/>
      <c r="F709" s="30"/>
      <c r="G709" s="30"/>
      <c r="H709" s="30"/>
      <c r="I709" s="30"/>
      <c r="J709" s="30"/>
      <c r="K709" s="30"/>
    </row>
    <row r="710" spans="1:11" ht="15">
      <c r="A710" s="30"/>
      <c r="B710" s="30"/>
      <c r="C710" s="30"/>
      <c r="D710" s="30"/>
      <c r="E710" s="30"/>
      <c r="F710" s="30"/>
      <c r="G710" s="30"/>
      <c r="H710" s="30"/>
      <c r="I710" s="30"/>
      <c r="J710" s="30"/>
      <c r="K710" s="30"/>
    </row>
    <row r="711" spans="1:11" ht="15">
      <c r="A711" s="30"/>
      <c r="B711" s="30"/>
      <c r="C711" s="30"/>
      <c r="D711" s="30"/>
      <c r="E711" s="30"/>
      <c r="F711" s="30"/>
      <c r="G711" s="30"/>
      <c r="H711" s="30"/>
      <c r="I711" s="30"/>
      <c r="J711" s="30"/>
      <c r="K711" s="30"/>
    </row>
    <row r="712" spans="1:11" ht="15">
      <c r="A712" s="30"/>
      <c r="B712" s="30"/>
      <c r="C712" s="30"/>
      <c r="D712" s="30"/>
      <c r="E712" s="30"/>
      <c r="F712" s="30"/>
      <c r="G712" s="30"/>
      <c r="H712" s="30"/>
      <c r="I712" s="30"/>
      <c r="J712" s="30"/>
      <c r="K712" s="30"/>
    </row>
    <row r="713" spans="1:11" ht="15">
      <c r="A713" s="30"/>
      <c r="B713" s="30"/>
      <c r="C713" s="30"/>
      <c r="D713" s="30"/>
      <c r="E713" s="30"/>
      <c r="F713" s="30"/>
      <c r="G713" s="30"/>
      <c r="H713" s="30"/>
      <c r="I713" s="30"/>
      <c r="J713" s="30"/>
      <c r="K713" s="30"/>
    </row>
    <row r="714" spans="1:11" ht="15">
      <c r="A714" s="30"/>
      <c r="B714" s="30"/>
      <c r="C714" s="30"/>
      <c r="D714" s="30"/>
      <c r="E714" s="30"/>
      <c r="F714" s="30"/>
      <c r="G714" s="30"/>
      <c r="H714" s="30"/>
      <c r="I714" s="30"/>
      <c r="J714" s="30"/>
      <c r="K714" s="30"/>
    </row>
    <row r="715" spans="1:11" ht="15">
      <c r="A715" s="30"/>
      <c r="B715" s="30"/>
      <c r="C715" s="30"/>
      <c r="D715" s="30"/>
      <c r="E715" s="30"/>
      <c r="F715" s="30"/>
      <c r="G715" s="30"/>
      <c r="H715" s="30"/>
      <c r="I715" s="30"/>
      <c r="J715" s="30"/>
      <c r="K715" s="30"/>
    </row>
    <row r="716" spans="1:11" ht="15">
      <c r="A716" s="30"/>
      <c r="B716" s="30"/>
      <c r="C716" s="30"/>
      <c r="D716" s="30"/>
      <c r="E716" s="30"/>
      <c r="F716" s="30"/>
      <c r="G716" s="30"/>
      <c r="H716" s="30"/>
      <c r="I716" s="30"/>
      <c r="J716" s="30"/>
      <c r="K716" s="30"/>
    </row>
    <row r="717" spans="1:11" ht="15">
      <c r="A717" s="30"/>
      <c r="B717" s="30"/>
      <c r="C717" s="30"/>
      <c r="D717" s="30"/>
      <c r="E717" s="30"/>
      <c r="F717" s="30"/>
      <c r="G717" s="30"/>
      <c r="H717" s="30"/>
      <c r="I717" s="30"/>
      <c r="J717" s="30"/>
      <c r="K717" s="30"/>
    </row>
    <row r="718" spans="1:11" ht="15">
      <c r="A718" s="30"/>
      <c r="B718" s="30"/>
      <c r="C718" s="30"/>
      <c r="D718" s="30"/>
      <c r="E718" s="30"/>
      <c r="F718" s="30"/>
      <c r="G718" s="30"/>
      <c r="H718" s="30"/>
      <c r="I718" s="30"/>
      <c r="J718" s="30"/>
      <c r="K718" s="30"/>
    </row>
    <row r="719" spans="1:11" ht="15">
      <c r="A719" s="30"/>
      <c r="B719" s="30"/>
      <c r="C719" s="30"/>
      <c r="D719" s="30"/>
      <c r="E719" s="30"/>
      <c r="F719" s="30"/>
      <c r="G719" s="30"/>
      <c r="H719" s="30"/>
      <c r="I719" s="30"/>
      <c r="J719" s="30"/>
      <c r="K719" s="30"/>
    </row>
    <row r="720" spans="1:11" ht="15">
      <c r="A720" s="30"/>
      <c r="B720" s="30"/>
      <c r="C720" s="30"/>
      <c r="D720" s="30"/>
      <c r="E720" s="30"/>
      <c r="F720" s="30"/>
      <c r="G720" s="30"/>
      <c r="H720" s="30"/>
      <c r="I720" s="30"/>
      <c r="J720" s="30"/>
      <c r="K720" s="30"/>
    </row>
    <row r="721" spans="1:11" ht="15">
      <c r="A721" s="30"/>
      <c r="B721" s="30"/>
      <c r="C721" s="30"/>
      <c r="D721" s="30"/>
      <c r="E721" s="30"/>
      <c r="F721" s="30"/>
      <c r="G721" s="30"/>
      <c r="H721" s="30"/>
      <c r="I721" s="30"/>
      <c r="J721" s="30"/>
      <c r="K721" s="30"/>
    </row>
    <row r="722" spans="1:11" ht="15">
      <c r="A722" s="30"/>
      <c r="B722" s="30"/>
      <c r="C722" s="30"/>
      <c r="D722" s="30"/>
      <c r="E722" s="30"/>
      <c r="F722" s="30"/>
      <c r="G722" s="30"/>
      <c r="H722" s="30"/>
      <c r="I722" s="30"/>
      <c r="J722" s="30"/>
      <c r="K722" s="30"/>
    </row>
    <row r="723" spans="1:11" ht="15">
      <c r="A723" s="30"/>
      <c r="B723" s="30"/>
      <c r="C723" s="30"/>
      <c r="D723" s="30"/>
      <c r="E723" s="30"/>
      <c r="F723" s="30"/>
      <c r="G723" s="30"/>
      <c r="H723" s="30"/>
      <c r="I723" s="30"/>
      <c r="J723" s="30"/>
      <c r="K723" s="30"/>
    </row>
    <row r="724" spans="1:11" ht="15">
      <c r="A724" s="30"/>
      <c r="B724" s="30"/>
      <c r="C724" s="30"/>
      <c r="D724" s="30"/>
      <c r="E724" s="30"/>
      <c r="F724" s="30"/>
      <c r="G724" s="30"/>
      <c r="H724" s="30"/>
      <c r="I724" s="30"/>
      <c r="J724" s="30"/>
      <c r="K724" s="30"/>
    </row>
    <row r="725" spans="1:11" ht="15">
      <c r="A725" s="30"/>
      <c r="B725" s="30"/>
      <c r="C725" s="30"/>
      <c r="D725" s="30"/>
      <c r="E725" s="30"/>
      <c r="F725" s="30"/>
      <c r="G725" s="30"/>
      <c r="H725" s="30"/>
      <c r="I725" s="30"/>
      <c r="J725" s="30"/>
      <c r="K725" s="30"/>
    </row>
    <row r="726" spans="1:11" ht="15">
      <c r="A726" s="30"/>
      <c r="B726" s="30"/>
      <c r="C726" s="30"/>
      <c r="D726" s="30"/>
      <c r="E726" s="30"/>
      <c r="F726" s="30"/>
      <c r="G726" s="30"/>
      <c r="H726" s="30"/>
      <c r="I726" s="30"/>
      <c r="J726" s="30"/>
      <c r="K726" s="30"/>
    </row>
    <row r="727" spans="1:11" ht="15">
      <c r="A727" s="30"/>
      <c r="B727" s="30"/>
      <c r="C727" s="30"/>
      <c r="D727" s="30"/>
      <c r="E727" s="30"/>
      <c r="F727" s="30"/>
      <c r="G727" s="30"/>
      <c r="H727" s="30"/>
      <c r="I727" s="30"/>
      <c r="J727" s="30"/>
      <c r="K727" s="30"/>
    </row>
    <row r="728" spans="1:11" ht="15">
      <c r="A728" s="30"/>
      <c r="B728" s="30"/>
      <c r="C728" s="30"/>
      <c r="D728" s="30"/>
      <c r="E728" s="30"/>
      <c r="F728" s="30"/>
      <c r="G728" s="30"/>
      <c r="H728" s="30"/>
      <c r="I728" s="30"/>
      <c r="J728" s="30"/>
      <c r="K728" s="30"/>
    </row>
    <row r="729" spans="1:11" ht="15">
      <c r="A729" s="30"/>
      <c r="B729" s="30"/>
      <c r="C729" s="30"/>
      <c r="D729" s="30"/>
      <c r="E729" s="30"/>
      <c r="F729" s="30"/>
      <c r="G729" s="30"/>
      <c r="H729" s="30"/>
      <c r="I729" s="30"/>
      <c r="J729" s="30"/>
      <c r="K729" s="30"/>
    </row>
    <row r="730" spans="1:11" ht="15">
      <c r="A730" s="30"/>
      <c r="B730" s="30"/>
      <c r="C730" s="30"/>
      <c r="D730" s="30"/>
      <c r="E730" s="30"/>
      <c r="F730" s="30"/>
      <c r="G730" s="30"/>
      <c r="H730" s="30"/>
      <c r="I730" s="30"/>
      <c r="J730" s="30"/>
      <c r="K730" s="30"/>
    </row>
    <row r="731" spans="1:11" ht="15">
      <c r="A731" s="30"/>
      <c r="B731" s="30"/>
      <c r="C731" s="30"/>
      <c r="D731" s="30"/>
      <c r="E731" s="30"/>
      <c r="F731" s="30"/>
      <c r="G731" s="30"/>
      <c r="H731" s="30"/>
      <c r="I731" s="30"/>
      <c r="J731" s="30"/>
      <c r="K731" s="30"/>
    </row>
    <row r="732" spans="1:11" ht="15">
      <c r="A732" s="30"/>
      <c r="B732" s="30"/>
      <c r="C732" s="30"/>
      <c r="D732" s="30"/>
      <c r="E732" s="30"/>
      <c r="F732" s="30"/>
      <c r="G732" s="30"/>
      <c r="H732" s="30"/>
      <c r="I732" s="30"/>
      <c r="J732" s="30"/>
      <c r="K732" s="30"/>
    </row>
    <row r="733" spans="1:11" ht="15">
      <c r="A733" s="30"/>
      <c r="B733" s="30"/>
      <c r="C733" s="30"/>
      <c r="D733" s="30"/>
      <c r="E733" s="30"/>
      <c r="F733" s="30"/>
      <c r="G733" s="30"/>
      <c r="H733" s="30"/>
      <c r="I733" s="30"/>
      <c r="J733" s="30"/>
      <c r="K733" s="30"/>
    </row>
    <row r="734" spans="1:11" ht="15">
      <c r="A734" s="30"/>
      <c r="B734" s="30"/>
      <c r="C734" s="30"/>
      <c r="D734" s="30"/>
      <c r="E734" s="30"/>
      <c r="F734" s="30"/>
      <c r="G734" s="30"/>
      <c r="H734" s="30"/>
      <c r="I734" s="30"/>
      <c r="J734" s="30"/>
      <c r="K734" s="30"/>
    </row>
    <row r="735" spans="1:11" ht="15">
      <c r="A735" s="30"/>
      <c r="B735" s="30"/>
      <c r="C735" s="30"/>
      <c r="D735" s="30"/>
      <c r="E735" s="30"/>
      <c r="F735" s="30"/>
      <c r="G735" s="30"/>
      <c r="H735" s="30"/>
      <c r="I735" s="30"/>
      <c r="J735" s="30"/>
      <c r="K735" s="30"/>
    </row>
    <row r="736" spans="1:11" ht="15">
      <c r="A736" s="30"/>
      <c r="B736" s="30"/>
      <c r="C736" s="30"/>
      <c r="D736" s="30"/>
      <c r="E736" s="30"/>
      <c r="F736" s="30"/>
      <c r="G736" s="30"/>
      <c r="H736" s="30"/>
      <c r="I736" s="30"/>
      <c r="J736" s="30"/>
      <c r="K736" s="30"/>
    </row>
    <row r="737" spans="1:11" ht="15">
      <c r="A737" s="30"/>
      <c r="B737" s="30"/>
      <c r="C737" s="30"/>
      <c r="D737" s="30"/>
      <c r="E737" s="30"/>
      <c r="F737" s="30"/>
      <c r="G737" s="30"/>
      <c r="H737" s="30"/>
      <c r="I737" s="30"/>
      <c r="J737" s="30"/>
      <c r="K737" s="30"/>
    </row>
    <row r="738" spans="1:11" ht="15">
      <c r="A738" s="30"/>
      <c r="B738" s="30"/>
      <c r="C738" s="30"/>
      <c r="D738" s="30"/>
      <c r="E738" s="30"/>
      <c r="F738" s="30"/>
      <c r="G738" s="30"/>
      <c r="H738" s="30"/>
      <c r="I738" s="30"/>
      <c r="J738" s="30"/>
      <c r="K738" s="30"/>
    </row>
    <row r="739" spans="1:11" ht="15">
      <c r="A739" s="30"/>
      <c r="B739" s="30"/>
      <c r="C739" s="30"/>
      <c r="D739" s="30"/>
      <c r="E739" s="30"/>
      <c r="F739" s="30"/>
      <c r="G739" s="30"/>
      <c r="H739" s="30"/>
      <c r="I739" s="30"/>
      <c r="J739" s="30"/>
      <c r="K739" s="30"/>
    </row>
    <row r="740" spans="1:11" ht="15">
      <c r="A740" s="30"/>
      <c r="B740" s="30"/>
      <c r="C740" s="30"/>
      <c r="D740" s="30"/>
      <c r="E740" s="30"/>
      <c r="F740" s="30"/>
      <c r="G740" s="30"/>
      <c r="H740" s="30"/>
      <c r="I740" s="30"/>
      <c r="J740" s="30"/>
      <c r="K740" s="30"/>
    </row>
    <row r="741" spans="1:11" ht="15">
      <c r="A741" s="30"/>
      <c r="B741" s="30"/>
      <c r="C741" s="30"/>
      <c r="D741" s="30"/>
      <c r="E741" s="30"/>
      <c r="F741" s="30"/>
      <c r="G741" s="30"/>
      <c r="H741" s="30"/>
      <c r="I741" s="30"/>
      <c r="J741" s="30"/>
      <c r="K741" s="30"/>
    </row>
    <row r="742" spans="1:11" ht="15">
      <c r="A742" s="30"/>
      <c r="B742" s="30"/>
      <c r="C742" s="30"/>
      <c r="D742" s="30"/>
      <c r="E742" s="30"/>
      <c r="F742" s="30"/>
      <c r="G742" s="30"/>
      <c r="H742" s="30"/>
      <c r="I742" s="30"/>
      <c r="J742" s="30"/>
      <c r="K742" s="30"/>
    </row>
    <row r="743" spans="1:11" ht="15">
      <c r="A743" s="30"/>
      <c r="B743" s="30"/>
      <c r="C743" s="30"/>
      <c r="D743" s="30"/>
      <c r="E743" s="30"/>
      <c r="F743" s="30"/>
      <c r="G743" s="30"/>
      <c r="H743" s="30"/>
      <c r="I743" s="30"/>
      <c r="J743" s="30"/>
      <c r="K743" s="30"/>
    </row>
    <row r="744" spans="1:11" ht="15">
      <c r="A744" s="30"/>
      <c r="B744" s="30"/>
      <c r="C744" s="30"/>
      <c r="D744" s="30"/>
      <c r="E744" s="30"/>
      <c r="F744" s="30"/>
      <c r="G744" s="30"/>
      <c r="H744" s="30"/>
      <c r="I744" s="30"/>
      <c r="J744" s="30"/>
      <c r="K744" s="30"/>
    </row>
    <row r="745" spans="1:11" ht="15">
      <c r="A745" s="30"/>
      <c r="B745" s="30"/>
      <c r="C745" s="30"/>
      <c r="D745" s="30"/>
      <c r="E745" s="30"/>
      <c r="F745" s="30"/>
      <c r="G745" s="30"/>
      <c r="H745" s="30"/>
      <c r="I745" s="30"/>
      <c r="J745" s="30"/>
      <c r="K745" s="30"/>
    </row>
    <row r="746" spans="1:11" ht="15">
      <c r="A746" s="30"/>
      <c r="B746" s="30"/>
      <c r="C746" s="30"/>
      <c r="D746" s="30"/>
      <c r="E746" s="30"/>
      <c r="F746" s="30"/>
      <c r="G746" s="30"/>
      <c r="H746" s="30"/>
      <c r="I746" s="30"/>
      <c r="J746" s="30"/>
      <c r="K746" s="30"/>
    </row>
    <row r="747" spans="1:11" ht="15">
      <c r="A747" s="30"/>
      <c r="B747" s="30"/>
      <c r="C747" s="30"/>
      <c r="D747" s="30"/>
      <c r="E747" s="30"/>
      <c r="F747" s="30"/>
      <c r="G747" s="30"/>
      <c r="H747" s="30"/>
      <c r="I747" s="30"/>
      <c r="J747" s="30"/>
      <c r="K747" s="30"/>
    </row>
    <row r="748" spans="1:11" ht="15">
      <c r="A748" s="30"/>
      <c r="B748" s="30"/>
      <c r="C748" s="30"/>
      <c r="D748" s="30"/>
      <c r="E748" s="30"/>
      <c r="F748" s="30"/>
      <c r="G748" s="30"/>
      <c r="H748" s="30"/>
      <c r="I748" s="30"/>
      <c r="J748" s="30"/>
      <c r="K748" s="30"/>
    </row>
    <row r="749" spans="1:11" ht="15">
      <c r="A749" s="30"/>
      <c r="B749" s="30"/>
      <c r="C749" s="30"/>
      <c r="D749" s="30"/>
      <c r="E749" s="30"/>
      <c r="F749" s="30"/>
      <c r="G749" s="30"/>
      <c r="H749" s="30"/>
      <c r="I749" s="30"/>
      <c r="J749" s="30"/>
      <c r="K749" s="30"/>
    </row>
    <row r="750" spans="1:11" ht="15">
      <c r="A750" s="30"/>
      <c r="B750" s="30"/>
      <c r="C750" s="30"/>
      <c r="D750" s="30"/>
      <c r="E750" s="30"/>
      <c r="F750" s="30"/>
      <c r="G750" s="30"/>
      <c r="H750" s="30"/>
      <c r="I750" s="30"/>
      <c r="J750" s="30"/>
      <c r="K750" s="30"/>
    </row>
    <row r="751" spans="1:11" ht="15">
      <c r="A751" s="30"/>
      <c r="B751" s="30"/>
      <c r="C751" s="30"/>
      <c r="D751" s="30"/>
      <c r="E751" s="30"/>
      <c r="F751" s="30"/>
      <c r="G751" s="30"/>
      <c r="H751" s="30"/>
      <c r="I751" s="30"/>
      <c r="J751" s="30"/>
      <c r="K751" s="30"/>
    </row>
    <row r="752" spans="1:11" ht="15">
      <c r="A752" s="30"/>
      <c r="B752" s="30"/>
      <c r="C752" s="30"/>
      <c r="D752" s="30"/>
      <c r="E752" s="30"/>
      <c r="F752" s="30"/>
      <c r="G752" s="30"/>
      <c r="H752" s="30"/>
      <c r="I752" s="30"/>
      <c r="J752" s="30"/>
      <c r="K752" s="30"/>
    </row>
    <row r="753" spans="1:11" ht="15">
      <c r="A753" s="30"/>
      <c r="B753" s="30"/>
      <c r="C753" s="30"/>
      <c r="D753" s="30"/>
      <c r="E753" s="30"/>
      <c r="F753" s="30"/>
      <c r="G753" s="30"/>
      <c r="H753" s="30"/>
      <c r="I753" s="30"/>
      <c r="J753" s="30"/>
      <c r="K753" s="30"/>
    </row>
    <row r="754" spans="1:11" ht="15">
      <c r="A754" s="30"/>
      <c r="B754" s="30"/>
      <c r="C754" s="30"/>
      <c r="D754" s="30"/>
      <c r="E754" s="30"/>
      <c r="F754" s="30"/>
      <c r="G754" s="30"/>
      <c r="H754" s="30"/>
      <c r="I754" s="30"/>
      <c r="J754" s="30"/>
      <c r="K754" s="30"/>
    </row>
    <row r="755" spans="1:11" ht="15">
      <c r="A755" s="30"/>
      <c r="B755" s="30"/>
      <c r="C755" s="30"/>
      <c r="D755" s="30"/>
      <c r="E755" s="30"/>
      <c r="F755" s="30"/>
      <c r="G755" s="30"/>
      <c r="H755" s="30"/>
      <c r="I755" s="30"/>
      <c r="J755" s="30"/>
      <c r="K755" s="30"/>
    </row>
    <row r="756" spans="1:11" ht="15">
      <c r="A756" s="30"/>
      <c r="B756" s="30"/>
      <c r="C756" s="30"/>
      <c r="D756" s="30"/>
      <c r="E756" s="30"/>
      <c r="F756" s="30"/>
      <c r="G756" s="30"/>
      <c r="H756" s="30"/>
      <c r="I756" s="30"/>
      <c r="J756" s="30"/>
      <c r="K756" s="30"/>
    </row>
    <row r="757" spans="1:11" ht="15">
      <c r="A757" s="30"/>
      <c r="B757" s="30"/>
      <c r="C757" s="30"/>
      <c r="D757" s="30"/>
      <c r="E757" s="30"/>
      <c r="F757" s="30"/>
      <c r="G757" s="30"/>
      <c r="H757" s="30"/>
      <c r="I757" s="30"/>
      <c r="J757" s="30"/>
      <c r="K757" s="30"/>
    </row>
    <row r="758" spans="1:11" ht="15">
      <c r="A758" s="30"/>
      <c r="B758" s="30"/>
      <c r="C758" s="30"/>
      <c r="D758" s="30"/>
      <c r="E758" s="30"/>
      <c r="F758" s="30"/>
      <c r="G758" s="30"/>
      <c r="H758" s="30"/>
      <c r="I758" s="30"/>
      <c r="J758" s="30"/>
      <c r="K758" s="30"/>
    </row>
    <row r="759" spans="1:11" ht="15">
      <c r="A759" s="30"/>
      <c r="B759" s="30"/>
      <c r="C759" s="30"/>
      <c r="D759" s="30"/>
      <c r="E759" s="30"/>
      <c r="F759" s="30"/>
      <c r="G759" s="30"/>
      <c r="H759" s="30"/>
      <c r="I759" s="30"/>
      <c r="J759" s="30"/>
      <c r="K759" s="30"/>
    </row>
    <row r="760" spans="1:11" ht="15">
      <c r="A760" s="30"/>
      <c r="B760" s="30"/>
      <c r="C760" s="30"/>
      <c r="D760" s="30"/>
      <c r="E760" s="30"/>
      <c r="F760" s="30"/>
      <c r="G760" s="30"/>
      <c r="H760" s="30"/>
      <c r="I760" s="30"/>
      <c r="J760" s="30"/>
      <c r="K760" s="30"/>
    </row>
    <row r="761" spans="1:11" ht="15">
      <c r="A761" s="30"/>
      <c r="B761" s="30"/>
      <c r="C761" s="30"/>
      <c r="D761" s="30"/>
      <c r="E761" s="30"/>
      <c r="F761" s="30"/>
      <c r="G761" s="30"/>
      <c r="H761" s="30"/>
      <c r="I761" s="30"/>
      <c r="J761" s="30"/>
      <c r="K761" s="30"/>
    </row>
    <row r="762" spans="1:11" ht="15">
      <c r="A762" s="30"/>
      <c r="B762" s="30"/>
      <c r="C762" s="30"/>
      <c r="D762" s="30"/>
      <c r="E762" s="30"/>
      <c r="F762" s="30"/>
      <c r="G762" s="30"/>
      <c r="H762" s="30"/>
      <c r="I762" s="30"/>
      <c r="J762" s="30"/>
      <c r="K762" s="30"/>
    </row>
    <row r="763" spans="1:11" ht="15">
      <c r="A763" s="30"/>
      <c r="B763" s="30"/>
      <c r="C763" s="30"/>
      <c r="D763" s="30"/>
      <c r="E763" s="30"/>
      <c r="F763" s="30"/>
      <c r="G763" s="30"/>
      <c r="H763" s="30"/>
      <c r="I763" s="30"/>
      <c r="J763" s="30"/>
      <c r="K763" s="30"/>
    </row>
    <row r="764" spans="1:11" ht="15">
      <c r="A764" s="30"/>
      <c r="B764" s="30"/>
      <c r="C764" s="30"/>
      <c r="D764" s="30"/>
      <c r="E764" s="30"/>
      <c r="F764" s="30"/>
      <c r="G764" s="30"/>
      <c r="H764" s="30"/>
      <c r="I764" s="30"/>
      <c r="J764" s="30"/>
      <c r="K764" s="30"/>
    </row>
    <row r="765" spans="1:11" ht="15">
      <c r="A765" s="30"/>
      <c r="B765" s="30"/>
      <c r="C765" s="30"/>
      <c r="D765" s="30"/>
      <c r="E765" s="30"/>
      <c r="F765" s="30"/>
      <c r="G765" s="30"/>
      <c r="H765" s="30"/>
      <c r="I765" s="30"/>
      <c r="J765" s="30"/>
      <c r="K765" s="30"/>
    </row>
    <row r="766" spans="1:11" ht="15">
      <c r="A766" s="30"/>
      <c r="B766" s="30"/>
      <c r="C766" s="30"/>
      <c r="D766" s="30"/>
      <c r="E766" s="30"/>
      <c r="F766" s="30"/>
      <c r="G766" s="30"/>
      <c r="H766" s="30"/>
      <c r="I766" s="30"/>
      <c r="J766" s="30"/>
      <c r="K766" s="30"/>
    </row>
    <row r="767" spans="1:11" ht="15">
      <c r="A767" s="30"/>
      <c r="B767" s="30"/>
      <c r="C767" s="30"/>
      <c r="D767" s="30"/>
      <c r="E767" s="30"/>
      <c r="F767" s="30"/>
      <c r="G767" s="30"/>
      <c r="H767" s="30"/>
      <c r="I767" s="30"/>
      <c r="J767" s="30"/>
      <c r="K767" s="30"/>
    </row>
    <row r="768" spans="1:11" ht="15">
      <c r="A768" s="30"/>
      <c r="B768" s="30"/>
      <c r="C768" s="30"/>
      <c r="D768" s="30"/>
      <c r="E768" s="30"/>
      <c r="F768" s="30"/>
      <c r="G768" s="30"/>
      <c r="H768" s="30"/>
      <c r="I768" s="30"/>
      <c r="J768" s="30"/>
      <c r="K768" s="30"/>
    </row>
    <row r="769" spans="1:11" ht="15">
      <c r="A769" s="30"/>
      <c r="B769" s="30"/>
      <c r="C769" s="30"/>
      <c r="D769" s="30"/>
      <c r="E769" s="30"/>
      <c r="F769" s="30"/>
      <c r="G769" s="30"/>
      <c r="H769" s="30"/>
      <c r="I769" s="30"/>
      <c r="J769" s="30"/>
      <c r="K769" s="30"/>
    </row>
    <row r="770" spans="1:11" ht="15">
      <c r="A770" s="30"/>
      <c r="B770" s="30"/>
      <c r="C770" s="30"/>
      <c r="D770" s="30"/>
      <c r="E770" s="30"/>
      <c r="F770" s="30"/>
      <c r="G770" s="30"/>
      <c r="H770" s="30"/>
      <c r="I770" s="30"/>
      <c r="J770" s="30"/>
      <c r="K770" s="30"/>
    </row>
    <row r="771" spans="1:11" ht="15">
      <c r="A771" s="30"/>
      <c r="B771" s="30"/>
      <c r="C771" s="30"/>
      <c r="D771" s="30"/>
      <c r="E771" s="30"/>
      <c r="F771" s="30"/>
      <c r="G771" s="30"/>
      <c r="H771" s="30"/>
      <c r="I771" s="30"/>
      <c r="J771" s="30"/>
      <c r="K771" s="30"/>
    </row>
    <row r="772" spans="1:11" ht="15">
      <c r="A772" s="30"/>
      <c r="B772" s="30"/>
      <c r="C772" s="30"/>
      <c r="D772" s="30"/>
      <c r="E772" s="30"/>
      <c r="F772" s="30"/>
      <c r="G772" s="30"/>
      <c r="H772" s="30"/>
      <c r="I772" s="30"/>
      <c r="J772" s="30"/>
      <c r="K772" s="30"/>
    </row>
    <row r="773" spans="1:11" ht="15">
      <c r="A773" s="30"/>
      <c r="B773" s="30"/>
      <c r="C773" s="30"/>
      <c r="D773" s="30"/>
      <c r="E773" s="30"/>
      <c r="F773" s="30"/>
      <c r="G773" s="30"/>
      <c r="H773" s="30"/>
      <c r="I773" s="30"/>
      <c r="J773" s="30"/>
      <c r="K773" s="30"/>
    </row>
    <row r="774" spans="1:11" ht="15">
      <c r="A774" s="30"/>
      <c r="B774" s="30"/>
      <c r="C774" s="30"/>
      <c r="D774" s="30"/>
      <c r="E774" s="30"/>
      <c r="F774" s="30"/>
      <c r="G774" s="30"/>
      <c r="H774" s="30"/>
      <c r="I774" s="30"/>
      <c r="J774" s="30"/>
      <c r="K774" s="30"/>
    </row>
    <row r="775" spans="1:11" ht="15">
      <c r="A775" s="30"/>
      <c r="B775" s="30"/>
      <c r="C775" s="30"/>
      <c r="D775" s="30"/>
      <c r="E775" s="30"/>
      <c r="F775" s="30"/>
      <c r="G775" s="30"/>
      <c r="H775" s="30"/>
      <c r="I775" s="30"/>
      <c r="J775" s="30"/>
      <c r="K775" s="30"/>
    </row>
    <row r="776" spans="1:11" ht="15">
      <c r="A776" s="30"/>
      <c r="B776" s="30"/>
      <c r="C776" s="30"/>
      <c r="D776" s="30"/>
      <c r="E776" s="30"/>
      <c r="F776" s="30"/>
      <c r="G776" s="30"/>
      <c r="H776" s="30"/>
      <c r="I776" s="30"/>
      <c r="J776" s="30"/>
      <c r="K776" s="30"/>
    </row>
    <row r="777" spans="1:11" ht="15">
      <c r="A777" s="30"/>
      <c r="B777" s="30"/>
      <c r="C777" s="30"/>
      <c r="D777" s="30"/>
      <c r="E777" s="30"/>
      <c r="F777" s="30"/>
      <c r="G777" s="30"/>
      <c r="H777" s="30"/>
      <c r="I777" s="30"/>
      <c r="J777" s="30"/>
      <c r="K777" s="30"/>
    </row>
    <row r="778" spans="1:11" ht="15">
      <c r="A778" s="30"/>
      <c r="B778" s="30"/>
      <c r="C778" s="30"/>
      <c r="D778" s="30"/>
      <c r="E778" s="30"/>
      <c r="F778" s="30"/>
      <c r="G778" s="30"/>
      <c r="H778" s="30"/>
      <c r="I778" s="30"/>
      <c r="J778" s="30"/>
      <c r="K778" s="30"/>
    </row>
    <row r="779" spans="1:11" ht="15">
      <c r="A779" s="30"/>
      <c r="B779" s="30"/>
      <c r="C779" s="30"/>
      <c r="D779" s="30"/>
      <c r="E779" s="30"/>
      <c r="F779" s="30"/>
      <c r="G779" s="30"/>
      <c r="H779" s="30"/>
      <c r="I779" s="30"/>
      <c r="J779" s="30"/>
      <c r="K779" s="30"/>
    </row>
    <row r="780" spans="1:11" ht="15">
      <c r="A780" s="30"/>
      <c r="B780" s="30"/>
      <c r="C780" s="30"/>
      <c r="D780" s="30"/>
      <c r="E780" s="30"/>
      <c r="F780" s="30"/>
      <c r="G780" s="30"/>
      <c r="H780" s="30"/>
      <c r="I780" s="30"/>
      <c r="J780" s="30"/>
      <c r="K780" s="30"/>
    </row>
    <row r="781" spans="1:11" ht="15">
      <c r="A781" s="30"/>
      <c r="B781" s="30"/>
      <c r="C781" s="30"/>
      <c r="D781" s="30"/>
      <c r="E781" s="30"/>
      <c r="F781" s="30"/>
      <c r="G781" s="30"/>
      <c r="H781" s="30"/>
      <c r="I781" s="30"/>
      <c r="J781" s="30"/>
      <c r="K781" s="30"/>
    </row>
    <row r="782" spans="1:11" ht="15">
      <c r="A782" s="30"/>
      <c r="B782" s="30"/>
      <c r="C782" s="30"/>
      <c r="D782" s="30"/>
      <c r="E782" s="30"/>
      <c r="F782" s="30"/>
      <c r="G782" s="30"/>
      <c r="H782" s="30"/>
      <c r="I782" s="30"/>
      <c r="J782" s="30"/>
      <c r="K782" s="30"/>
    </row>
    <row r="783" spans="1:11" ht="15">
      <c r="A783" s="30"/>
      <c r="B783" s="30"/>
      <c r="C783" s="30"/>
      <c r="D783" s="30"/>
      <c r="E783" s="30"/>
      <c r="F783" s="30"/>
      <c r="G783" s="30"/>
      <c r="H783" s="30"/>
      <c r="I783" s="30"/>
      <c r="J783" s="30"/>
      <c r="K783" s="30"/>
    </row>
    <row r="784" spans="1:11" ht="15">
      <c r="A784" s="30"/>
      <c r="B784" s="30"/>
      <c r="C784" s="30"/>
      <c r="D784" s="30"/>
      <c r="E784" s="30"/>
      <c r="F784" s="30"/>
      <c r="G784" s="30"/>
      <c r="H784" s="30"/>
      <c r="I784" s="30"/>
      <c r="J784" s="30"/>
      <c r="K784" s="30"/>
    </row>
    <row r="785" spans="1:11" ht="15">
      <c r="A785" s="30"/>
      <c r="B785" s="30"/>
      <c r="C785" s="30"/>
      <c r="D785" s="30"/>
      <c r="E785" s="30"/>
      <c r="F785" s="30"/>
      <c r="G785" s="30"/>
      <c r="H785" s="30"/>
      <c r="I785" s="30"/>
      <c r="J785" s="30"/>
      <c r="K785" s="30"/>
    </row>
    <row r="786" spans="1:11" ht="15">
      <c r="A786" s="30"/>
      <c r="B786" s="30"/>
      <c r="C786" s="30"/>
      <c r="D786" s="30"/>
      <c r="E786" s="30"/>
      <c r="F786" s="30"/>
      <c r="G786" s="30"/>
      <c r="H786" s="30"/>
      <c r="I786" s="30"/>
      <c r="J786" s="30"/>
      <c r="K786" s="30"/>
    </row>
    <row r="787" spans="1:11" ht="15">
      <c r="A787" s="30"/>
      <c r="B787" s="30"/>
      <c r="C787" s="30"/>
      <c r="D787" s="30"/>
      <c r="E787" s="30"/>
      <c r="F787" s="30"/>
      <c r="G787" s="30"/>
      <c r="H787" s="30"/>
      <c r="I787" s="30"/>
      <c r="J787" s="30"/>
      <c r="K787" s="30"/>
    </row>
    <row r="788" spans="1:11" ht="15">
      <c r="A788" s="30"/>
      <c r="B788" s="30"/>
      <c r="C788" s="30"/>
      <c r="D788" s="30"/>
      <c r="E788" s="30"/>
      <c r="F788" s="30"/>
      <c r="G788" s="30"/>
      <c r="H788" s="30"/>
      <c r="I788" s="30"/>
      <c r="J788" s="30"/>
      <c r="K788" s="30"/>
    </row>
    <row r="789" spans="1:11" ht="15">
      <c r="A789" s="30"/>
      <c r="B789" s="30"/>
      <c r="C789" s="30"/>
      <c r="D789" s="30"/>
      <c r="E789" s="30"/>
      <c r="F789" s="30"/>
      <c r="G789" s="30"/>
      <c r="H789" s="30"/>
      <c r="I789" s="30"/>
      <c r="J789" s="30"/>
      <c r="K789" s="30"/>
    </row>
    <row r="790" spans="1:11" ht="15">
      <c r="A790" s="30"/>
      <c r="B790" s="30"/>
      <c r="C790" s="30"/>
      <c r="D790" s="30"/>
      <c r="E790" s="30"/>
      <c r="F790" s="30"/>
      <c r="G790" s="30"/>
      <c r="H790" s="30"/>
      <c r="I790" s="30"/>
      <c r="J790" s="30"/>
      <c r="K790" s="30"/>
    </row>
    <row r="791" spans="1:11" ht="15">
      <c r="A791" s="30"/>
      <c r="B791" s="30"/>
      <c r="C791" s="30"/>
      <c r="D791" s="30"/>
      <c r="E791" s="30"/>
      <c r="F791" s="30"/>
      <c r="G791" s="30"/>
      <c r="H791" s="30"/>
      <c r="I791" s="30"/>
      <c r="J791" s="30"/>
      <c r="K791" s="30"/>
    </row>
    <row r="792" spans="1:11" ht="15">
      <c r="A792" s="30"/>
      <c r="B792" s="30"/>
      <c r="C792" s="30"/>
      <c r="D792" s="30"/>
      <c r="E792" s="30"/>
      <c r="F792" s="30"/>
      <c r="G792" s="30"/>
      <c r="H792" s="30"/>
      <c r="I792" s="30"/>
      <c r="J792" s="30"/>
      <c r="K792" s="30"/>
    </row>
    <row r="793" spans="1:11" ht="15">
      <c r="A793" s="30"/>
      <c r="B793" s="30"/>
      <c r="C793" s="30"/>
      <c r="D793" s="30"/>
      <c r="E793" s="30"/>
      <c r="F793" s="30"/>
      <c r="G793" s="30"/>
      <c r="H793" s="30"/>
      <c r="I793" s="30"/>
      <c r="J793" s="30"/>
      <c r="K793" s="30"/>
    </row>
    <row r="794" spans="1:11" ht="15">
      <c r="A794" s="30"/>
      <c r="B794" s="30"/>
      <c r="C794" s="30"/>
      <c r="D794" s="30"/>
      <c r="E794" s="30"/>
      <c r="F794" s="30"/>
      <c r="G794" s="30"/>
      <c r="H794" s="30"/>
      <c r="I794" s="30"/>
      <c r="J794" s="30"/>
      <c r="K794" s="30"/>
    </row>
    <row r="795" spans="1:11" ht="15">
      <c r="A795" s="30"/>
      <c r="B795" s="30"/>
      <c r="C795" s="30"/>
      <c r="D795" s="30"/>
      <c r="E795" s="30"/>
      <c r="F795" s="30"/>
      <c r="G795" s="30"/>
      <c r="H795" s="30"/>
      <c r="I795" s="30"/>
      <c r="J795" s="30"/>
      <c r="K795" s="30"/>
    </row>
    <row r="796" spans="1:11" ht="15">
      <c r="A796" s="30"/>
      <c r="B796" s="30"/>
      <c r="C796" s="30"/>
      <c r="D796" s="30"/>
      <c r="E796" s="30"/>
      <c r="F796" s="30"/>
      <c r="G796" s="30"/>
      <c r="H796" s="30"/>
      <c r="I796" s="30"/>
      <c r="J796" s="30"/>
      <c r="K796" s="30"/>
    </row>
    <row r="797" spans="1:11" ht="15">
      <c r="A797" s="30"/>
      <c r="B797" s="30"/>
      <c r="C797" s="30"/>
      <c r="D797" s="30"/>
      <c r="E797" s="30"/>
      <c r="F797" s="30"/>
      <c r="G797" s="30"/>
      <c r="H797" s="30"/>
      <c r="I797" s="30"/>
      <c r="J797" s="30"/>
      <c r="K797" s="30"/>
    </row>
    <row r="798" spans="1:11" ht="15">
      <c r="A798" s="30"/>
      <c r="B798" s="30"/>
      <c r="C798" s="30"/>
      <c r="D798" s="30"/>
      <c r="E798" s="30"/>
      <c r="F798" s="30"/>
      <c r="G798" s="30"/>
      <c r="H798" s="30"/>
      <c r="I798" s="30"/>
      <c r="J798" s="30"/>
      <c r="K798" s="30"/>
    </row>
    <row r="799" spans="1:11" ht="15">
      <c r="A799" s="30"/>
      <c r="B799" s="30"/>
      <c r="C799" s="30"/>
      <c r="D799" s="30"/>
      <c r="E799" s="30"/>
      <c r="F799" s="30"/>
      <c r="G799" s="30"/>
      <c r="H799" s="30"/>
      <c r="I799" s="30"/>
      <c r="J799" s="30"/>
      <c r="K799" s="30"/>
    </row>
    <row r="800" spans="1:11" ht="15">
      <c r="A800" s="30"/>
      <c r="B800" s="30"/>
      <c r="C800" s="30"/>
      <c r="D800" s="30"/>
      <c r="E800" s="30"/>
      <c r="F800" s="30"/>
      <c r="G800" s="30"/>
      <c r="H800" s="30"/>
      <c r="I800" s="30"/>
      <c r="J800" s="30"/>
      <c r="K800" s="30"/>
    </row>
    <row r="801" spans="1:11" ht="15">
      <c r="A801" s="30"/>
      <c r="B801" s="30"/>
      <c r="C801" s="30"/>
      <c r="D801" s="30"/>
      <c r="E801" s="30"/>
      <c r="F801" s="30"/>
      <c r="G801" s="30"/>
      <c r="H801" s="30"/>
      <c r="I801" s="30"/>
      <c r="J801" s="30"/>
      <c r="K801" s="30"/>
    </row>
    <row r="802" spans="1:11" ht="15">
      <c r="A802" s="30"/>
      <c r="B802" s="30"/>
      <c r="C802" s="30"/>
      <c r="D802" s="30"/>
      <c r="E802" s="30"/>
      <c r="F802" s="30"/>
      <c r="G802" s="30"/>
      <c r="H802" s="30"/>
      <c r="I802" s="30"/>
      <c r="J802" s="30"/>
      <c r="K802" s="30"/>
    </row>
    <row r="803" spans="1:11" ht="15">
      <c r="A803" s="30"/>
      <c r="B803" s="30"/>
      <c r="C803" s="30"/>
      <c r="D803" s="30"/>
      <c r="E803" s="30"/>
      <c r="F803" s="30"/>
      <c r="G803" s="30"/>
      <c r="H803" s="30"/>
      <c r="I803" s="30"/>
      <c r="J803" s="30"/>
      <c r="K803" s="30"/>
    </row>
    <row r="804" spans="1:11" ht="15">
      <c r="A804" s="30"/>
      <c r="B804" s="30"/>
      <c r="C804" s="30"/>
      <c r="D804" s="30"/>
      <c r="E804" s="30"/>
      <c r="F804" s="30"/>
      <c r="G804" s="30"/>
      <c r="H804" s="30"/>
      <c r="I804" s="30"/>
      <c r="J804" s="30"/>
      <c r="K804" s="30"/>
    </row>
    <row r="805" spans="1:11" ht="15">
      <c r="A805" s="30"/>
      <c r="B805" s="30"/>
      <c r="C805" s="30"/>
      <c r="D805" s="30"/>
      <c r="E805" s="30"/>
      <c r="F805" s="30"/>
      <c r="G805" s="30"/>
      <c r="H805" s="30"/>
      <c r="I805" s="30"/>
      <c r="J805" s="30"/>
      <c r="K805" s="30"/>
    </row>
    <row r="806" spans="1:11" ht="15">
      <c r="A806" s="30"/>
      <c r="B806" s="30"/>
      <c r="C806" s="30"/>
      <c r="D806" s="30"/>
      <c r="E806" s="30"/>
      <c r="F806" s="30"/>
      <c r="G806" s="30"/>
      <c r="H806" s="30"/>
      <c r="I806" s="30"/>
      <c r="J806" s="30"/>
      <c r="K806" s="30"/>
    </row>
    <row r="807" spans="1:11" ht="15">
      <c r="A807" s="30"/>
      <c r="B807" s="30"/>
      <c r="C807" s="30"/>
      <c r="D807" s="30"/>
      <c r="E807" s="30"/>
      <c r="F807" s="30"/>
      <c r="G807" s="30"/>
      <c r="H807" s="30"/>
      <c r="I807" s="30"/>
      <c r="J807" s="30"/>
      <c r="K807" s="30"/>
    </row>
    <row r="808" spans="1:11" ht="15">
      <c r="A808" s="30"/>
      <c r="B808" s="30"/>
      <c r="C808" s="30"/>
      <c r="D808" s="30"/>
      <c r="E808" s="30"/>
      <c r="F808" s="30"/>
      <c r="G808" s="30"/>
      <c r="H808" s="30"/>
      <c r="I808" s="30"/>
      <c r="J808" s="30"/>
      <c r="K808" s="30"/>
    </row>
    <row r="809" spans="1:11" ht="15">
      <c r="A809" s="30"/>
      <c r="B809" s="30"/>
      <c r="C809" s="30"/>
      <c r="D809" s="30"/>
      <c r="E809" s="30"/>
      <c r="F809" s="30"/>
      <c r="G809" s="30"/>
      <c r="H809" s="30"/>
      <c r="I809" s="30"/>
      <c r="J809" s="30"/>
      <c r="K809" s="30"/>
    </row>
    <row r="810" spans="1:11" ht="15">
      <c r="A810" s="30"/>
      <c r="B810" s="30"/>
      <c r="C810" s="30"/>
      <c r="D810" s="30"/>
      <c r="E810" s="30"/>
      <c r="F810" s="30"/>
      <c r="G810" s="30"/>
      <c r="H810" s="30"/>
      <c r="I810" s="30"/>
      <c r="J810" s="30"/>
      <c r="K810" s="30"/>
    </row>
    <row r="811" spans="1:11" ht="15">
      <c r="A811" s="30"/>
      <c r="B811" s="30"/>
      <c r="C811" s="30"/>
      <c r="D811" s="30"/>
      <c r="E811" s="30"/>
      <c r="F811" s="30"/>
      <c r="G811" s="30"/>
      <c r="H811" s="30"/>
      <c r="I811" s="30"/>
      <c r="J811" s="30"/>
      <c r="K811" s="30"/>
    </row>
    <row r="812" spans="1:11" ht="15">
      <c r="A812" s="30"/>
      <c r="B812" s="30"/>
      <c r="C812" s="30"/>
      <c r="D812" s="30"/>
      <c r="E812" s="30"/>
      <c r="F812" s="30"/>
      <c r="G812" s="30"/>
      <c r="H812" s="30"/>
      <c r="I812" s="30"/>
      <c r="J812" s="30"/>
      <c r="K812" s="30"/>
    </row>
    <row r="813" spans="1:11" ht="15">
      <c r="A813" s="30"/>
      <c r="B813" s="30"/>
      <c r="C813" s="30"/>
      <c r="D813" s="30"/>
      <c r="E813" s="30"/>
      <c r="F813" s="30"/>
      <c r="G813" s="30"/>
      <c r="H813" s="30"/>
      <c r="I813" s="30"/>
      <c r="J813" s="30"/>
      <c r="K813" s="30"/>
    </row>
    <row r="814" spans="1:11" ht="15">
      <c r="A814" s="30"/>
      <c r="B814" s="30"/>
      <c r="C814" s="30"/>
      <c r="D814" s="30"/>
      <c r="E814" s="30"/>
      <c r="F814" s="30"/>
      <c r="G814" s="30"/>
      <c r="H814" s="30"/>
      <c r="I814" s="30"/>
      <c r="J814" s="30"/>
      <c r="K814" s="30"/>
    </row>
    <row r="815" spans="1:11" ht="15">
      <c r="A815" s="30"/>
      <c r="B815" s="30"/>
      <c r="C815" s="30"/>
      <c r="D815" s="30"/>
      <c r="E815" s="30"/>
      <c r="F815" s="30"/>
      <c r="G815" s="30"/>
      <c r="H815" s="30"/>
      <c r="I815" s="30"/>
      <c r="J815" s="30"/>
      <c r="K815" s="30"/>
    </row>
    <row r="816" spans="1:11" ht="15">
      <c r="A816" s="30"/>
      <c r="B816" s="30"/>
      <c r="C816" s="30"/>
      <c r="D816" s="30"/>
      <c r="E816" s="30"/>
      <c r="F816" s="30"/>
      <c r="G816" s="30"/>
      <c r="H816" s="30"/>
      <c r="I816" s="30"/>
      <c r="J816" s="30"/>
      <c r="K816" s="30"/>
    </row>
    <row r="817" spans="1:11" ht="15">
      <c r="A817" s="30"/>
      <c r="B817" s="30"/>
      <c r="C817" s="30"/>
      <c r="D817" s="30"/>
      <c r="E817" s="30"/>
      <c r="F817" s="30"/>
      <c r="G817" s="30"/>
      <c r="H817" s="30"/>
      <c r="I817" s="30"/>
      <c r="J817" s="30"/>
      <c r="K817" s="30"/>
    </row>
    <row r="818" spans="1:11" ht="15">
      <c r="A818" s="30"/>
      <c r="B818" s="30"/>
      <c r="C818" s="30"/>
      <c r="D818" s="30"/>
      <c r="E818" s="30"/>
      <c r="F818" s="30"/>
      <c r="G818" s="30"/>
      <c r="H818" s="30"/>
      <c r="I818" s="30"/>
      <c r="J818" s="30"/>
      <c r="K818" s="30"/>
    </row>
    <row r="819" spans="1:11" ht="15">
      <c r="A819" s="30"/>
      <c r="B819" s="30"/>
      <c r="C819" s="30"/>
      <c r="D819" s="30"/>
      <c r="E819" s="30"/>
      <c r="F819" s="30"/>
      <c r="G819" s="30"/>
      <c r="H819" s="30"/>
      <c r="I819" s="30"/>
      <c r="J819" s="30"/>
      <c r="K819" s="30"/>
    </row>
    <row r="820" spans="1:11" ht="15">
      <c r="A820" s="30"/>
      <c r="B820" s="30"/>
      <c r="C820" s="30"/>
      <c r="D820" s="30"/>
      <c r="E820" s="30"/>
      <c r="F820" s="30"/>
      <c r="G820" s="30"/>
      <c r="H820" s="30"/>
      <c r="I820" s="30"/>
      <c r="J820" s="30"/>
      <c r="K820" s="30"/>
    </row>
    <row r="821" spans="1:11" ht="15">
      <c r="A821" s="30"/>
      <c r="B821" s="30"/>
      <c r="C821" s="30"/>
      <c r="D821" s="30"/>
      <c r="E821" s="30"/>
      <c r="F821" s="30"/>
      <c r="G821" s="30"/>
      <c r="H821" s="30"/>
      <c r="I821" s="30"/>
      <c r="J821" s="30"/>
      <c r="K821" s="30"/>
    </row>
    <row r="822" spans="1:11" ht="15">
      <c r="A822" s="30"/>
      <c r="B822" s="30"/>
      <c r="C822" s="30"/>
      <c r="D822" s="30"/>
      <c r="E822" s="30"/>
      <c r="F822" s="30"/>
      <c r="G822" s="30"/>
      <c r="H822" s="30"/>
      <c r="I822" s="30"/>
      <c r="J822" s="30"/>
      <c r="K822" s="30"/>
    </row>
    <row r="823" spans="1:11" ht="15">
      <c r="A823" s="30"/>
      <c r="B823" s="30"/>
      <c r="C823" s="30"/>
      <c r="D823" s="30"/>
      <c r="E823" s="30"/>
      <c r="F823" s="30"/>
      <c r="G823" s="30"/>
      <c r="H823" s="30"/>
      <c r="I823" s="30"/>
      <c r="J823" s="30"/>
      <c r="K823" s="30"/>
    </row>
    <row r="824" spans="1:11" ht="15">
      <c r="A824" s="30"/>
      <c r="B824" s="30"/>
      <c r="C824" s="30"/>
      <c r="D824" s="30"/>
      <c r="E824" s="30"/>
      <c r="F824" s="30"/>
      <c r="G824" s="30"/>
      <c r="H824" s="30"/>
      <c r="I824" s="30"/>
      <c r="J824" s="30"/>
      <c r="K824" s="30"/>
    </row>
    <row r="825" spans="1:11" ht="15">
      <c r="A825" s="30"/>
      <c r="B825" s="30"/>
      <c r="C825" s="30"/>
      <c r="D825" s="30"/>
      <c r="E825" s="30"/>
      <c r="F825" s="30"/>
      <c r="G825" s="30"/>
      <c r="H825" s="30"/>
      <c r="I825" s="30"/>
      <c r="J825" s="30"/>
      <c r="K825" s="30"/>
    </row>
    <row r="826" spans="1:11" ht="15">
      <c r="A826" s="30"/>
      <c r="B826" s="30"/>
      <c r="C826" s="30"/>
      <c r="D826" s="30"/>
      <c r="E826" s="30"/>
      <c r="F826" s="30"/>
      <c r="G826" s="30"/>
      <c r="H826" s="30"/>
      <c r="I826" s="30"/>
      <c r="J826" s="30"/>
      <c r="K826" s="30"/>
    </row>
    <row r="827" spans="1:11" ht="15">
      <c r="A827" s="30"/>
      <c r="B827" s="30"/>
      <c r="C827" s="30"/>
      <c r="D827" s="30"/>
      <c r="E827" s="30"/>
      <c r="F827" s="30"/>
      <c r="G827" s="30"/>
      <c r="H827" s="30"/>
      <c r="I827" s="30"/>
      <c r="J827" s="30"/>
      <c r="K827" s="30"/>
    </row>
    <row r="828" spans="1:11" ht="15">
      <c r="A828" s="30"/>
      <c r="B828" s="30"/>
      <c r="C828" s="30"/>
      <c r="D828" s="30"/>
      <c r="E828" s="30"/>
      <c r="F828" s="30"/>
      <c r="G828" s="30"/>
      <c r="H828" s="30"/>
      <c r="I828" s="30"/>
      <c r="J828" s="30"/>
      <c r="K828" s="30"/>
    </row>
    <row r="829" spans="1:11" ht="15">
      <c r="A829" s="30"/>
      <c r="B829" s="30"/>
      <c r="C829" s="30"/>
      <c r="D829" s="30"/>
      <c r="E829" s="30"/>
      <c r="F829" s="30"/>
      <c r="G829" s="30"/>
      <c r="H829" s="30"/>
      <c r="I829" s="30"/>
      <c r="J829" s="30"/>
      <c r="K829" s="30"/>
    </row>
    <row r="830" spans="1:11" ht="15">
      <c r="A830" s="30"/>
      <c r="B830" s="30"/>
      <c r="C830" s="30"/>
      <c r="D830" s="30"/>
      <c r="E830" s="30"/>
      <c r="F830" s="30"/>
      <c r="G830" s="30"/>
      <c r="H830" s="30"/>
      <c r="I830" s="30"/>
      <c r="J830" s="30"/>
      <c r="K830" s="30"/>
    </row>
    <row r="831" spans="1:11" ht="15">
      <c r="A831" s="30"/>
      <c r="B831" s="30"/>
      <c r="C831" s="30"/>
      <c r="D831" s="30"/>
      <c r="E831" s="30"/>
      <c r="F831" s="30"/>
      <c r="G831" s="30"/>
      <c r="H831" s="30"/>
      <c r="I831" s="30"/>
      <c r="J831" s="30"/>
      <c r="K831" s="30"/>
    </row>
    <row r="832" spans="1:11" ht="15">
      <c r="A832" s="30"/>
      <c r="B832" s="30"/>
      <c r="C832" s="30"/>
      <c r="D832" s="30"/>
      <c r="E832" s="30"/>
      <c r="F832" s="30"/>
      <c r="G832" s="30"/>
      <c r="H832" s="30"/>
      <c r="I832" s="30"/>
      <c r="J832" s="30"/>
      <c r="K832" s="30"/>
    </row>
    <row r="833" spans="1:11" ht="15">
      <c r="A833" s="30"/>
      <c r="B833" s="30"/>
      <c r="C833" s="30"/>
      <c r="D833" s="30"/>
      <c r="E833" s="30"/>
      <c r="F833" s="30"/>
      <c r="G833" s="30"/>
      <c r="H833" s="30"/>
      <c r="I833" s="30"/>
      <c r="J833" s="30"/>
      <c r="K833" s="30"/>
    </row>
    <row r="834" spans="1:11" ht="15">
      <c r="A834" s="30"/>
      <c r="B834" s="30"/>
      <c r="C834" s="30"/>
      <c r="D834" s="30"/>
      <c r="E834" s="30"/>
      <c r="F834" s="30"/>
      <c r="G834" s="30"/>
      <c r="H834" s="30"/>
      <c r="I834" s="30"/>
      <c r="J834" s="30"/>
      <c r="K834" s="30"/>
    </row>
    <row r="835" spans="1:11" ht="15">
      <c r="A835" s="30"/>
      <c r="B835" s="30"/>
      <c r="C835" s="30"/>
      <c r="D835" s="30"/>
      <c r="E835" s="30"/>
      <c r="F835" s="30"/>
      <c r="G835" s="30"/>
      <c r="H835" s="30"/>
      <c r="I835" s="30"/>
      <c r="J835" s="30"/>
      <c r="K835" s="30"/>
    </row>
    <row r="836" spans="1:11" ht="15">
      <c r="A836" s="30"/>
      <c r="B836" s="30"/>
      <c r="C836" s="30"/>
      <c r="D836" s="30"/>
      <c r="E836" s="30"/>
      <c r="F836" s="30"/>
      <c r="G836" s="30"/>
      <c r="H836" s="30"/>
      <c r="I836" s="30"/>
      <c r="J836" s="30"/>
      <c r="K836" s="30"/>
    </row>
    <row r="837" spans="1:11" ht="15">
      <c r="A837" s="30"/>
      <c r="B837" s="30"/>
      <c r="C837" s="30"/>
      <c r="D837" s="30"/>
      <c r="E837" s="30"/>
      <c r="F837" s="30"/>
      <c r="G837" s="30"/>
      <c r="H837" s="30"/>
      <c r="I837" s="30"/>
      <c r="J837" s="30"/>
      <c r="K837" s="30"/>
    </row>
    <row r="838" spans="1:11" ht="15">
      <c r="A838" s="30"/>
      <c r="B838" s="30"/>
      <c r="C838" s="30"/>
      <c r="D838" s="30"/>
      <c r="E838" s="30"/>
      <c r="F838" s="30"/>
      <c r="G838" s="30"/>
      <c r="H838" s="30"/>
      <c r="I838" s="30"/>
      <c r="J838" s="30"/>
      <c r="K838" s="30"/>
    </row>
    <row r="839" spans="1:11" ht="15">
      <c r="A839" s="30"/>
      <c r="B839" s="30"/>
      <c r="C839" s="30"/>
      <c r="D839" s="30"/>
      <c r="E839" s="30"/>
      <c r="F839" s="30"/>
      <c r="G839" s="30"/>
      <c r="H839" s="30"/>
      <c r="I839" s="30"/>
      <c r="J839" s="30"/>
      <c r="K839" s="30"/>
    </row>
    <row r="840" spans="1:11" ht="15">
      <c r="A840" s="30"/>
      <c r="B840" s="30"/>
      <c r="C840" s="30"/>
      <c r="D840" s="30"/>
      <c r="E840" s="30"/>
      <c r="F840" s="30"/>
      <c r="G840" s="30"/>
      <c r="H840" s="30"/>
      <c r="I840" s="30"/>
      <c r="J840" s="30"/>
      <c r="K840" s="30"/>
    </row>
    <row r="841" spans="1:11" ht="15">
      <c r="A841" s="30"/>
      <c r="B841" s="30"/>
      <c r="C841" s="30"/>
      <c r="D841" s="30"/>
      <c r="E841" s="30"/>
      <c r="F841" s="30"/>
      <c r="G841" s="30"/>
      <c r="H841" s="30"/>
      <c r="I841" s="30"/>
      <c r="J841" s="30"/>
      <c r="K841" s="30"/>
    </row>
    <row r="842" spans="1:11" ht="15">
      <c r="A842" s="30"/>
      <c r="B842" s="30"/>
      <c r="C842" s="30"/>
      <c r="D842" s="30"/>
      <c r="E842" s="30"/>
      <c r="F842" s="30"/>
      <c r="G842" s="30"/>
      <c r="H842" s="30"/>
      <c r="I842" s="30"/>
      <c r="J842" s="30"/>
      <c r="K842" s="30"/>
    </row>
    <row r="843" spans="1:11" ht="15">
      <c r="A843" s="30"/>
      <c r="B843" s="30"/>
      <c r="C843" s="30"/>
      <c r="D843" s="30"/>
      <c r="E843" s="30"/>
      <c r="F843" s="30"/>
      <c r="G843" s="30"/>
      <c r="H843" s="30"/>
      <c r="I843" s="30"/>
      <c r="J843" s="30"/>
      <c r="K843" s="30"/>
    </row>
    <row r="844" spans="1:11" ht="15">
      <c r="A844" s="30"/>
      <c r="B844" s="30"/>
      <c r="C844" s="30"/>
      <c r="D844" s="30"/>
      <c r="E844" s="30"/>
      <c r="F844" s="30"/>
      <c r="G844" s="30"/>
      <c r="H844" s="30"/>
      <c r="I844" s="30"/>
      <c r="J844" s="30"/>
      <c r="K844" s="30"/>
    </row>
    <row r="845" spans="1:11" ht="15">
      <c r="A845" s="30"/>
      <c r="B845" s="30"/>
      <c r="C845" s="30"/>
      <c r="D845" s="30"/>
      <c r="E845" s="30"/>
      <c r="F845" s="30"/>
      <c r="G845" s="30"/>
      <c r="H845" s="30"/>
      <c r="I845" s="30"/>
      <c r="J845" s="30"/>
      <c r="K845" s="30"/>
    </row>
    <row r="846" spans="1:11" ht="15">
      <c r="A846" s="30"/>
      <c r="B846" s="30"/>
      <c r="C846" s="30"/>
      <c r="D846" s="30"/>
      <c r="E846" s="30"/>
      <c r="F846" s="30"/>
      <c r="G846" s="30"/>
      <c r="H846" s="30"/>
      <c r="I846" s="30"/>
      <c r="J846" s="30"/>
      <c r="K846" s="30"/>
    </row>
    <row r="847" spans="1:11" ht="15">
      <c r="A847" s="30"/>
      <c r="B847" s="30"/>
      <c r="C847" s="30"/>
      <c r="D847" s="30"/>
      <c r="E847" s="30"/>
      <c r="F847" s="30"/>
      <c r="G847" s="30"/>
      <c r="H847" s="30"/>
      <c r="I847" s="30"/>
      <c r="J847" s="30"/>
      <c r="K847" s="30"/>
    </row>
    <row r="848" spans="1:11" ht="15">
      <c r="A848" s="30"/>
      <c r="B848" s="30"/>
      <c r="C848" s="30"/>
      <c r="D848" s="30"/>
      <c r="E848" s="30"/>
      <c r="F848" s="30"/>
      <c r="G848" s="30"/>
      <c r="H848" s="30"/>
      <c r="I848" s="30"/>
      <c r="J848" s="30"/>
      <c r="K848" s="30"/>
    </row>
    <row r="849" spans="1:11" ht="15">
      <c r="A849" s="30"/>
      <c r="B849" s="30"/>
      <c r="C849" s="30"/>
      <c r="D849" s="30"/>
      <c r="E849" s="30"/>
      <c r="F849" s="30"/>
      <c r="G849" s="30"/>
      <c r="H849" s="30"/>
      <c r="I849" s="30"/>
      <c r="J849" s="30"/>
      <c r="K849" s="30"/>
    </row>
    <row r="850" spans="1:11" ht="15">
      <c r="A850" s="30"/>
      <c r="B850" s="30"/>
      <c r="C850" s="30"/>
      <c r="D850" s="30"/>
      <c r="E850" s="30"/>
      <c r="F850" s="30"/>
      <c r="G850" s="30"/>
      <c r="H850" s="30"/>
      <c r="I850" s="30"/>
      <c r="J850" s="30"/>
      <c r="K850" s="30"/>
    </row>
    <row r="851" spans="1:11" ht="15">
      <c r="A851" s="30"/>
      <c r="B851" s="30"/>
      <c r="C851" s="30"/>
      <c r="D851" s="30"/>
      <c r="E851" s="30"/>
      <c r="F851" s="30"/>
      <c r="G851" s="30"/>
      <c r="H851" s="30"/>
      <c r="I851" s="30"/>
      <c r="J851" s="30"/>
      <c r="K851" s="30"/>
    </row>
    <row r="852" spans="1:11" ht="15">
      <c r="A852" s="30"/>
      <c r="B852" s="30"/>
      <c r="C852" s="30"/>
      <c r="D852" s="30"/>
      <c r="E852" s="30"/>
      <c r="F852" s="30"/>
      <c r="G852" s="30"/>
      <c r="H852" s="30"/>
      <c r="I852" s="30"/>
      <c r="J852" s="30"/>
      <c r="K852" s="30"/>
    </row>
    <row r="853" spans="1:11" ht="15">
      <c r="A853" s="30"/>
      <c r="B853" s="30"/>
      <c r="C853" s="30"/>
      <c r="D853" s="30"/>
      <c r="E853" s="30"/>
      <c r="F853" s="30"/>
      <c r="G853" s="30"/>
      <c r="H853" s="30"/>
      <c r="I853" s="30"/>
      <c r="J853" s="30"/>
      <c r="K853" s="30"/>
    </row>
    <row r="854" spans="1:11" ht="15">
      <c r="A854" s="30"/>
      <c r="B854" s="30"/>
      <c r="C854" s="30"/>
      <c r="D854" s="30"/>
      <c r="E854" s="30"/>
      <c r="F854" s="30"/>
      <c r="G854" s="30"/>
      <c r="H854" s="30"/>
      <c r="I854" s="30"/>
      <c r="J854" s="30"/>
      <c r="K854" s="30"/>
    </row>
    <row r="855" spans="1:11" ht="15">
      <c r="A855" s="30"/>
      <c r="B855" s="30"/>
      <c r="C855" s="30"/>
      <c r="D855" s="30"/>
      <c r="E855" s="30"/>
      <c r="F855" s="30"/>
      <c r="G855" s="30"/>
      <c r="H855" s="30"/>
      <c r="I855" s="30"/>
      <c r="J855" s="30"/>
      <c r="K855" s="30"/>
    </row>
    <row r="856" spans="1:11" ht="15">
      <c r="A856" s="30"/>
      <c r="B856" s="30"/>
      <c r="C856" s="30"/>
      <c r="D856" s="30"/>
      <c r="E856" s="30"/>
      <c r="F856" s="30"/>
      <c r="G856" s="30"/>
      <c r="H856" s="30"/>
      <c r="I856" s="30"/>
      <c r="J856" s="30"/>
      <c r="K856" s="30"/>
    </row>
    <row r="857" spans="1:11" ht="15">
      <c r="A857" s="30"/>
      <c r="B857" s="30"/>
      <c r="C857" s="30"/>
      <c r="D857" s="30"/>
      <c r="E857" s="30"/>
      <c r="F857" s="30"/>
      <c r="G857" s="30"/>
      <c r="H857" s="30"/>
      <c r="I857" s="30"/>
      <c r="J857" s="30"/>
      <c r="K857" s="30"/>
    </row>
    <row r="858" spans="1:11" ht="15">
      <c r="A858" s="30"/>
      <c r="B858" s="30"/>
      <c r="C858" s="30"/>
      <c r="D858" s="30"/>
      <c r="E858" s="30"/>
      <c r="F858" s="30"/>
      <c r="G858" s="30"/>
      <c r="H858" s="30"/>
      <c r="I858" s="30"/>
      <c r="J858" s="30"/>
      <c r="K858" s="30"/>
    </row>
    <row r="859" spans="1:11" ht="15">
      <c r="A859" s="30"/>
      <c r="B859" s="30"/>
      <c r="C859" s="30"/>
      <c r="D859" s="30"/>
      <c r="E859" s="30"/>
      <c r="F859" s="30"/>
      <c r="G859" s="30"/>
      <c r="H859" s="30"/>
      <c r="I859" s="30"/>
      <c r="J859" s="30"/>
      <c r="K859" s="30"/>
    </row>
    <row r="860" spans="1:11" ht="15">
      <c r="A860" s="30"/>
      <c r="B860" s="30"/>
      <c r="C860" s="30"/>
      <c r="D860" s="30"/>
      <c r="E860" s="30"/>
      <c r="F860" s="30"/>
      <c r="G860" s="30"/>
      <c r="H860" s="30"/>
      <c r="I860" s="30"/>
      <c r="J860" s="30"/>
      <c r="K860" s="30"/>
    </row>
    <row r="861" spans="1:11" ht="15">
      <c r="A861" s="30"/>
      <c r="B861" s="30"/>
      <c r="C861" s="30"/>
      <c r="D861" s="30"/>
      <c r="E861" s="30"/>
      <c r="F861" s="30"/>
      <c r="G861" s="30"/>
      <c r="H861" s="30"/>
      <c r="I861" s="30"/>
      <c r="J861" s="30"/>
      <c r="K861" s="30"/>
    </row>
    <row r="862" spans="1:11" ht="15">
      <c r="A862" s="30"/>
      <c r="B862" s="30"/>
      <c r="C862" s="30"/>
      <c r="D862" s="30"/>
      <c r="E862" s="30"/>
      <c r="F862" s="30"/>
      <c r="G862" s="30"/>
      <c r="H862" s="30"/>
      <c r="I862" s="30"/>
      <c r="J862" s="30"/>
      <c r="K862" s="30"/>
    </row>
    <row r="863" spans="1:11" ht="15">
      <c r="A863" s="30"/>
      <c r="B863" s="30"/>
      <c r="C863" s="30"/>
      <c r="D863" s="30"/>
      <c r="E863" s="30"/>
      <c r="F863" s="30"/>
      <c r="G863" s="30"/>
      <c r="H863" s="30"/>
      <c r="I863" s="30"/>
      <c r="J863" s="30"/>
      <c r="K863" s="30"/>
    </row>
    <row r="864" spans="1:11" ht="15">
      <c r="A864" s="30"/>
      <c r="B864" s="30"/>
      <c r="C864" s="30"/>
      <c r="D864" s="30"/>
      <c r="E864" s="30"/>
      <c r="F864" s="30"/>
      <c r="G864" s="30"/>
      <c r="H864" s="30"/>
      <c r="I864" s="30"/>
      <c r="J864" s="30"/>
      <c r="K864" s="30"/>
    </row>
    <row r="865" spans="1:11" ht="15">
      <c r="A865" s="30"/>
      <c r="B865" s="30"/>
      <c r="C865" s="30"/>
      <c r="D865" s="30"/>
      <c r="E865" s="30"/>
      <c r="F865" s="30"/>
      <c r="G865" s="30"/>
      <c r="H865" s="30"/>
      <c r="I865" s="30"/>
      <c r="J865" s="30"/>
      <c r="K865" s="30"/>
    </row>
    <row r="866" spans="1:11" ht="15">
      <c r="A866" s="30"/>
      <c r="B866" s="30"/>
      <c r="C866" s="30"/>
      <c r="D866" s="30"/>
      <c r="E866" s="30"/>
      <c r="F866" s="30"/>
      <c r="G866" s="30"/>
      <c r="H866" s="30"/>
      <c r="I866" s="30"/>
      <c r="J866" s="30"/>
      <c r="K866" s="30"/>
    </row>
    <row r="867" spans="1:11" ht="15">
      <c r="A867" s="30"/>
      <c r="B867" s="30"/>
      <c r="C867" s="30"/>
      <c r="D867" s="30"/>
      <c r="E867" s="30"/>
      <c r="F867" s="30"/>
      <c r="G867" s="30"/>
      <c r="H867" s="30"/>
      <c r="I867" s="30"/>
      <c r="J867" s="30"/>
      <c r="K867" s="30"/>
    </row>
    <row r="868" spans="1:11" ht="15">
      <c r="A868" s="30"/>
      <c r="B868" s="30"/>
      <c r="C868" s="30"/>
      <c r="D868" s="30"/>
      <c r="E868" s="30"/>
      <c r="F868" s="30"/>
      <c r="G868" s="30"/>
      <c r="H868" s="30"/>
      <c r="I868" s="30"/>
      <c r="J868" s="30"/>
      <c r="K868" s="30"/>
    </row>
    <row r="869" spans="1:11" ht="15">
      <c r="A869" s="30"/>
      <c r="B869" s="30"/>
      <c r="C869" s="30"/>
      <c r="D869" s="30"/>
      <c r="E869" s="30"/>
      <c r="F869" s="30"/>
      <c r="G869" s="30"/>
      <c r="H869" s="30"/>
      <c r="I869" s="30"/>
      <c r="J869" s="30"/>
      <c r="K869" s="30"/>
    </row>
    <row r="870" spans="1:11" ht="15">
      <c r="A870" s="30"/>
      <c r="B870" s="30"/>
      <c r="C870" s="30"/>
      <c r="D870" s="30"/>
      <c r="E870" s="30"/>
      <c r="F870" s="30"/>
      <c r="G870" s="30"/>
      <c r="H870" s="30"/>
      <c r="I870" s="30"/>
      <c r="J870" s="30"/>
      <c r="K870" s="30"/>
    </row>
    <row r="871" spans="1:11" ht="15">
      <c r="A871" s="30"/>
      <c r="B871" s="30"/>
      <c r="C871" s="30"/>
      <c r="D871" s="30"/>
      <c r="E871" s="30"/>
      <c r="F871" s="30"/>
      <c r="G871" s="30"/>
      <c r="H871" s="30"/>
      <c r="I871" s="30"/>
      <c r="J871" s="30"/>
      <c r="K871" s="30"/>
    </row>
    <row r="872" spans="1:11" ht="15">
      <c r="A872" s="30"/>
      <c r="B872" s="30"/>
      <c r="C872" s="30"/>
      <c r="D872" s="30"/>
      <c r="E872" s="30"/>
      <c r="F872" s="30"/>
      <c r="G872" s="30"/>
      <c r="H872" s="30"/>
      <c r="I872" s="30"/>
      <c r="J872" s="30"/>
      <c r="K872" s="30"/>
    </row>
    <row r="873" spans="1:11" ht="15">
      <c r="A873" s="30"/>
      <c r="B873" s="30"/>
      <c r="C873" s="30"/>
      <c r="D873" s="30"/>
      <c r="E873" s="30"/>
      <c r="F873" s="30"/>
      <c r="G873" s="30"/>
      <c r="H873" s="30"/>
      <c r="I873" s="30"/>
      <c r="J873" s="30"/>
      <c r="K873" s="30"/>
    </row>
    <row r="874" spans="1:11" ht="15">
      <c r="A874" s="30"/>
      <c r="B874" s="30"/>
      <c r="C874" s="30"/>
      <c r="D874" s="30"/>
      <c r="E874" s="30"/>
      <c r="F874" s="30"/>
      <c r="G874" s="30"/>
      <c r="H874" s="30"/>
      <c r="I874" s="30"/>
      <c r="J874" s="30"/>
      <c r="K874" s="30"/>
    </row>
    <row r="875" spans="1:11" ht="15">
      <c r="A875" s="30"/>
      <c r="B875" s="30"/>
      <c r="C875" s="30"/>
      <c r="D875" s="30"/>
      <c r="E875" s="30"/>
      <c r="F875" s="30"/>
      <c r="G875" s="30"/>
      <c r="H875" s="30"/>
      <c r="I875" s="30"/>
      <c r="J875" s="30"/>
      <c r="K875" s="30"/>
    </row>
    <row r="876" spans="1:11" ht="15">
      <c r="A876" s="30"/>
      <c r="B876" s="30"/>
      <c r="C876" s="30"/>
      <c r="D876" s="30"/>
      <c r="E876" s="30"/>
      <c r="F876" s="30"/>
      <c r="G876" s="30"/>
      <c r="H876" s="30"/>
      <c r="I876" s="30"/>
      <c r="J876" s="30"/>
      <c r="K876" s="30"/>
    </row>
    <row r="877" spans="1:11" ht="15">
      <c r="A877" s="30"/>
      <c r="B877" s="30"/>
      <c r="C877" s="30"/>
      <c r="D877" s="30"/>
      <c r="E877" s="30"/>
      <c r="F877" s="30"/>
      <c r="G877" s="30"/>
      <c r="H877" s="30"/>
      <c r="I877" s="30"/>
      <c r="J877" s="30"/>
      <c r="K877" s="30"/>
    </row>
    <row r="878" spans="1:11" ht="15">
      <c r="A878" s="30"/>
      <c r="B878" s="30"/>
      <c r="C878" s="30"/>
      <c r="D878" s="30"/>
      <c r="E878" s="30"/>
      <c r="F878" s="30"/>
      <c r="G878" s="30"/>
      <c r="H878" s="30"/>
      <c r="I878" s="30"/>
      <c r="J878" s="30"/>
      <c r="K878" s="30"/>
    </row>
    <row r="879" spans="1:11" ht="15">
      <c r="A879" s="30"/>
      <c r="B879" s="30"/>
      <c r="C879" s="30"/>
      <c r="D879" s="30"/>
      <c r="E879" s="30"/>
      <c r="F879" s="30"/>
      <c r="G879" s="30"/>
      <c r="H879" s="30"/>
      <c r="I879" s="30"/>
      <c r="J879" s="30"/>
      <c r="K879" s="30"/>
    </row>
    <row r="880" spans="1:11" ht="15">
      <c r="A880" s="30"/>
      <c r="B880" s="30"/>
      <c r="C880" s="30"/>
      <c r="D880" s="30"/>
      <c r="E880" s="30"/>
      <c r="F880" s="30"/>
      <c r="G880" s="30"/>
      <c r="H880" s="30"/>
      <c r="I880" s="30"/>
      <c r="J880" s="30"/>
      <c r="K880" s="30"/>
    </row>
    <row r="881" spans="1:11" ht="15">
      <c r="A881" s="30"/>
      <c r="B881" s="30"/>
      <c r="C881" s="30"/>
      <c r="D881" s="30"/>
      <c r="E881" s="30"/>
      <c r="F881" s="30"/>
      <c r="G881" s="30"/>
      <c r="H881" s="30"/>
      <c r="I881" s="30"/>
      <c r="J881" s="30"/>
      <c r="K881" s="30"/>
    </row>
    <row r="882" spans="1:11" ht="15">
      <c r="A882" s="30"/>
      <c r="B882" s="30"/>
      <c r="C882" s="30"/>
      <c r="D882" s="30"/>
      <c r="E882" s="30"/>
      <c r="F882" s="30"/>
      <c r="G882" s="30"/>
      <c r="H882" s="30"/>
      <c r="I882" s="30"/>
      <c r="J882" s="30"/>
      <c r="K882" s="30"/>
    </row>
    <row r="883" spans="1:11" ht="15">
      <c r="A883" s="30"/>
      <c r="B883" s="30"/>
      <c r="C883" s="30"/>
      <c r="D883" s="30"/>
      <c r="E883" s="30"/>
      <c r="F883" s="30"/>
      <c r="G883" s="30"/>
      <c r="H883" s="30"/>
      <c r="I883" s="30"/>
      <c r="J883" s="30"/>
      <c r="K883" s="30"/>
    </row>
    <row r="884" spans="1:11" ht="15">
      <c r="A884" s="30"/>
      <c r="B884" s="30"/>
      <c r="C884" s="30"/>
      <c r="D884" s="30"/>
      <c r="E884" s="30"/>
      <c r="F884" s="30"/>
      <c r="G884" s="30"/>
      <c r="H884" s="30"/>
      <c r="I884" s="30"/>
      <c r="J884" s="30"/>
      <c r="K884" s="30"/>
    </row>
    <row r="885" spans="1:11" ht="15">
      <c r="A885" s="30"/>
      <c r="B885" s="30"/>
      <c r="C885" s="30"/>
      <c r="D885" s="30"/>
      <c r="E885" s="30"/>
      <c r="F885" s="30"/>
      <c r="G885" s="30"/>
      <c r="H885" s="30"/>
      <c r="I885" s="30"/>
      <c r="J885" s="30"/>
      <c r="K885" s="30"/>
    </row>
    <row r="886" spans="1:11" ht="15">
      <c r="A886" s="30"/>
      <c r="B886" s="30"/>
      <c r="C886" s="30"/>
      <c r="D886" s="30"/>
      <c r="E886" s="30"/>
      <c r="F886" s="30"/>
      <c r="G886" s="30"/>
      <c r="H886" s="30"/>
      <c r="I886" s="30"/>
      <c r="J886" s="30"/>
      <c r="K886" s="30"/>
    </row>
    <row r="887" spans="1:11" ht="15">
      <c r="A887" s="30"/>
      <c r="B887" s="30"/>
      <c r="C887" s="30"/>
      <c r="D887" s="30"/>
      <c r="E887" s="30"/>
      <c r="F887" s="30"/>
      <c r="G887" s="30"/>
      <c r="H887" s="30"/>
      <c r="I887" s="30"/>
      <c r="J887" s="30"/>
      <c r="K887" s="30"/>
    </row>
    <row r="888" spans="1:11" ht="15">
      <c r="A888" s="30"/>
      <c r="B888" s="30"/>
      <c r="C888" s="30"/>
      <c r="D888" s="30"/>
      <c r="E888" s="30"/>
      <c r="F888" s="30"/>
      <c r="G888" s="30"/>
      <c r="H888" s="30"/>
      <c r="I888" s="30"/>
      <c r="J888" s="30"/>
      <c r="K888" s="30"/>
    </row>
    <row r="889" spans="1:11" ht="15">
      <c r="A889" s="30"/>
      <c r="B889" s="30"/>
      <c r="C889" s="30"/>
      <c r="D889" s="30"/>
      <c r="E889" s="30"/>
      <c r="F889" s="30"/>
      <c r="G889" s="30"/>
      <c r="H889" s="30"/>
      <c r="I889" s="30"/>
      <c r="J889" s="30"/>
      <c r="K889" s="30"/>
    </row>
    <row r="890" spans="1:11" ht="15">
      <c r="A890" s="30"/>
      <c r="B890" s="30"/>
      <c r="C890" s="30"/>
      <c r="D890" s="30"/>
      <c r="E890" s="30"/>
      <c r="F890" s="30"/>
      <c r="G890" s="30"/>
      <c r="H890" s="30"/>
      <c r="I890" s="30"/>
      <c r="J890" s="30"/>
      <c r="K890" s="30"/>
    </row>
    <row r="891" spans="1:11" ht="15">
      <c r="A891" s="30"/>
      <c r="B891" s="30"/>
      <c r="C891" s="30"/>
      <c r="D891" s="30"/>
      <c r="E891" s="30"/>
      <c r="F891" s="30"/>
      <c r="G891" s="30"/>
      <c r="H891" s="30"/>
      <c r="I891" s="30"/>
      <c r="J891" s="30"/>
      <c r="K891" s="30"/>
    </row>
    <row r="892" spans="1:11" ht="15">
      <c r="A892" s="30"/>
      <c r="B892" s="30"/>
      <c r="C892" s="30"/>
      <c r="D892" s="30"/>
      <c r="E892" s="30"/>
      <c r="F892" s="30"/>
      <c r="G892" s="30"/>
      <c r="H892" s="30"/>
      <c r="I892" s="30"/>
      <c r="J892" s="30"/>
      <c r="K892" s="30"/>
    </row>
    <row r="893" spans="1:11" ht="15">
      <c r="A893" s="30"/>
      <c r="B893" s="30"/>
      <c r="C893" s="30"/>
      <c r="D893" s="30"/>
      <c r="E893" s="30"/>
      <c r="F893" s="30"/>
      <c r="G893" s="30"/>
      <c r="H893" s="30"/>
      <c r="I893" s="30"/>
      <c r="J893" s="30"/>
      <c r="K893" s="30"/>
    </row>
    <row r="894" spans="1:11" ht="15">
      <c r="A894" s="30"/>
      <c r="B894" s="30"/>
      <c r="C894" s="30"/>
      <c r="D894" s="30"/>
      <c r="E894" s="30"/>
      <c r="F894" s="30"/>
      <c r="G894" s="30"/>
      <c r="H894" s="30"/>
      <c r="I894" s="30"/>
      <c r="J894" s="30"/>
      <c r="K894" s="30"/>
    </row>
    <row r="895" spans="1:11" ht="15">
      <c r="A895" s="30"/>
      <c r="B895" s="30"/>
      <c r="C895" s="30"/>
      <c r="D895" s="30"/>
      <c r="E895" s="30"/>
      <c r="F895" s="30"/>
      <c r="G895" s="30"/>
      <c r="H895" s="30"/>
      <c r="I895" s="30"/>
      <c r="J895" s="30"/>
      <c r="K895" s="30"/>
    </row>
    <row r="896" spans="1:11" ht="15">
      <c r="A896" s="30"/>
      <c r="B896" s="30"/>
      <c r="C896" s="30"/>
      <c r="D896" s="30"/>
      <c r="E896" s="30"/>
      <c r="F896" s="30"/>
      <c r="G896" s="30"/>
      <c r="H896" s="30"/>
      <c r="I896" s="30"/>
      <c r="J896" s="30"/>
      <c r="K896" s="30"/>
    </row>
    <row r="897" spans="1:11" ht="15">
      <c r="A897" s="30"/>
      <c r="B897" s="30"/>
      <c r="C897" s="30"/>
      <c r="D897" s="30"/>
      <c r="E897" s="30"/>
      <c r="F897" s="30"/>
      <c r="G897" s="30"/>
      <c r="H897" s="30"/>
      <c r="I897" s="30"/>
      <c r="J897" s="30"/>
      <c r="K897" s="30"/>
    </row>
    <row r="898" spans="1:11" ht="15">
      <c r="A898" s="30"/>
      <c r="B898" s="30"/>
      <c r="C898" s="30"/>
      <c r="D898" s="30"/>
      <c r="E898" s="30"/>
      <c r="F898" s="30"/>
      <c r="G898" s="30"/>
      <c r="H898" s="30"/>
      <c r="I898" s="30"/>
      <c r="J898" s="30"/>
      <c r="K898" s="30"/>
    </row>
    <row r="899" spans="1:11" ht="15">
      <c r="A899" s="30"/>
      <c r="B899" s="30"/>
      <c r="C899" s="30"/>
      <c r="D899" s="30"/>
      <c r="E899" s="30"/>
      <c r="F899" s="30"/>
      <c r="G899" s="30"/>
      <c r="H899" s="30"/>
      <c r="I899" s="30"/>
      <c r="J899" s="30"/>
      <c r="K899" s="30"/>
    </row>
    <row r="900" spans="1:11" ht="15">
      <c r="A900" s="30"/>
      <c r="B900" s="30"/>
      <c r="C900" s="30"/>
      <c r="D900" s="30"/>
      <c r="E900" s="30"/>
      <c r="F900" s="30"/>
      <c r="G900" s="30"/>
      <c r="H900" s="30"/>
      <c r="I900" s="30"/>
      <c r="J900" s="30"/>
      <c r="K900" s="30"/>
    </row>
    <row r="901" spans="1:11" ht="15">
      <c r="A901" s="30"/>
      <c r="B901" s="30"/>
      <c r="C901" s="30"/>
      <c r="D901" s="30"/>
      <c r="E901" s="30"/>
      <c r="F901" s="30"/>
      <c r="G901" s="30"/>
      <c r="H901" s="30"/>
      <c r="I901" s="30"/>
      <c r="J901" s="30"/>
      <c r="K901" s="30"/>
    </row>
    <row r="902" spans="1:11" ht="15">
      <c r="A902" s="30"/>
      <c r="B902" s="30"/>
      <c r="C902" s="30"/>
      <c r="D902" s="30"/>
      <c r="E902" s="30"/>
      <c r="F902" s="30"/>
      <c r="G902" s="30"/>
      <c r="H902" s="30"/>
      <c r="I902" s="30"/>
      <c r="J902" s="30"/>
      <c r="K902" s="30"/>
    </row>
    <row r="903" spans="1:11" ht="15">
      <c r="A903" s="30"/>
      <c r="B903" s="30"/>
      <c r="C903" s="30"/>
      <c r="D903" s="30"/>
      <c r="E903" s="30"/>
      <c r="F903" s="30"/>
      <c r="G903" s="30"/>
      <c r="H903" s="30"/>
      <c r="I903" s="30"/>
      <c r="J903" s="30"/>
      <c r="K903" s="30"/>
    </row>
    <row r="904" spans="1:11" ht="15">
      <c r="A904" s="30"/>
      <c r="B904" s="30"/>
      <c r="C904" s="30"/>
      <c r="D904" s="30"/>
      <c r="E904" s="30"/>
      <c r="F904" s="30"/>
      <c r="G904" s="30"/>
      <c r="H904" s="30"/>
      <c r="I904" s="30"/>
      <c r="J904" s="30"/>
      <c r="K904" s="30"/>
    </row>
    <row r="905" spans="1:11" ht="15">
      <c r="A905" s="30"/>
      <c r="B905" s="30"/>
      <c r="C905" s="30"/>
      <c r="D905" s="30"/>
      <c r="E905" s="30"/>
      <c r="F905" s="30"/>
      <c r="G905" s="30"/>
      <c r="H905" s="30"/>
      <c r="I905" s="30"/>
      <c r="J905" s="30"/>
      <c r="K905" s="30"/>
    </row>
    <row r="906" spans="1:11" ht="15">
      <c r="A906" s="30"/>
      <c r="B906" s="30"/>
      <c r="C906" s="30"/>
      <c r="D906" s="30"/>
      <c r="E906" s="30"/>
      <c r="F906" s="30"/>
      <c r="G906" s="30"/>
      <c r="H906" s="30"/>
      <c r="I906" s="30"/>
      <c r="J906" s="30"/>
      <c r="K906" s="30"/>
    </row>
    <row r="907" spans="1:11" ht="15">
      <c r="A907" s="30"/>
      <c r="B907" s="30"/>
      <c r="C907" s="30"/>
      <c r="D907" s="30"/>
      <c r="E907" s="30"/>
      <c r="F907" s="30"/>
      <c r="G907" s="30"/>
      <c r="H907" s="30"/>
      <c r="I907" s="30"/>
      <c r="J907" s="30"/>
      <c r="K907" s="30"/>
    </row>
    <row r="908" spans="1:11" ht="15">
      <c r="A908" s="30"/>
      <c r="B908" s="30"/>
      <c r="C908" s="30"/>
      <c r="D908" s="30"/>
      <c r="E908" s="30"/>
      <c r="F908" s="30"/>
      <c r="G908" s="30"/>
      <c r="H908" s="30"/>
      <c r="I908" s="30"/>
      <c r="J908" s="30"/>
      <c r="K908" s="30"/>
    </row>
    <row r="909" spans="1:11" ht="15">
      <c r="A909" s="30"/>
      <c r="B909" s="30"/>
      <c r="C909" s="30"/>
      <c r="D909" s="30"/>
      <c r="E909" s="30"/>
      <c r="F909" s="30"/>
      <c r="G909" s="30"/>
      <c r="H909" s="30"/>
      <c r="I909" s="30"/>
      <c r="J909" s="30"/>
      <c r="K909" s="30"/>
    </row>
    <row r="910" spans="1:11" ht="15">
      <c r="A910" s="30"/>
      <c r="B910" s="30"/>
      <c r="C910" s="30"/>
      <c r="D910" s="30"/>
      <c r="E910" s="30"/>
      <c r="F910" s="30"/>
      <c r="G910" s="30"/>
      <c r="H910" s="30"/>
      <c r="I910" s="30"/>
      <c r="J910" s="30"/>
      <c r="K910" s="30"/>
    </row>
    <row r="911" spans="1:11" ht="15">
      <c r="A911" s="30"/>
      <c r="B911" s="30"/>
      <c r="C911" s="30"/>
      <c r="D911" s="30"/>
      <c r="E911" s="30"/>
      <c r="F911" s="30"/>
      <c r="G911" s="30"/>
      <c r="H911" s="30"/>
      <c r="I911" s="30"/>
      <c r="J911" s="30"/>
      <c r="K911" s="30"/>
    </row>
    <row r="912" spans="1:11" ht="15">
      <c r="A912" s="30"/>
      <c r="B912" s="30"/>
      <c r="C912" s="30"/>
      <c r="D912" s="30"/>
      <c r="E912" s="30"/>
      <c r="F912" s="30"/>
      <c r="G912" s="30"/>
      <c r="H912" s="30"/>
      <c r="I912" s="30"/>
      <c r="J912" s="30"/>
      <c r="K912" s="30"/>
    </row>
    <row r="913" spans="1:11" ht="15">
      <c r="A913" s="30"/>
      <c r="B913" s="30"/>
      <c r="C913" s="30"/>
      <c r="D913" s="30"/>
      <c r="E913" s="30"/>
      <c r="F913" s="30"/>
      <c r="G913" s="30"/>
      <c r="H913" s="30"/>
      <c r="I913" s="30"/>
      <c r="J913" s="30"/>
      <c r="K913" s="30"/>
    </row>
    <row r="914" spans="1:11" ht="15">
      <c r="A914" s="30"/>
      <c r="B914" s="30"/>
      <c r="C914" s="30"/>
      <c r="D914" s="30"/>
      <c r="E914" s="30"/>
      <c r="F914" s="30"/>
      <c r="G914" s="30"/>
      <c r="H914" s="30"/>
      <c r="I914" s="30"/>
      <c r="J914" s="30"/>
      <c r="K914" s="30"/>
    </row>
    <row r="915" spans="1:11" ht="15">
      <c r="A915" s="30"/>
      <c r="B915" s="30"/>
      <c r="C915" s="30"/>
      <c r="D915" s="30"/>
      <c r="E915" s="30"/>
      <c r="F915" s="30"/>
      <c r="G915" s="30"/>
      <c r="H915" s="30"/>
      <c r="I915" s="30"/>
      <c r="J915" s="30"/>
      <c r="K915" s="30"/>
    </row>
    <row r="916" spans="1:11" ht="15">
      <c r="A916" s="30"/>
      <c r="B916" s="30"/>
      <c r="C916" s="30"/>
      <c r="D916" s="30"/>
      <c r="E916" s="30"/>
      <c r="F916" s="30"/>
      <c r="G916" s="30"/>
      <c r="H916" s="30"/>
      <c r="I916" s="30"/>
      <c r="J916" s="30"/>
      <c r="K916" s="30"/>
    </row>
    <row r="917" spans="1:11" ht="15">
      <c r="A917" s="30"/>
      <c r="B917" s="30"/>
      <c r="C917" s="30"/>
      <c r="D917" s="30"/>
      <c r="E917" s="30"/>
      <c r="F917" s="30"/>
      <c r="G917" s="30"/>
      <c r="H917" s="30"/>
      <c r="I917" s="30"/>
      <c r="J917" s="30"/>
      <c r="K917" s="30"/>
    </row>
    <row r="918" spans="1:11" ht="15">
      <c r="A918" s="30"/>
      <c r="B918" s="30"/>
      <c r="C918" s="30"/>
      <c r="D918" s="30"/>
      <c r="E918" s="30"/>
      <c r="F918" s="30"/>
      <c r="G918" s="30"/>
      <c r="H918" s="30"/>
      <c r="I918" s="30"/>
      <c r="J918" s="30"/>
      <c r="K918" s="30"/>
    </row>
    <row r="919" spans="1:11" ht="15">
      <c r="A919" s="30"/>
      <c r="B919" s="30"/>
      <c r="C919" s="30"/>
      <c r="D919" s="30"/>
      <c r="E919" s="30"/>
      <c r="F919" s="30"/>
      <c r="G919" s="30"/>
      <c r="H919" s="30"/>
      <c r="I919" s="30"/>
      <c r="J919" s="30"/>
      <c r="K919" s="30"/>
    </row>
    <row r="920" spans="1:11" ht="15">
      <c r="A920" s="30"/>
      <c r="B920" s="30"/>
      <c r="C920" s="30"/>
      <c r="D920" s="30"/>
      <c r="E920" s="30"/>
      <c r="F920" s="30"/>
      <c r="G920" s="30"/>
      <c r="H920" s="30"/>
      <c r="I920" s="30"/>
      <c r="J920" s="30"/>
      <c r="K920" s="30"/>
    </row>
    <row r="921" spans="1:11" ht="15">
      <c r="A921" s="30"/>
      <c r="B921" s="30"/>
      <c r="C921" s="30"/>
      <c r="D921" s="30"/>
      <c r="E921" s="30"/>
      <c r="F921" s="30"/>
      <c r="G921" s="30"/>
      <c r="H921" s="30"/>
      <c r="I921" s="30"/>
      <c r="J921" s="30"/>
      <c r="K921" s="30"/>
    </row>
    <row r="922" spans="1:11" ht="15">
      <c r="A922" s="30"/>
      <c r="B922" s="30"/>
      <c r="C922" s="30"/>
      <c r="D922" s="30"/>
      <c r="E922" s="30"/>
      <c r="F922" s="30"/>
      <c r="G922" s="30"/>
      <c r="H922" s="30"/>
      <c r="I922" s="30"/>
      <c r="J922" s="30"/>
      <c r="K922" s="30"/>
    </row>
    <row r="923" spans="1:11" ht="15">
      <c r="A923" s="30"/>
      <c r="B923" s="30"/>
      <c r="C923" s="30"/>
      <c r="D923" s="30"/>
      <c r="E923" s="30"/>
      <c r="F923" s="30"/>
      <c r="G923" s="30"/>
      <c r="H923" s="30"/>
      <c r="I923" s="30"/>
      <c r="J923" s="30"/>
      <c r="K923" s="30"/>
    </row>
    <row r="924" spans="1:11" ht="15">
      <c r="A924" s="30"/>
      <c r="B924" s="30"/>
      <c r="C924" s="30"/>
      <c r="D924" s="30"/>
      <c r="E924" s="30"/>
      <c r="F924" s="30"/>
      <c r="G924" s="30"/>
      <c r="H924" s="30"/>
      <c r="I924" s="30"/>
      <c r="J924" s="30"/>
      <c r="K924" s="30"/>
    </row>
    <row r="925" spans="1:11" ht="15">
      <c r="A925" s="30"/>
      <c r="B925" s="30"/>
      <c r="C925" s="30"/>
      <c r="D925" s="30"/>
      <c r="E925" s="30"/>
      <c r="F925" s="30"/>
      <c r="G925" s="30"/>
      <c r="H925" s="30"/>
      <c r="I925" s="30"/>
      <c r="J925" s="30"/>
      <c r="K925" s="30"/>
    </row>
    <row r="926" spans="1:11" ht="15">
      <c r="A926" s="30"/>
      <c r="B926" s="30"/>
      <c r="C926" s="30"/>
      <c r="D926" s="30"/>
      <c r="E926" s="30"/>
      <c r="F926" s="30"/>
      <c r="G926" s="30"/>
      <c r="H926" s="30"/>
      <c r="I926" s="30"/>
      <c r="J926" s="30"/>
      <c r="K926" s="30"/>
    </row>
    <row r="927" spans="1:11" ht="15">
      <c r="A927" s="30"/>
      <c r="B927" s="30"/>
      <c r="C927" s="30"/>
      <c r="D927" s="30"/>
      <c r="E927" s="30"/>
      <c r="F927" s="30"/>
      <c r="G927" s="30"/>
      <c r="H927" s="30"/>
      <c r="I927" s="30"/>
      <c r="J927" s="30"/>
      <c r="K927" s="30"/>
    </row>
    <row r="928" spans="1:11" ht="15">
      <c r="A928" s="30"/>
      <c r="B928" s="30"/>
      <c r="C928" s="30"/>
      <c r="D928" s="30"/>
      <c r="E928" s="30"/>
      <c r="F928" s="30"/>
      <c r="G928" s="30"/>
      <c r="H928" s="30"/>
      <c r="I928" s="30"/>
      <c r="J928" s="30"/>
      <c r="K928" s="30"/>
    </row>
    <row r="929" spans="1:11" ht="15">
      <c r="A929" s="30"/>
      <c r="B929" s="30"/>
      <c r="C929" s="30"/>
      <c r="D929" s="30"/>
      <c r="E929" s="30"/>
      <c r="F929" s="30"/>
      <c r="G929" s="30"/>
      <c r="H929" s="30"/>
      <c r="I929" s="30"/>
      <c r="J929" s="30"/>
      <c r="K929" s="30"/>
    </row>
    <row r="930" spans="1:11" ht="15">
      <c r="A930" s="30"/>
      <c r="B930" s="30"/>
      <c r="C930" s="30"/>
      <c r="D930" s="30"/>
      <c r="E930" s="30"/>
      <c r="F930" s="30"/>
      <c r="G930" s="30"/>
      <c r="H930" s="30"/>
      <c r="I930" s="30"/>
      <c r="J930" s="30"/>
      <c r="K930" s="30"/>
    </row>
    <row r="931" spans="1:11" ht="15">
      <c r="A931" s="30"/>
      <c r="B931" s="30"/>
      <c r="C931" s="30"/>
      <c r="D931" s="30"/>
      <c r="E931" s="30"/>
      <c r="F931" s="30"/>
      <c r="G931" s="30"/>
      <c r="H931" s="30"/>
      <c r="I931" s="30"/>
      <c r="J931" s="30"/>
      <c r="K931" s="30"/>
    </row>
    <row r="932" spans="1:11" ht="15">
      <c r="A932" s="30"/>
      <c r="B932" s="30"/>
      <c r="C932" s="30"/>
      <c r="D932" s="30"/>
      <c r="E932" s="30"/>
      <c r="F932" s="30"/>
      <c r="G932" s="30"/>
      <c r="H932" s="30"/>
      <c r="I932" s="30"/>
      <c r="J932" s="30"/>
      <c r="K932" s="30"/>
    </row>
    <row r="933" spans="1:11" ht="15">
      <c r="A933" s="30"/>
      <c r="B933" s="30"/>
      <c r="C933" s="30"/>
      <c r="D933" s="30"/>
      <c r="E933" s="30"/>
      <c r="F933" s="30"/>
      <c r="G933" s="30"/>
      <c r="H933" s="30"/>
      <c r="I933" s="30"/>
      <c r="J933" s="30"/>
      <c r="K933" s="30"/>
    </row>
    <row r="934" spans="1:11" ht="15">
      <c r="A934" s="30"/>
      <c r="B934" s="30"/>
      <c r="C934" s="30"/>
      <c r="D934" s="30"/>
      <c r="E934" s="30"/>
      <c r="F934" s="30"/>
      <c r="G934" s="30"/>
      <c r="H934" s="30"/>
      <c r="I934" s="30"/>
      <c r="J934" s="30"/>
      <c r="K934" s="30"/>
    </row>
    <row r="935" spans="1:11" ht="15">
      <c r="A935" s="30"/>
      <c r="B935" s="30"/>
      <c r="C935" s="30"/>
      <c r="D935" s="30"/>
      <c r="E935" s="30"/>
      <c r="F935" s="30"/>
      <c r="G935" s="30"/>
      <c r="H935" s="30"/>
      <c r="I935" s="30"/>
      <c r="J935" s="30"/>
      <c r="K935" s="30"/>
    </row>
    <row r="936" spans="1:11" ht="15">
      <c r="A936" s="30"/>
      <c r="B936" s="30"/>
      <c r="C936" s="30"/>
      <c r="D936" s="30"/>
      <c r="E936" s="30"/>
      <c r="F936" s="30"/>
      <c r="G936" s="30"/>
      <c r="H936" s="30"/>
      <c r="I936" s="30"/>
      <c r="J936" s="30"/>
      <c r="K936" s="30"/>
    </row>
    <row r="937" spans="1:11" ht="15">
      <c r="A937" s="30"/>
      <c r="B937" s="30"/>
      <c r="C937" s="30"/>
      <c r="D937" s="30"/>
      <c r="E937" s="30"/>
      <c r="F937" s="30"/>
      <c r="G937" s="30"/>
      <c r="H937" s="30"/>
      <c r="I937" s="30"/>
      <c r="J937" s="30"/>
      <c r="K937" s="30"/>
    </row>
    <row r="938" spans="1:11" ht="15">
      <c r="A938" s="30"/>
      <c r="B938" s="30"/>
      <c r="C938" s="30"/>
      <c r="D938" s="30"/>
      <c r="E938" s="30"/>
      <c r="F938" s="30"/>
      <c r="G938" s="30"/>
      <c r="H938" s="30"/>
      <c r="I938" s="30"/>
      <c r="J938" s="30"/>
      <c r="K938" s="30"/>
    </row>
    <row r="939" spans="1:11" ht="15">
      <c r="A939" s="30"/>
      <c r="B939" s="30"/>
      <c r="C939" s="30"/>
      <c r="D939" s="30"/>
      <c r="E939" s="30"/>
      <c r="F939" s="30"/>
      <c r="G939" s="30"/>
      <c r="H939" s="30"/>
      <c r="I939" s="30"/>
      <c r="J939" s="30"/>
      <c r="K939" s="30"/>
    </row>
    <row r="940" spans="1:11" ht="15">
      <c r="A940" s="30"/>
      <c r="B940" s="30"/>
      <c r="C940" s="30"/>
      <c r="D940" s="30"/>
      <c r="E940" s="30"/>
      <c r="F940" s="30"/>
      <c r="G940" s="30"/>
      <c r="H940" s="30"/>
      <c r="I940" s="30"/>
      <c r="J940" s="30"/>
      <c r="K940" s="30"/>
    </row>
    <row r="941" spans="1:11" ht="15">
      <c r="A941" s="30"/>
      <c r="B941" s="30"/>
      <c r="C941" s="30"/>
      <c r="D941" s="30"/>
      <c r="E941" s="30"/>
      <c r="F941" s="30"/>
      <c r="G941" s="30"/>
      <c r="H941" s="30"/>
      <c r="I941" s="30"/>
      <c r="J941" s="30"/>
      <c r="K941" s="30"/>
    </row>
    <row r="942" spans="1:11" ht="15">
      <c r="A942" s="30"/>
      <c r="B942" s="30"/>
      <c r="C942" s="30"/>
      <c r="D942" s="30"/>
      <c r="E942" s="30"/>
      <c r="F942" s="30"/>
      <c r="G942" s="30"/>
      <c r="H942" s="30"/>
      <c r="I942" s="30"/>
      <c r="J942" s="30"/>
      <c r="K942" s="30"/>
    </row>
    <row r="943" spans="1:11" ht="15">
      <c r="A943" s="30"/>
      <c r="B943" s="30"/>
      <c r="C943" s="30"/>
      <c r="D943" s="30"/>
      <c r="E943" s="30"/>
      <c r="F943" s="30"/>
      <c r="G943" s="30"/>
      <c r="H943" s="30"/>
      <c r="I943" s="30"/>
      <c r="J943" s="30"/>
      <c r="K943" s="30"/>
    </row>
    <row r="944" spans="1:11" ht="15">
      <c r="A944" s="30"/>
      <c r="B944" s="30"/>
      <c r="C944" s="30"/>
      <c r="D944" s="30"/>
      <c r="E944" s="30"/>
      <c r="F944" s="30"/>
      <c r="G944" s="30"/>
      <c r="H944" s="30"/>
      <c r="I944" s="30"/>
      <c r="J944" s="30"/>
      <c r="K944" s="30"/>
    </row>
    <row r="945" spans="1:11" ht="15">
      <c r="A945" s="30"/>
      <c r="B945" s="30"/>
      <c r="C945" s="30"/>
      <c r="D945" s="30"/>
      <c r="E945" s="30"/>
      <c r="F945" s="30"/>
      <c r="G945" s="30"/>
      <c r="H945" s="30"/>
      <c r="I945" s="30"/>
      <c r="J945" s="30"/>
      <c r="K945" s="30"/>
    </row>
    <row r="946" spans="1:11" ht="15">
      <c r="A946" s="30"/>
      <c r="B946" s="30"/>
      <c r="C946" s="30"/>
      <c r="D946" s="30"/>
      <c r="E946" s="30"/>
      <c r="F946" s="30"/>
      <c r="G946" s="30"/>
      <c r="H946" s="30"/>
      <c r="I946" s="30"/>
      <c r="J946" s="30"/>
      <c r="K946" s="30"/>
    </row>
    <row r="947" spans="1:11" ht="15">
      <c r="A947" s="30"/>
      <c r="B947" s="30"/>
      <c r="C947" s="30"/>
      <c r="D947" s="30"/>
      <c r="E947" s="30"/>
      <c r="F947" s="30"/>
      <c r="G947" s="30"/>
      <c r="H947" s="30"/>
      <c r="I947" s="30"/>
      <c r="J947" s="30"/>
      <c r="K947" s="30"/>
    </row>
    <row r="948" spans="1:11" ht="15">
      <c r="A948" s="30"/>
      <c r="B948" s="30"/>
      <c r="C948" s="30"/>
      <c r="D948" s="30"/>
      <c r="E948" s="30"/>
      <c r="F948" s="30"/>
      <c r="G948" s="30"/>
      <c r="H948" s="30"/>
      <c r="I948" s="30"/>
      <c r="J948" s="30"/>
      <c r="K948" s="30"/>
    </row>
    <row r="949" spans="1:11" ht="15">
      <c r="A949" s="30"/>
      <c r="B949" s="30"/>
      <c r="C949" s="30"/>
      <c r="D949" s="30"/>
      <c r="E949" s="30"/>
      <c r="F949" s="30"/>
      <c r="G949" s="30"/>
      <c r="H949" s="30"/>
      <c r="I949" s="30"/>
      <c r="J949" s="30"/>
      <c r="K949" s="30"/>
    </row>
    <row r="950" spans="1:11" ht="15">
      <c r="A950" s="30"/>
      <c r="B950" s="30"/>
      <c r="C950" s="30"/>
      <c r="D950" s="30"/>
      <c r="E950" s="30"/>
      <c r="F950" s="30"/>
      <c r="G950" s="30"/>
      <c r="H950" s="30"/>
      <c r="I950" s="30"/>
      <c r="J950" s="30"/>
      <c r="K950" s="30"/>
    </row>
    <row r="951" spans="1:11" ht="15">
      <c r="A951" s="30"/>
      <c r="B951" s="30"/>
      <c r="C951" s="30"/>
      <c r="D951" s="30"/>
      <c r="E951" s="30"/>
      <c r="F951" s="30"/>
      <c r="G951" s="30"/>
      <c r="H951" s="30"/>
      <c r="I951" s="30"/>
      <c r="J951" s="30"/>
      <c r="K951" s="30"/>
    </row>
    <row r="952" spans="1:11" ht="15">
      <c r="A952" s="30"/>
      <c r="B952" s="30"/>
      <c r="C952" s="30"/>
      <c r="D952" s="30"/>
      <c r="E952" s="30"/>
      <c r="F952" s="30"/>
      <c r="G952" s="30"/>
      <c r="H952" s="30"/>
      <c r="I952" s="30"/>
      <c r="J952" s="30"/>
      <c r="K952" s="30"/>
    </row>
    <row r="953" spans="1:11" ht="15">
      <c r="A953" s="30"/>
      <c r="B953" s="30"/>
      <c r="C953" s="30"/>
      <c r="D953" s="30"/>
      <c r="E953" s="30"/>
      <c r="F953" s="30"/>
      <c r="G953" s="30"/>
      <c r="H953" s="30"/>
      <c r="I953" s="30"/>
      <c r="J953" s="30"/>
      <c r="K953" s="30"/>
    </row>
    <row r="954" spans="1:11" ht="15">
      <c r="A954" s="30"/>
      <c r="B954" s="30"/>
      <c r="C954" s="30"/>
      <c r="D954" s="30"/>
      <c r="E954" s="30"/>
      <c r="F954" s="30"/>
      <c r="G954" s="30"/>
      <c r="H954" s="30"/>
      <c r="I954" s="30"/>
      <c r="J954" s="30"/>
      <c r="K954" s="30"/>
    </row>
    <row r="955" spans="1:11" ht="15">
      <c r="A955" s="30"/>
      <c r="B955" s="30"/>
      <c r="C955" s="30"/>
      <c r="D955" s="30"/>
      <c r="E955" s="30"/>
      <c r="F955" s="30"/>
      <c r="G955" s="30"/>
      <c r="H955" s="30"/>
      <c r="I955" s="30"/>
      <c r="J955" s="30"/>
      <c r="K955" s="30"/>
    </row>
    <row r="956" spans="1:11" ht="15">
      <c r="A956" s="30"/>
      <c r="B956" s="30"/>
      <c r="C956" s="30"/>
      <c r="D956" s="30"/>
      <c r="E956" s="30"/>
      <c r="F956" s="30"/>
      <c r="G956" s="30"/>
      <c r="H956" s="30"/>
      <c r="I956" s="30"/>
      <c r="J956" s="30"/>
      <c r="K956" s="30"/>
    </row>
    <row r="957" spans="1:11" ht="15">
      <c r="A957" s="30"/>
      <c r="B957" s="30"/>
      <c r="C957" s="30"/>
      <c r="D957" s="30"/>
      <c r="E957" s="30"/>
      <c r="F957" s="30"/>
      <c r="G957" s="30"/>
      <c r="H957" s="30"/>
      <c r="I957" s="30"/>
      <c r="J957" s="30"/>
      <c r="K957" s="30"/>
    </row>
    <row r="958" spans="1:11" ht="15">
      <c r="A958" s="30"/>
      <c r="B958" s="30"/>
      <c r="C958" s="30"/>
      <c r="D958" s="30"/>
      <c r="E958" s="30"/>
      <c r="F958" s="30"/>
      <c r="G958" s="30"/>
      <c r="H958" s="30"/>
      <c r="I958" s="30"/>
      <c r="J958" s="30"/>
      <c r="K958" s="30"/>
    </row>
    <row r="959" spans="1:11" ht="15">
      <c r="A959" s="30"/>
      <c r="B959" s="30"/>
      <c r="C959" s="30"/>
      <c r="D959" s="30"/>
      <c r="E959" s="30"/>
      <c r="F959" s="30"/>
      <c r="G959" s="30"/>
      <c r="H959" s="30"/>
      <c r="I959" s="30"/>
      <c r="J959" s="30"/>
      <c r="K959" s="30"/>
    </row>
    <row r="960" spans="1:11" ht="15">
      <c r="A960" s="30"/>
      <c r="B960" s="30"/>
      <c r="C960" s="30"/>
      <c r="D960" s="30"/>
      <c r="E960" s="30"/>
      <c r="F960" s="30"/>
      <c r="G960" s="30"/>
      <c r="H960" s="30"/>
      <c r="I960" s="30"/>
      <c r="J960" s="30"/>
      <c r="K960" s="30"/>
    </row>
    <row r="961" spans="1:11" ht="15">
      <c r="A961" s="30"/>
      <c r="B961" s="30"/>
      <c r="C961" s="30"/>
      <c r="D961" s="30"/>
      <c r="E961" s="30"/>
      <c r="F961" s="30"/>
      <c r="G961" s="30"/>
      <c r="H961" s="30"/>
      <c r="I961" s="30"/>
      <c r="J961" s="30"/>
      <c r="K961" s="30"/>
    </row>
    <row r="962" spans="1:11" ht="15">
      <c r="A962" s="30"/>
      <c r="B962" s="30"/>
      <c r="C962" s="30"/>
      <c r="D962" s="30"/>
      <c r="E962" s="30"/>
      <c r="F962" s="30"/>
      <c r="G962" s="30"/>
      <c r="H962" s="30"/>
      <c r="I962" s="30"/>
      <c r="J962" s="30"/>
      <c r="K962" s="30"/>
    </row>
    <row r="963" spans="1:11" ht="15">
      <c r="A963" s="30"/>
      <c r="B963" s="30"/>
      <c r="C963" s="30"/>
      <c r="D963" s="30"/>
      <c r="E963" s="30"/>
      <c r="F963" s="30"/>
      <c r="G963" s="30"/>
      <c r="H963" s="30"/>
      <c r="I963" s="30"/>
      <c r="J963" s="30"/>
      <c r="K963" s="30"/>
    </row>
    <row r="964" spans="1:11" ht="15">
      <c r="A964" s="30"/>
      <c r="B964" s="30"/>
      <c r="C964" s="30"/>
      <c r="D964" s="30"/>
      <c r="E964" s="30"/>
      <c r="F964" s="30"/>
      <c r="G964" s="30"/>
      <c r="H964" s="30"/>
      <c r="I964" s="30"/>
      <c r="J964" s="30"/>
      <c r="K964" s="30"/>
    </row>
    <row r="965" spans="1:11" ht="15">
      <c r="A965" s="30"/>
      <c r="B965" s="30"/>
      <c r="C965" s="30"/>
      <c r="D965" s="30"/>
      <c r="E965" s="30"/>
      <c r="F965" s="30"/>
      <c r="G965" s="30"/>
      <c r="H965" s="30"/>
      <c r="I965" s="30"/>
      <c r="J965" s="30"/>
      <c r="K965" s="30"/>
    </row>
    <row r="966" spans="1:11" ht="15">
      <c r="A966" s="30"/>
      <c r="B966" s="30"/>
      <c r="C966" s="30"/>
      <c r="D966" s="30"/>
      <c r="E966" s="30"/>
      <c r="F966" s="30"/>
      <c r="G966" s="30"/>
      <c r="H966" s="30"/>
      <c r="I966" s="30"/>
      <c r="J966" s="30"/>
      <c r="K966" s="30"/>
    </row>
    <row r="967" spans="1:11" ht="15">
      <c r="A967" s="30"/>
      <c r="B967" s="30"/>
      <c r="C967" s="30"/>
      <c r="D967" s="30"/>
      <c r="E967" s="30"/>
      <c r="F967" s="30"/>
      <c r="G967" s="30"/>
      <c r="H967" s="30"/>
      <c r="I967" s="30"/>
      <c r="J967" s="30"/>
      <c r="K967" s="30"/>
    </row>
    <row r="968" spans="1:11" ht="15">
      <c r="A968" s="30"/>
      <c r="B968" s="30"/>
      <c r="C968" s="30"/>
      <c r="D968" s="30"/>
      <c r="E968" s="30"/>
      <c r="F968" s="30"/>
      <c r="G968" s="30"/>
      <c r="H968" s="30"/>
      <c r="I968" s="30"/>
      <c r="J968" s="30"/>
      <c r="K968" s="30"/>
    </row>
    <row r="969" spans="1:11" ht="15">
      <c r="A969" s="30"/>
      <c r="B969" s="30"/>
      <c r="C969" s="30"/>
      <c r="D969" s="30"/>
      <c r="E969" s="30"/>
      <c r="F969" s="30"/>
      <c r="G969" s="30"/>
      <c r="H969" s="30"/>
      <c r="I969" s="30"/>
      <c r="J969" s="30"/>
      <c r="K969" s="30"/>
    </row>
    <row r="970" spans="1:11" ht="15">
      <c r="A970" s="30"/>
      <c r="B970" s="30"/>
      <c r="C970" s="30"/>
      <c r="D970" s="30"/>
      <c r="E970" s="30"/>
      <c r="F970" s="30"/>
      <c r="G970" s="30"/>
      <c r="H970" s="30"/>
      <c r="I970" s="30"/>
      <c r="J970" s="30"/>
      <c r="K970" s="30"/>
    </row>
    <row r="971" spans="1:11" ht="15">
      <c r="A971" s="30"/>
      <c r="B971" s="30"/>
      <c r="C971" s="30"/>
      <c r="D971" s="30"/>
      <c r="E971" s="30"/>
      <c r="F971" s="30"/>
      <c r="G971" s="30"/>
      <c r="H971" s="30"/>
      <c r="I971" s="30"/>
      <c r="J971" s="30"/>
      <c r="K971" s="30"/>
    </row>
    <row r="972" spans="1:11" ht="15">
      <c r="A972" s="30"/>
      <c r="B972" s="30"/>
      <c r="C972" s="30"/>
      <c r="D972" s="30"/>
      <c r="E972" s="30"/>
      <c r="F972" s="30"/>
      <c r="G972" s="30"/>
      <c r="H972" s="30"/>
      <c r="I972" s="30"/>
      <c r="J972" s="30"/>
      <c r="K972" s="30"/>
    </row>
    <row r="973" spans="1:11" ht="15">
      <c r="A973" s="30"/>
      <c r="B973" s="30"/>
      <c r="C973" s="30"/>
      <c r="D973" s="30"/>
      <c r="E973" s="30"/>
      <c r="F973" s="30"/>
      <c r="G973" s="30"/>
      <c r="H973" s="30"/>
      <c r="I973" s="30"/>
      <c r="J973" s="30"/>
      <c r="K973" s="30"/>
    </row>
    <row r="974" spans="1:11" ht="15">
      <c r="A974" s="30"/>
      <c r="B974" s="30"/>
      <c r="C974" s="30"/>
      <c r="D974" s="30"/>
      <c r="E974" s="30"/>
      <c r="F974" s="30"/>
      <c r="G974" s="30"/>
      <c r="H974" s="30"/>
      <c r="I974" s="30"/>
      <c r="J974" s="30"/>
      <c r="K974" s="30"/>
    </row>
    <row r="975" spans="1:11" ht="15">
      <c r="A975" s="30"/>
      <c r="B975" s="30"/>
      <c r="C975" s="30"/>
      <c r="D975" s="30"/>
      <c r="E975" s="30"/>
      <c r="F975" s="30"/>
      <c r="G975" s="30"/>
      <c r="H975" s="30"/>
      <c r="I975" s="30"/>
      <c r="J975" s="30"/>
      <c r="K975" s="30"/>
    </row>
    <row r="976" spans="1:11" ht="15">
      <c r="A976" s="30"/>
      <c r="B976" s="30"/>
      <c r="C976" s="30"/>
      <c r="D976" s="30"/>
      <c r="E976" s="30"/>
      <c r="F976" s="30"/>
      <c r="G976" s="30"/>
      <c r="H976" s="30"/>
      <c r="I976" s="30"/>
      <c r="J976" s="30"/>
      <c r="K976" s="30"/>
    </row>
    <row r="977" spans="1:11" ht="15">
      <c r="A977" s="30"/>
      <c r="B977" s="30"/>
      <c r="C977" s="30"/>
      <c r="D977" s="30"/>
      <c r="E977" s="30"/>
      <c r="F977" s="30"/>
      <c r="G977" s="30"/>
      <c r="H977" s="30"/>
      <c r="I977" s="30"/>
      <c r="J977" s="30"/>
      <c r="K977" s="30"/>
    </row>
    <row r="978" spans="1:11" ht="15">
      <c r="A978" s="30"/>
      <c r="B978" s="30"/>
      <c r="C978" s="30"/>
      <c r="D978" s="30"/>
      <c r="E978" s="30"/>
      <c r="F978" s="30"/>
      <c r="G978" s="30"/>
      <c r="H978" s="30"/>
      <c r="I978" s="30"/>
      <c r="J978" s="30"/>
      <c r="K978" s="30"/>
    </row>
    <row r="979" spans="1:11" ht="15">
      <c r="A979" s="30"/>
      <c r="B979" s="30"/>
      <c r="C979" s="30"/>
      <c r="D979" s="30"/>
      <c r="E979" s="30"/>
      <c r="F979" s="30"/>
      <c r="G979" s="30"/>
      <c r="H979" s="30"/>
      <c r="I979" s="30"/>
      <c r="J979" s="30"/>
      <c r="K979" s="30"/>
    </row>
    <row r="980" spans="1:11" ht="15">
      <c r="A980" s="30"/>
      <c r="B980" s="30"/>
      <c r="C980" s="30"/>
      <c r="D980" s="30"/>
      <c r="E980" s="30"/>
      <c r="F980" s="30"/>
      <c r="G980" s="30"/>
      <c r="H980" s="30"/>
      <c r="I980" s="30"/>
      <c r="J980" s="30"/>
      <c r="K980" s="30"/>
    </row>
    <row r="981" spans="1:11" ht="15">
      <c r="A981" s="30"/>
      <c r="B981" s="30"/>
      <c r="C981" s="30"/>
      <c r="D981" s="30"/>
      <c r="E981" s="30"/>
      <c r="F981" s="30"/>
      <c r="G981" s="30"/>
      <c r="H981" s="30"/>
      <c r="I981" s="30"/>
      <c r="J981" s="30"/>
      <c r="K981" s="30"/>
    </row>
    <row r="982" spans="1:11" ht="15">
      <c r="A982" s="30"/>
      <c r="B982" s="30"/>
      <c r="C982" s="30"/>
      <c r="D982" s="30"/>
      <c r="E982" s="30"/>
      <c r="F982" s="30"/>
      <c r="G982" s="30"/>
      <c r="H982" s="30"/>
      <c r="I982" s="30"/>
      <c r="J982" s="30"/>
      <c r="K982" s="30"/>
    </row>
    <row r="983" spans="1:11" ht="15">
      <c r="A983" s="30"/>
      <c r="B983" s="30"/>
      <c r="C983" s="30"/>
      <c r="D983" s="30"/>
      <c r="E983" s="30"/>
      <c r="F983" s="30"/>
      <c r="G983" s="30"/>
      <c r="H983" s="30"/>
      <c r="I983" s="30"/>
      <c r="J983" s="30"/>
      <c r="K983" s="30"/>
    </row>
    <row r="984" spans="1:11" ht="15">
      <c r="A984" s="30"/>
      <c r="B984" s="30"/>
      <c r="C984" s="30"/>
      <c r="D984" s="30"/>
      <c r="E984" s="30"/>
      <c r="F984" s="30"/>
      <c r="G984" s="30"/>
      <c r="H984" s="30"/>
      <c r="I984" s="30"/>
      <c r="J984" s="30"/>
      <c r="K984" s="30"/>
    </row>
    <row r="985" spans="1:11" ht="15">
      <c r="A985" s="30"/>
      <c r="B985" s="30"/>
      <c r="C985" s="30"/>
      <c r="D985" s="30"/>
      <c r="E985" s="30"/>
      <c r="F985" s="30"/>
      <c r="G985" s="30"/>
      <c r="H985" s="30"/>
      <c r="I985" s="30"/>
      <c r="J985" s="30"/>
      <c r="K985" s="30"/>
    </row>
    <row r="986" spans="1:11" ht="15">
      <c r="A986" s="30"/>
      <c r="B986" s="30"/>
      <c r="C986" s="30"/>
      <c r="D986" s="30"/>
      <c r="E986" s="30"/>
      <c r="F986" s="30"/>
      <c r="G986" s="30"/>
      <c r="H986" s="30"/>
      <c r="I986" s="30"/>
      <c r="J986" s="30"/>
      <c r="K986" s="30"/>
    </row>
    <row r="987" spans="1:11" ht="15">
      <c r="A987" s="30"/>
      <c r="B987" s="30"/>
      <c r="C987" s="30"/>
      <c r="D987" s="30"/>
      <c r="E987" s="30"/>
      <c r="F987" s="30"/>
      <c r="G987" s="30"/>
      <c r="H987" s="30"/>
      <c r="I987" s="30"/>
      <c r="J987" s="30"/>
      <c r="K987" s="30"/>
    </row>
    <row r="988" spans="1:11" ht="15">
      <c r="A988" s="30"/>
      <c r="B988" s="30"/>
      <c r="C988" s="30"/>
      <c r="D988" s="30"/>
      <c r="E988" s="30"/>
      <c r="F988" s="30"/>
      <c r="G988" s="30"/>
      <c r="H988" s="30"/>
      <c r="I988" s="30"/>
      <c r="J988" s="30"/>
      <c r="K988" s="30"/>
    </row>
    <row r="989" spans="1:11" ht="15">
      <c r="A989" s="30"/>
      <c r="B989" s="30"/>
      <c r="C989" s="30"/>
      <c r="D989" s="30"/>
      <c r="E989" s="30"/>
      <c r="F989" s="30"/>
      <c r="G989" s="30"/>
      <c r="H989" s="30"/>
      <c r="I989" s="30"/>
      <c r="J989" s="30"/>
      <c r="K989" s="30"/>
    </row>
    <row r="990" spans="1:11" ht="15">
      <c r="A990" s="30"/>
      <c r="B990" s="30"/>
      <c r="C990" s="30"/>
      <c r="D990" s="30"/>
      <c r="E990" s="30"/>
      <c r="F990" s="30"/>
      <c r="G990" s="30"/>
      <c r="H990" s="30"/>
      <c r="I990" s="30"/>
      <c r="J990" s="30"/>
      <c r="K990" s="30"/>
    </row>
    <row r="991" spans="1:11" ht="15">
      <c r="A991" s="30"/>
      <c r="B991" s="30"/>
      <c r="C991" s="30"/>
      <c r="D991" s="30"/>
      <c r="E991" s="30"/>
      <c r="F991" s="30"/>
      <c r="G991" s="30"/>
      <c r="H991" s="30"/>
      <c r="I991" s="30"/>
      <c r="J991" s="30"/>
      <c r="K991" s="30"/>
    </row>
    <row r="992" spans="1:11" ht="15">
      <c r="A992" s="30"/>
      <c r="B992" s="30"/>
      <c r="C992" s="30"/>
      <c r="D992" s="30"/>
      <c r="E992" s="30"/>
      <c r="F992" s="30"/>
      <c r="G992" s="30"/>
      <c r="H992" s="30"/>
      <c r="I992" s="30"/>
      <c r="J992" s="30"/>
      <c r="K992" s="30"/>
    </row>
    <row r="993" spans="1:11" ht="15">
      <c r="A993" s="30"/>
      <c r="B993" s="30"/>
      <c r="C993" s="30"/>
      <c r="D993" s="30"/>
      <c r="E993" s="30"/>
      <c r="F993" s="30"/>
      <c r="G993" s="30"/>
      <c r="H993" s="30"/>
      <c r="I993" s="30"/>
      <c r="J993" s="30"/>
      <c r="K993" s="30"/>
    </row>
    <row r="994" spans="1:11" ht="15">
      <c r="A994" s="30"/>
      <c r="B994" s="30"/>
      <c r="C994" s="30"/>
      <c r="D994" s="30"/>
      <c r="E994" s="30"/>
      <c r="F994" s="30"/>
      <c r="G994" s="30"/>
      <c r="H994" s="30"/>
      <c r="I994" s="30"/>
      <c r="J994" s="30"/>
      <c r="K994" s="30"/>
    </row>
    <row r="995" spans="1:11" ht="15">
      <c r="A995" s="30"/>
      <c r="B995" s="30"/>
      <c r="C995" s="30"/>
      <c r="D995" s="30"/>
      <c r="E995" s="30"/>
      <c r="F995" s="30"/>
      <c r="G995" s="30"/>
      <c r="H995" s="30"/>
      <c r="I995" s="30"/>
      <c r="J995" s="30"/>
      <c r="K995" s="30"/>
    </row>
    <row r="996" spans="1:11" ht="15">
      <c r="A996" s="30"/>
      <c r="B996" s="30"/>
      <c r="C996" s="30"/>
      <c r="D996" s="30"/>
      <c r="E996" s="30"/>
      <c r="F996" s="30"/>
      <c r="G996" s="30"/>
      <c r="H996" s="30"/>
      <c r="I996" s="30"/>
      <c r="J996" s="30"/>
      <c r="K996" s="30"/>
    </row>
    <row r="997" spans="1:11" ht="15">
      <c r="A997" s="30"/>
      <c r="B997" s="30"/>
      <c r="C997" s="30"/>
      <c r="D997" s="30"/>
      <c r="E997" s="30"/>
      <c r="F997" s="30"/>
      <c r="G997" s="30"/>
      <c r="H997" s="30"/>
      <c r="I997" s="30"/>
      <c r="J997" s="30"/>
      <c r="K997" s="30"/>
    </row>
    <row r="998" spans="1:11" ht="15">
      <c r="A998" s="30"/>
      <c r="B998" s="30"/>
      <c r="C998" s="30"/>
      <c r="D998" s="30"/>
      <c r="E998" s="30"/>
      <c r="F998" s="30"/>
      <c r="G998" s="30"/>
      <c r="H998" s="30"/>
      <c r="I998" s="30"/>
      <c r="J998" s="30"/>
      <c r="K998" s="30"/>
    </row>
    <row r="999" spans="1:11" ht="15">
      <c r="A999" s="30"/>
      <c r="B999" s="30"/>
      <c r="C999" s="30"/>
      <c r="D999" s="30"/>
      <c r="E999" s="30"/>
      <c r="F999" s="30"/>
      <c r="G999" s="30"/>
      <c r="H999" s="30"/>
      <c r="I999" s="30"/>
      <c r="J999" s="30"/>
      <c r="K999" s="30"/>
    </row>
    <row r="1000" spans="1:11" ht="15">
      <c r="A1000" s="30"/>
      <c r="B1000" s="30"/>
      <c r="C1000" s="30"/>
      <c r="D1000" s="30"/>
      <c r="E1000" s="30"/>
      <c r="F1000" s="30"/>
      <c r="G1000" s="30"/>
      <c r="H1000" s="30"/>
      <c r="I1000" s="30"/>
      <c r="J1000" s="30"/>
      <c r="K1000" s="30"/>
    </row>
    <row r="1001" spans="1:11" ht="15">
      <c r="A1001" s="30"/>
      <c r="B1001" s="30"/>
      <c r="C1001" s="30"/>
      <c r="D1001" s="30"/>
      <c r="E1001" s="30"/>
      <c r="F1001" s="30"/>
      <c r="G1001" s="30"/>
      <c r="H1001" s="30"/>
      <c r="I1001" s="30"/>
      <c r="J1001" s="30"/>
      <c r="K1001" s="30"/>
    </row>
    <row r="1002" spans="1:11" ht="15">
      <c r="A1002" s="30"/>
      <c r="B1002" s="30"/>
      <c r="C1002" s="30"/>
      <c r="D1002" s="30"/>
      <c r="E1002" s="30"/>
      <c r="F1002" s="30"/>
      <c r="G1002" s="30"/>
      <c r="H1002" s="30"/>
      <c r="I1002" s="30"/>
      <c r="J1002" s="30"/>
      <c r="K1002" s="30"/>
    </row>
    <row r="1003" spans="1:11" ht="15">
      <c r="A1003" s="30"/>
      <c r="B1003" s="30"/>
      <c r="C1003" s="30"/>
      <c r="D1003" s="30"/>
      <c r="E1003" s="30"/>
      <c r="F1003" s="30"/>
      <c r="G1003" s="30"/>
      <c r="H1003" s="30"/>
      <c r="I1003" s="30"/>
      <c r="J1003" s="30"/>
      <c r="K1003" s="30"/>
    </row>
    <row r="1004" spans="1:11" ht="15">
      <c r="A1004" s="30"/>
      <c r="B1004" s="30"/>
      <c r="C1004" s="30"/>
      <c r="D1004" s="30"/>
      <c r="E1004" s="30"/>
      <c r="F1004" s="30"/>
      <c r="G1004" s="30"/>
      <c r="H1004" s="30"/>
      <c r="I1004" s="30"/>
      <c r="J1004" s="30"/>
      <c r="K1004" s="30"/>
    </row>
    <row r="1005" spans="1:11" ht="15">
      <c r="A1005" s="30"/>
      <c r="B1005" s="30"/>
      <c r="C1005" s="30"/>
      <c r="D1005" s="30"/>
      <c r="E1005" s="30"/>
      <c r="F1005" s="30"/>
      <c r="G1005" s="30"/>
      <c r="H1005" s="30"/>
      <c r="I1005" s="30"/>
      <c r="J1005" s="30"/>
      <c r="K1005" s="30"/>
    </row>
    <row r="1006" spans="1:11" ht="15">
      <c r="A1006" s="30"/>
      <c r="B1006" s="30"/>
      <c r="C1006" s="30"/>
      <c r="D1006" s="30"/>
      <c r="E1006" s="30"/>
      <c r="F1006" s="30"/>
      <c r="G1006" s="30"/>
      <c r="H1006" s="30"/>
      <c r="I1006" s="30"/>
      <c r="J1006" s="30"/>
      <c r="K1006" s="30"/>
    </row>
    <row r="1007" spans="1:11" ht="15">
      <c r="A1007" s="30"/>
      <c r="B1007" s="30"/>
      <c r="C1007" s="30"/>
      <c r="D1007" s="30"/>
      <c r="E1007" s="30"/>
      <c r="F1007" s="30"/>
      <c r="G1007" s="30"/>
      <c r="H1007" s="30"/>
      <c r="I1007" s="30"/>
      <c r="J1007" s="30"/>
      <c r="K1007" s="30"/>
    </row>
    <row r="1008" spans="1:11" ht="15">
      <c r="A1008" s="30"/>
      <c r="B1008" s="30"/>
      <c r="C1008" s="30"/>
      <c r="D1008" s="30"/>
      <c r="E1008" s="30"/>
      <c r="F1008" s="30"/>
      <c r="G1008" s="30"/>
      <c r="H1008" s="30"/>
      <c r="I1008" s="30"/>
      <c r="J1008" s="30"/>
      <c r="K1008" s="30"/>
    </row>
    <row r="1009" spans="1:11" ht="15">
      <c r="A1009" s="30"/>
      <c r="B1009" s="30"/>
      <c r="C1009" s="30"/>
      <c r="D1009" s="30"/>
      <c r="E1009" s="30"/>
      <c r="F1009" s="30"/>
      <c r="G1009" s="30"/>
      <c r="H1009" s="30"/>
      <c r="I1009" s="30"/>
      <c r="J1009" s="30"/>
      <c r="K1009" s="30"/>
    </row>
    <row r="1010" spans="1:11" ht="15">
      <c r="A1010" s="30"/>
      <c r="B1010" s="30"/>
      <c r="C1010" s="30"/>
      <c r="D1010" s="30"/>
      <c r="E1010" s="30"/>
      <c r="F1010" s="30"/>
      <c r="G1010" s="30"/>
      <c r="H1010" s="30"/>
      <c r="I1010" s="30"/>
      <c r="J1010" s="30"/>
      <c r="K1010" s="30"/>
    </row>
    <row r="1011" spans="1:11" ht="15">
      <c r="A1011" s="30"/>
      <c r="B1011" s="30"/>
      <c r="C1011" s="30"/>
      <c r="D1011" s="30"/>
      <c r="E1011" s="30"/>
      <c r="F1011" s="30"/>
      <c r="G1011" s="30"/>
      <c r="H1011" s="30"/>
      <c r="I1011" s="30"/>
      <c r="J1011" s="30"/>
      <c r="K1011" s="30"/>
    </row>
    <row r="1012" spans="1:11" ht="15">
      <c r="A1012" s="30"/>
      <c r="B1012" s="30"/>
      <c r="C1012" s="30"/>
      <c r="D1012" s="30"/>
      <c r="E1012" s="30"/>
      <c r="F1012" s="30"/>
      <c r="G1012" s="30"/>
      <c r="H1012" s="30"/>
      <c r="I1012" s="30"/>
      <c r="J1012" s="30"/>
      <c r="K1012" s="30"/>
    </row>
    <row r="1013" spans="1:11" ht="15">
      <c r="A1013" s="30"/>
      <c r="B1013" s="30"/>
      <c r="C1013" s="30"/>
      <c r="D1013" s="30"/>
      <c r="E1013" s="30"/>
      <c r="F1013" s="30"/>
      <c r="G1013" s="30"/>
      <c r="H1013" s="30"/>
      <c r="I1013" s="30"/>
      <c r="J1013" s="30"/>
      <c r="K1013" s="30"/>
    </row>
    <row r="1014" spans="1:11" ht="15">
      <c r="A1014" s="30"/>
      <c r="B1014" s="30"/>
      <c r="C1014" s="30"/>
      <c r="D1014" s="30"/>
      <c r="E1014" s="30"/>
      <c r="F1014" s="30"/>
      <c r="G1014" s="30"/>
      <c r="H1014" s="30"/>
      <c r="I1014" s="30"/>
      <c r="J1014" s="30"/>
      <c r="K1014" s="30"/>
    </row>
    <row r="1015" spans="1:11" ht="15">
      <c r="A1015" s="30"/>
      <c r="B1015" s="30"/>
      <c r="C1015" s="30"/>
      <c r="D1015" s="30"/>
      <c r="E1015" s="30"/>
      <c r="F1015" s="30"/>
      <c r="G1015" s="30"/>
      <c r="H1015" s="30"/>
      <c r="I1015" s="30"/>
      <c r="J1015" s="30"/>
      <c r="K1015" s="30"/>
    </row>
    <row r="1016" spans="1:11" ht="15">
      <c r="A1016" s="30"/>
      <c r="B1016" s="30"/>
      <c r="C1016" s="30"/>
      <c r="D1016" s="30"/>
      <c r="E1016" s="30"/>
      <c r="F1016" s="30"/>
      <c r="G1016" s="30"/>
      <c r="H1016" s="30"/>
      <c r="I1016" s="30"/>
      <c r="J1016" s="30"/>
      <c r="K1016" s="30"/>
    </row>
    <row r="1017" spans="1:11" ht="15">
      <c r="A1017" s="30"/>
      <c r="B1017" s="30"/>
      <c r="C1017" s="30"/>
      <c r="D1017" s="30"/>
      <c r="E1017" s="30"/>
      <c r="F1017" s="30"/>
      <c r="G1017" s="30"/>
      <c r="H1017" s="30"/>
      <c r="I1017" s="30"/>
      <c r="J1017" s="30"/>
      <c r="K1017" s="30"/>
    </row>
    <row r="1018" spans="1:11" ht="15">
      <c r="A1018" s="30"/>
      <c r="B1018" s="30"/>
      <c r="C1018" s="30"/>
      <c r="D1018" s="30"/>
      <c r="E1018" s="30"/>
      <c r="F1018" s="30"/>
      <c r="G1018" s="30"/>
      <c r="H1018" s="30"/>
      <c r="I1018" s="30"/>
      <c r="J1018" s="30"/>
      <c r="K1018" s="30"/>
    </row>
    <row r="1019" spans="1:11" ht="15">
      <c r="A1019" s="30"/>
      <c r="B1019" s="30"/>
      <c r="C1019" s="30"/>
      <c r="D1019" s="30"/>
      <c r="E1019" s="30"/>
      <c r="F1019" s="30"/>
      <c r="G1019" s="30"/>
      <c r="H1019" s="30"/>
      <c r="I1019" s="30"/>
      <c r="J1019" s="30"/>
      <c r="K1019" s="30"/>
    </row>
    <row r="1020" spans="1:11" ht="15">
      <c r="A1020" s="30"/>
      <c r="B1020" s="30"/>
      <c r="C1020" s="30"/>
      <c r="D1020" s="30"/>
      <c r="E1020" s="30"/>
      <c r="F1020" s="30"/>
      <c r="G1020" s="30"/>
      <c r="H1020" s="30"/>
      <c r="I1020" s="30"/>
      <c r="J1020" s="30"/>
      <c r="K1020" s="30"/>
    </row>
    <row r="1021" spans="1:11" ht="15">
      <c r="A1021" s="30"/>
      <c r="B1021" s="30"/>
      <c r="C1021" s="30"/>
      <c r="D1021" s="30"/>
      <c r="E1021" s="30"/>
      <c r="F1021" s="30"/>
      <c r="G1021" s="30"/>
      <c r="H1021" s="30"/>
      <c r="I1021" s="30"/>
      <c r="J1021" s="30"/>
      <c r="K1021" s="30"/>
    </row>
    <row r="1022" spans="1:11" ht="15">
      <c r="A1022" s="30"/>
      <c r="B1022" s="30"/>
      <c r="C1022" s="30"/>
      <c r="D1022" s="30"/>
      <c r="E1022" s="30"/>
      <c r="F1022" s="30"/>
      <c r="G1022" s="30"/>
      <c r="H1022" s="30"/>
      <c r="I1022" s="30"/>
      <c r="J1022" s="30"/>
      <c r="K1022" s="30"/>
    </row>
    <row r="1023" spans="1:11" ht="15">
      <c r="A1023" s="30"/>
      <c r="B1023" s="30"/>
      <c r="C1023" s="30"/>
      <c r="D1023" s="30"/>
      <c r="E1023" s="30"/>
      <c r="F1023" s="30"/>
      <c r="G1023" s="30"/>
      <c r="H1023" s="30"/>
      <c r="I1023" s="30"/>
      <c r="J1023" s="30"/>
      <c r="K1023" s="30"/>
    </row>
    <row r="1024" spans="1:11" ht="15">
      <c r="A1024" s="30"/>
      <c r="B1024" s="30"/>
      <c r="C1024" s="30"/>
      <c r="D1024" s="30"/>
      <c r="E1024" s="30"/>
      <c r="F1024" s="30"/>
      <c r="G1024" s="30"/>
      <c r="H1024" s="30"/>
      <c r="I1024" s="30"/>
      <c r="J1024" s="30"/>
      <c r="K1024" s="30"/>
    </row>
    <row r="1025" spans="1:11" ht="15">
      <c r="A1025" s="30"/>
      <c r="B1025" s="30"/>
      <c r="C1025" s="30"/>
      <c r="D1025" s="30"/>
      <c r="E1025" s="30"/>
      <c r="F1025" s="30"/>
      <c r="G1025" s="30"/>
      <c r="H1025" s="30"/>
      <c r="I1025" s="30"/>
      <c r="J1025" s="30"/>
      <c r="K1025" s="30"/>
    </row>
    <row r="1026" spans="1:11" ht="15">
      <c r="A1026" s="30"/>
      <c r="B1026" s="30"/>
      <c r="C1026" s="30"/>
      <c r="D1026" s="30"/>
      <c r="E1026" s="30"/>
      <c r="F1026" s="30"/>
      <c r="G1026" s="30"/>
      <c r="H1026" s="30"/>
      <c r="I1026" s="30"/>
      <c r="J1026" s="30"/>
      <c r="K1026" s="30"/>
    </row>
    <row r="1027" spans="1:11" ht="15">
      <c r="A1027" s="30"/>
      <c r="B1027" s="30"/>
      <c r="C1027" s="30"/>
      <c r="D1027" s="30"/>
      <c r="E1027" s="30"/>
      <c r="F1027" s="30"/>
      <c r="G1027" s="30"/>
      <c r="H1027" s="30"/>
      <c r="I1027" s="30"/>
      <c r="J1027" s="30"/>
      <c r="K1027" s="30"/>
    </row>
    <row r="1028" spans="1:11" ht="15">
      <c r="A1028" s="30"/>
      <c r="B1028" s="30"/>
      <c r="C1028" s="30"/>
      <c r="D1028" s="30"/>
      <c r="E1028" s="30"/>
      <c r="F1028" s="30"/>
      <c r="G1028" s="30"/>
      <c r="H1028" s="30"/>
      <c r="I1028" s="30"/>
      <c r="J1028" s="30"/>
      <c r="K1028" s="30"/>
    </row>
    <row r="1029" spans="1:11" ht="15">
      <c r="A1029" s="30"/>
      <c r="B1029" s="30"/>
      <c r="C1029" s="30"/>
      <c r="D1029" s="30"/>
      <c r="E1029" s="30"/>
      <c r="F1029" s="30"/>
      <c r="G1029" s="30"/>
      <c r="H1029" s="30"/>
      <c r="I1029" s="30"/>
      <c r="J1029" s="30"/>
      <c r="K1029" s="30"/>
    </row>
    <row r="1030" spans="1:11" ht="15">
      <c r="A1030" s="30"/>
      <c r="B1030" s="30"/>
      <c r="C1030" s="30"/>
      <c r="D1030" s="30"/>
      <c r="E1030" s="30"/>
      <c r="F1030" s="30"/>
      <c r="G1030" s="30"/>
      <c r="H1030" s="30"/>
      <c r="I1030" s="30"/>
      <c r="J1030" s="30"/>
      <c r="K1030" s="30"/>
    </row>
    <row r="1031" spans="1:11" ht="15">
      <c r="A1031" s="30"/>
      <c r="B1031" s="30"/>
      <c r="C1031" s="30"/>
      <c r="D1031" s="30"/>
      <c r="E1031" s="30"/>
      <c r="F1031" s="30"/>
      <c r="G1031" s="30"/>
      <c r="H1031" s="30"/>
      <c r="I1031" s="30"/>
      <c r="J1031" s="30"/>
      <c r="K1031" s="30"/>
    </row>
    <row r="1032" spans="1:11" ht="15">
      <c r="A1032" s="30"/>
      <c r="B1032" s="30"/>
      <c r="C1032" s="30"/>
      <c r="D1032" s="30"/>
      <c r="E1032" s="30"/>
      <c r="F1032" s="30"/>
      <c r="G1032" s="30"/>
      <c r="H1032" s="30"/>
      <c r="I1032" s="30"/>
      <c r="J1032" s="30"/>
      <c r="K1032" s="30"/>
    </row>
    <row r="1033" spans="1:11" ht="15">
      <c r="A1033" s="30"/>
      <c r="B1033" s="30"/>
      <c r="C1033" s="30"/>
      <c r="D1033" s="30"/>
      <c r="E1033" s="30"/>
      <c r="F1033" s="30"/>
      <c r="G1033" s="30"/>
      <c r="H1033" s="30"/>
      <c r="I1033" s="30"/>
      <c r="J1033" s="30"/>
      <c r="K1033" s="30"/>
    </row>
    <row r="1034" spans="1:11" ht="15">
      <c r="A1034" s="30"/>
      <c r="B1034" s="30"/>
      <c r="C1034" s="30"/>
      <c r="D1034" s="30"/>
      <c r="E1034" s="30"/>
      <c r="F1034" s="30"/>
      <c r="G1034" s="30"/>
      <c r="H1034" s="30"/>
      <c r="I1034" s="30"/>
      <c r="J1034" s="30"/>
      <c r="K1034" s="30"/>
    </row>
    <row r="1035" spans="1:11" ht="15">
      <c r="A1035" s="30"/>
      <c r="B1035" s="30"/>
      <c r="C1035" s="30"/>
      <c r="D1035" s="30"/>
      <c r="E1035" s="30"/>
      <c r="F1035" s="30"/>
      <c r="G1035" s="30"/>
      <c r="H1035" s="30"/>
      <c r="I1035" s="30"/>
      <c r="J1035" s="30"/>
      <c r="K1035" s="30"/>
    </row>
    <row r="1036" spans="1:11" ht="15">
      <c r="A1036" s="30"/>
      <c r="B1036" s="30"/>
      <c r="C1036" s="30"/>
      <c r="D1036" s="30"/>
      <c r="E1036" s="30"/>
      <c r="F1036" s="30"/>
      <c r="G1036" s="30"/>
      <c r="H1036" s="30"/>
      <c r="I1036" s="30"/>
      <c r="J1036" s="30"/>
      <c r="K1036" s="30"/>
    </row>
    <row r="1037" spans="1:11" ht="15">
      <c r="A1037" s="30"/>
      <c r="B1037" s="30"/>
      <c r="C1037" s="30"/>
      <c r="D1037" s="30"/>
      <c r="E1037" s="30"/>
      <c r="F1037" s="30"/>
      <c r="G1037" s="30"/>
      <c r="H1037" s="30"/>
      <c r="I1037" s="30"/>
      <c r="J1037" s="30"/>
      <c r="K1037" s="30"/>
    </row>
    <row r="1038" spans="1:11" ht="15">
      <c r="A1038" s="30"/>
      <c r="B1038" s="30"/>
      <c r="C1038" s="30"/>
      <c r="D1038" s="30"/>
      <c r="E1038" s="30"/>
      <c r="F1038" s="30"/>
      <c r="G1038" s="30"/>
      <c r="H1038" s="30"/>
      <c r="I1038" s="30"/>
      <c r="J1038" s="30"/>
      <c r="K1038" s="30"/>
    </row>
    <row r="1039" spans="1:11" ht="15">
      <c r="A1039" s="30"/>
      <c r="B1039" s="30"/>
      <c r="C1039" s="30"/>
      <c r="D1039" s="30"/>
      <c r="E1039" s="30"/>
      <c r="F1039" s="30"/>
      <c r="G1039" s="30"/>
      <c r="H1039" s="30"/>
      <c r="I1039" s="30"/>
      <c r="J1039" s="30"/>
      <c r="K1039" s="30"/>
    </row>
    <row r="1040" spans="1:11" ht="15">
      <c r="A1040" s="30"/>
      <c r="B1040" s="30"/>
      <c r="C1040" s="30"/>
      <c r="D1040" s="30"/>
      <c r="E1040" s="30"/>
      <c r="F1040" s="30"/>
      <c r="G1040" s="30"/>
      <c r="H1040" s="30"/>
      <c r="I1040" s="30"/>
      <c r="J1040" s="30"/>
      <c r="K1040" s="30"/>
    </row>
    <row r="1041" spans="1:11" ht="15">
      <c r="A1041" s="30"/>
      <c r="B1041" s="30"/>
      <c r="C1041" s="30"/>
      <c r="D1041" s="30"/>
      <c r="E1041" s="30"/>
      <c r="F1041" s="30"/>
      <c r="G1041" s="30"/>
      <c r="H1041" s="30"/>
      <c r="I1041" s="30"/>
      <c r="J1041" s="30"/>
      <c r="K1041" s="30"/>
    </row>
    <row r="1042" spans="1:11" ht="15">
      <c r="A1042" s="30"/>
      <c r="B1042" s="30"/>
      <c r="C1042" s="30"/>
      <c r="D1042" s="30"/>
      <c r="E1042" s="30"/>
      <c r="F1042" s="30"/>
      <c r="G1042" s="30"/>
      <c r="H1042" s="30"/>
      <c r="I1042" s="30"/>
      <c r="J1042" s="30"/>
      <c r="K1042" s="30"/>
    </row>
    <row r="1043" spans="1:11" ht="15">
      <c r="A1043" s="30"/>
      <c r="B1043" s="30"/>
      <c r="C1043" s="30"/>
      <c r="D1043" s="30"/>
      <c r="E1043" s="30"/>
      <c r="F1043" s="30"/>
      <c r="G1043" s="30"/>
      <c r="H1043" s="30"/>
      <c r="I1043" s="30"/>
      <c r="J1043" s="30"/>
      <c r="K1043" s="30"/>
    </row>
    <row r="1044" spans="1:11" ht="15">
      <c r="A1044" s="30"/>
      <c r="B1044" s="30"/>
      <c r="C1044" s="30"/>
      <c r="D1044" s="30"/>
      <c r="E1044" s="30"/>
      <c r="F1044" s="30"/>
      <c r="G1044" s="30"/>
      <c r="H1044" s="30"/>
      <c r="I1044" s="30"/>
      <c r="J1044" s="30"/>
      <c r="K1044" s="30"/>
    </row>
    <row r="1045" spans="1:11" ht="15">
      <c r="A1045" s="30"/>
      <c r="B1045" s="30"/>
      <c r="C1045" s="30"/>
      <c r="D1045" s="30"/>
      <c r="E1045" s="30"/>
      <c r="F1045" s="30"/>
      <c r="G1045" s="30"/>
      <c r="H1045" s="30"/>
      <c r="I1045" s="30"/>
      <c r="J1045" s="30"/>
      <c r="K1045" s="30"/>
    </row>
    <row r="1046" spans="1:11" ht="15">
      <c r="A1046" s="30"/>
      <c r="B1046" s="30"/>
      <c r="C1046" s="30"/>
      <c r="D1046" s="30"/>
      <c r="E1046" s="30"/>
      <c r="F1046" s="30"/>
      <c r="G1046" s="30"/>
      <c r="H1046" s="30"/>
      <c r="I1046" s="30"/>
      <c r="J1046" s="30"/>
      <c r="K1046" s="30"/>
    </row>
    <row r="1047" spans="1:11" ht="15">
      <c r="A1047" s="30"/>
      <c r="B1047" s="30"/>
      <c r="C1047" s="30"/>
      <c r="D1047" s="30"/>
      <c r="E1047" s="30"/>
      <c r="F1047" s="30"/>
      <c r="G1047" s="30"/>
      <c r="H1047" s="30"/>
      <c r="I1047" s="30"/>
      <c r="J1047" s="30"/>
      <c r="K1047" s="30"/>
    </row>
    <row r="1048" spans="1:11" ht="15">
      <c r="A1048" s="30"/>
      <c r="B1048" s="30"/>
      <c r="C1048" s="30"/>
      <c r="D1048" s="30"/>
      <c r="E1048" s="30"/>
      <c r="F1048" s="30"/>
      <c r="G1048" s="30"/>
      <c r="H1048" s="30"/>
      <c r="I1048" s="30"/>
      <c r="J1048" s="30"/>
      <c r="K1048" s="30"/>
    </row>
    <row r="1049" spans="1:11" ht="15">
      <c r="A1049" s="30"/>
      <c r="B1049" s="30"/>
      <c r="C1049" s="30"/>
      <c r="D1049" s="30"/>
      <c r="E1049" s="30"/>
      <c r="F1049" s="30"/>
      <c r="G1049" s="30"/>
      <c r="H1049" s="30"/>
      <c r="I1049" s="30"/>
      <c r="J1049" s="30"/>
      <c r="K1049" s="30"/>
    </row>
    <row r="1050" spans="1:11" ht="15">
      <c r="A1050" s="30"/>
      <c r="B1050" s="30"/>
      <c r="C1050" s="30"/>
      <c r="D1050" s="30"/>
      <c r="E1050" s="30"/>
      <c r="F1050" s="30"/>
      <c r="G1050" s="30"/>
      <c r="H1050" s="30"/>
      <c r="I1050" s="30"/>
      <c r="J1050" s="30"/>
      <c r="K1050" s="30"/>
    </row>
    <row r="1051" spans="1:11" ht="15">
      <c r="A1051" s="30"/>
      <c r="B1051" s="30"/>
      <c r="C1051" s="30"/>
      <c r="D1051" s="30"/>
      <c r="E1051" s="30"/>
      <c r="F1051" s="30"/>
      <c r="G1051" s="30"/>
      <c r="H1051" s="30"/>
      <c r="I1051" s="30"/>
      <c r="J1051" s="30"/>
      <c r="K1051" s="30"/>
    </row>
    <row r="1052" spans="1:11" ht="15">
      <c r="A1052" s="30"/>
      <c r="B1052" s="30"/>
      <c r="C1052" s="30"/>
      <c r="D1052" s="30"/>
      <c r="E1052" s="30"/>
      <c r="F1052" s="30"/>
      <c r="G1052" s="30"/>
      <c r="H1052" s="30"/>
      <c r="I1052" s="30"/>
      <c r="J1052" s="30"/>
      <c r="K1052" s="30"/>
    </row>
    <row r="1053" spans="1:11" ht="15">
      <c r="A1053" s="30"/>
      <c r="B1053" s="30"/>
      <c r="C1053" s="30"/>
      <c r="D1053" s="30"/>
      <c r="E1053" s="30"/>
      <c r="F1053" s="30"/>
      <c r="G1053" s="30"/>
      <c r="H1053" s="30"/>
      <c r="I1053" s="30"/>
      <c r="J1053" s="30"/>
      <c r="K1053" s="30"/>
    </row>
    <row r="1054" spans="1:11" ht="15">
      <c r="A1054" s="30"/>
      <c r="B1054" s="30"/>
      <c r="C1054" s="30"/>
      <c r="D1054" s="30"/>
      <c r="E1054" s="30"/>
      <c r="F1054" s="30"/>
      <c r="G1054" s="30"/>
      <c r="H1054" s="30"/>
      <c r="I1054" s="30"/>
      <c r="J1054" s="30"/>
      <c r="K1054" s="30"/>
    </row>
    <row r="1055" spans="1:11" ht="15">
      <c r="A1055" s="30"/>
      <c r="B1055" s="30"/>
      <c r="C1055" s="30"/>
      <c r="D1055" s="30"/>
      <c r="E1055" s="30"/>
      <c r="F1055" s="30"/>
      <c r="G1055" s="30"/>
      <c r="H1055" s="30"/>
      <c r="I1055" s="30"/>
      <c r="J1055" s="30"/>
      <c r="K1055" s="30"/>
    </row>
    <row r="1056" spans="1:11" ht="15">
      <c r="A1056" s="30"/>
      <c r="B1056" s="30"/>
      <c r="C1056" s="30"/>
      <c r="D1056" s="30"/>
      <c r="E1056" s="30"/>
      <c r="F1056" s="30"/>
      <c r="G1056" s="30"/>
      <c r="H1056" s="30"/>
      <c r="I1056" s="30"/>
      <c r="J1056" s="30"/>
      <c r="K1056" s="30"/>
    </row>
    <row r="1057" spans="1:11" ht="15">
      <c r="A1057" s="30"/>
      <c r="B1057" s="30"/>
      <c r="C1057" s="30"/>
      <c r="D1057" s="30"/>
      <c r="E1057" s="30"/>
      <c r="F1057" s="30"/>
      <c r="G1057" s="30"/>
      <c r="H1057" s="30"/>
      <c r="I1057" s="30"/>
      <c r="J1057" s="30"/>
      <c r="K1057" s="30"/>
    </row>
    <row r="1058" spans="1:11" ht="15">
      <c r="A1058" s="30"/>
      <c r="B1058" s="30"/>
      <c r="C1058" s="30"/>
      <c r="D1058" s="30"/>
      <c r="E1058" s="30"/>
      <c r="F1058" s="30"/>
      <c r="G1058" s="30"/>
      <c r="H1058" s="30"/>
      <c r="I1058" s="30"/>
      <c r="J1058" s="30"/>
      <c r="K1058" s="30"/>
    </row>
    <row r="1059" spans="1:11" ht="15">
      <c r="A1059" s="30"/>
      <c r="B1059" s="30"/>
      <c r="C1059" s="30"/>
      <c r="D1059" s="30"/>
      <c r="E1059" s="30"/>
      <c r="F1059" s="30"/>
      <c r="G1059" s="30"/>
      <c r="H1059" s="30"/>
      <c r="I1059" s="30"/>
      <c r="J1059" s="30"/>
      <c r="K1059" s="30"/>
    </row>
    <row r="1060" spans="1:11" ht="15">
      <c r="A1060" s="30"/>
      <c r="B1060" s="30"/>
      <c r="C1060" s="30"/>
      <c r="D1060" s="30"/>
      <c r="E1060" s="30"/>
      <c r="F1060" s="30"/>
      <c r="G1060" s="30"/>
      <c r="H1060" s="30"/>
      <c r="I1060" s="30"/>
      <c r="J1060" s="30"/>
      <c r="K1060" s="30"/>
    </row>
    <row r="1061" spans="1:11" ht="15">
      <c r="A1061" s="30"/>
      <c r="B1061" s="30"/>
      <c r="C1061" s="30"/>
      <c r="D1061" s="30"/>
      <c r="E1061" s="30"/>
      <c r="F1061" s="30"/>
      <c r="G1061" s="30"/>
      <c r="H1061" s="30"/>
      <c r="I1061" s="30"/>
      <c r="J1061" s="30"/>
      <c r="K1061" s="30"/>
    </row>
    <row r="1062" spans="1:11" ht="15">
      <c r="A1062" s="30"/>
      <c r="B1062" s="30"/>
      <c r="C1062" s="30"/>
      <c r="D1062" s="30"/>
      <c r="E1062" s="30"/>
      <c r="F1062" s="30"/>
      <c r="G1062" s="30"/>
      <c r="H1062" s="30"/>
      <c r="I1062" s="30"/>
      <c r="J1062" s="30"/>
      <c r="K1062" s="30"/>
    </row>
    <row r="1063" spans="1:11" ht="15">
      <c r="A1063" s="30"/>
      <c r="B1063" s="30"/>
      <c r="C1063" s="30"/>
      <c r="D1063" s="30"/>
      <c r="E1063" s="30"/>
      <c r="F1063" s="30"/>
      <c r="G1063" s="30"/>
      <c r="H1063" s="30"/>
      <c r="I1063" s="30"/>
      <c r="J1063" s="30"/>
      <c r="K1063" s="30"/>
    </row>
    <row r="1064" spans="1:11" ht="15">
      <c r="A1064" s="30"/>
      <c r="B1064" s="30"/>
      <c r="C1064" s="30"/>
      <c r="D1064" s="30"/>
      <c r="E1064" s="30"/>
      <c r="F1064" s="30"/>
      <c r="G1064" s="30"/>
      <c r="H1064" s="30"/>
      <c r="I1064" s="30"/>
      <c r="J1064" s="30"/>
      <c r="K1064" s="30"/>
    </row>
    <row r="1065" spans="1:11" ht="15">
      <c r="A1065" s="30"/>
      <c r="B1065" s="30"/>
      <c r="C1065" s="30"/>
      <c r="D1065" s="30"/>
      <c r="E1065" s="30"/>
      <c r="F1065" s="30"/>
      <c r="G1065" s="30"/>
      <c r="H1065" s="30"/>
      <c r="I1065" s="30"/>
      <c r="J1065" s="30"/>
      <c r="K1065" s="30"/>
    </row>
    <row r="1066" spans="1:11" ht="15">
      <c r="A1066" s="30"/>
      <c r="B1066" s="30"/>
      <c r="C1066" s="30"/>
      <c r="D1066" s="30"/>
      <c r="E1066" s="30"/>
      <c r="F1066" s="30"/>
      <c r="G1066" s="30"/>
      <c r="H1066" s="30"/>
      <c r="I1066" s="30"/>
      <c r="J1066" s="30"/>
      <c r="K1066" s="30"/>
    </row>
    <row r="1067" spans="1:11" ht="15">
      <c r="A1067" s="30"/>
      <c r="B1067" s="30"/>
      <c r="C1067" s="30"/>
      <c r="D1067" s="30"/>
      <c r="E1067" s="30"/>
      <c r="F1067" s="30"/>
      <c r="G1067" s="30"/>
      <c r="H1067" s="30"/>
      <c r="I1067" s="30"/>
      <c r="J1067" s="30"/>
      <c r="K1067" s="30"/>
    </row>
    <row r="1068" spans="1:11" ht="15">
      <c r="A1068" s="30"/>
      <c r="B1068" s="30"/>
      <c r="C1068" s="30"/>
      <c r="D1068" s="30"/>
      <c r="E1068" s="30"/>
      <c r="F1068" s="30"/>
      <c r="G1068" s="30"/>
      <c r="H1068" s="30"/>
      <c r="I1068" s="30"/>
      <c r="J1068" s="30"/>
      <c r="K1068" s="30"/>
    </row>
    <row r="1069" spans="1:11" ht="15">
      <c r="A1069" s="30"/>
      <c r="B1069" s="30"/>
      <c r="C1069" s="30"/>
      <c r="D1069" s="30"/>
      <c r="E1069" s="30"/>
      <c r="F1069" s="30"/>
      <c r="G1069" s="30"/>
      <c r="H1069" s="30"/>
      <c r="I1069" s="30"/>
      <c r="J1069" s="30"/>
      <c r="K1069" s="30"/>
    </row>
    <row r="1070" spans="1:11" ht="15">
      <c r="A1070" s="30"/>
      <c r="B1070" s="30"/>
      <c r="C1070" s="30"/>
      <c r="D1070" s="30"/>
      <c r="E1070" s="30"/>
      <c r="F1070" s="30"/>
      <c r="G1070" s="30"/>
      <c r="H1070" s="30"/>
      <c r="I1070" s="30"/>
      <c r="J1070" s="30"/>
      <c r="K1070" s="30"/>
    </row>
    <row r="1071" spans="1:11" ht="15">
      <c r="A1071" s="30"/>
      <c r="B1071" s="30"/>
      <c r="C1071" s="30"/>
      <c r="D1071" s="30"/>
      <c r="E1071" s="30"/>
      <c r="F1071" s="30"/>
      <c r="G1071" s="30"/>
      <c r="H1071" s="30"/>
      <c r="I1071" s="30"/>
      <c r="J1071" s="30"/>
      <c r="K1071" s="30"/>
    </row>
    <row r="1072" spans="1:11" ht="15">
      <c r="A1072" s="30"/>
      <c r="B1072" s="30"/>
      <c r="C1072" s="30"/>
      <c r="D1072" s="30"/>
      <c r="E1072" s="30"/>
      <c r="F1072" s="30"/>
      <c r="G1072" s="30"/>
      <c r="H1072" s="30"/>
      <c r="I1072" s="30"/>
      <c r="J1072" s="30"/>
      <c r="K1072" s="30"/>
    </row>
    <row r="1073" spans="1:11" ht="15">
      <c r="A1073" s="30"/>
      <c r="B1073" s="30"/>
      <c r="C1073" s="30"/>
      <c r="D1073" s="30"/>
      <c r="E1073" s="30"/>
      <c r="F1073" s="30"/>
      <c r="G1073" s="30"/>
      <c r="H1073" s="30"/>
      <c r="I1073" s="30"/>
      <c r="J1073" s="30"/>
      <c r="K1073" s="30"/>
    </row>
    <row r="1074" spans="1:11" ht="15">
      <c r="A1074" s="30"/>
      <c r="B1074" s="30"/>
      <c r="C1074" s="30"/>
      <c r="D1074" s="30"/>
      <c r="E1074" s="30"/>
      <c r="F1074" s="30"/>
      <c r="G1074" s="30"/>
      <c r="H1074" s="30"/>
      <c r="I1074" s="30"/>
      <c r="J1074" s="30"/>
      <c r="K1074" s="30"/>
    </row>
    <row r="1075" spans="1:11" ht="15">
      <c r="A1075" s="30"/>
      <c r="B1075" s="30"/>
      <c r="C1075" s="30"/>
      <c r="D1075" s="30"/>
      <c r="E1075" s="30"/>
      <c r="F1075" s="30"/>
      <c r="G1075" s="30"/>
      <c r="H1075" s="30"/>
      <c r="I1075" s="30"/>
      <c r="J1075" s="30"/>
      <c r="K1075" s="30"/>
    </row>
    <row r="1076" spans="1:11" ht="15">
      <c r="A1076" s="30"/>
      <c r="B1076" s="30"/>
      <c r="C1076" s="30"/>
      <c r="D1076" s="30"/>
      <c r="E1076" s="30"/>
      <c r="F1076" s="30"/>
      <c r="G1076" s="30"/>
      <c r="H1076" s="30"/>
      <c r="I1076" s="30"/>
      <c r="J1076" s="30"/>
      <c r="K1076" s="30"/>
    </row>
    <row r="1077" spans="1:11" ht="15">
      <c r="A1077" s="30"/>
      <c r="B1077" s="30"/>
      <c r="C1077" s="30"/>
      <c r="D1077" s="30"/>
      <c r="E1077" s="30"/>
      <c r="F1077" s="30"/>
      <c r="G1077" s="30"/>
      <c r="H1077" s="30"/>
      <c r="I1077" s="30"/>
      <c r="J1077" s="30"/>
      <c r="K1077" s="30"/>
    </row>
    <row r="1078" spans="1:11" ht="15">
      <c r="A1078" s="30"/>
      <c r="B1078" s="30"/>
      <c r="C1078" s="30"/>
      <c r="D1078" s="30"/>
      <c r="E1078" s="30"/>
      <c r="F1078" s="30"/>
      <c r="G1078" s="30"/>
      <c r="H1078" s="30"/>
      <c r="I1078" s="30"/>
      <c r="J1078" s="30"/>
      <c r="K1078" s="30"/>
    </row>
    <row r="1079" spans="1:11" ht="15">
      <c r="A1079" s="30"/>
      <c r="B1079" s="30"/>
      <c r="C1079" s="30"/>
      <c r="D1079" s="30"/>
      <c r="E1079" s="30"/>
      <c r="F1079" s="30"/>
      <c r="G1079" s="30"/>
      <c r="H1079" s="30"/>
      <c r="I1079" s="30"/>
      <c r="J1079" s="30"/>
      <c r="K1079" s="30"/>
    </row>
    <row r="1080" spans="1:11" ht="15">
      <c r="A1080" s="30"/>
      <c r="B1080" s="30"/>
      <c r="C1080" s="30"/>
      <c r="D1080" s="30"/>
      <c r="E1080" s="30"/>
      <c r="F1080" s="30"/>
      <c r="G1080" s="30"/>
      <c r="H1080" s="30"/>
      <c r="I1080" s="30"/>
      <c r="J1080" s="30"/>
      <c r="K1080" s="30"/>
    </row>
    <row r="1081" spans="1:11" ht="15">
      <c r="A1081" s="30"/>
      <c r="B1081" s="30"/>
      <c r="C1081" s="30"/>
      <c r="D1081" s="30"/>
      <c r="E1081" s="30"/>
      <c r="F1081" s="30"/>
      <c r="G1081" s="30"/>
      <c r="H1081" s="30"/>
      <c r="I1081" s="30"/>
      <c r="J1081" s="30"/>
      <c r="K1081" s="30"/>
    </row>
    <row r="1082" spans="1:11" ht="15">
      <c r="A1082" s="30"/>
      <c r="B1082" s="30"/>
      <c r="C1082" s="30"/>
      <c r="D1082" s="30"/>
      <c r="E1082" s="30"/>
      <c r="F1082" s="30"/>
      <c r="G1082" s="30"/>
      <c r="H1082" s="30"/>
      <c r="I1082" s="30"/>
      <c r="J1082" s="30"/>
      <c r="K1082" s="30"/>
    </row>
    <row r="1083" spans="1:11" ht="15">
      <c r="A1083" s="30"/>
      <c r="B1083" s="30"/>
      <c r="C1083" s="30"/>
      <c r="D1083" s="30"/>
      <c r="E1083" s="30"/>
      <c r="F1083" s="30"/>
      <c r="G1083" s="30"/>
      <c r="H1083" s="30"/>
      <c r="I1083" s="30"/>
      <c r="J1083" s="30"/>
      <c r="K1083" s="30"/>
    </row>
    <row r="1084" spans="1:11" ht="15">
      <c r="A1084" s="30"/>
      <c r="B1084" s="30"/>
      <c r="C1084" s="30"/>
      <c r="D1084" s="30"/>
      <c r="E1084" s="30"/>
      <c r="F1084" s="30"/>
      <c r="G1084" s="30"/>
      <c r="H1084" s="30"/>
      <c r="I1084" s="30"/>
      <c r="J1084" s="30"/>
      <c r="K1084" s="30"/>
    </row>
    <row r="1085" spans="1:11" ht="15">
      <c r="A1085" s="30"/>
      <c r="B1085" s="30"/>
      <c r="C1085" s="30"/>
      <c r="D1085" s="30"/>
      <c r="E1085" s="30"/>
      <c r="F1085" s="30"/>
      <c r="G1085" s="30"/>
      <c r="H1085" s="30"/>
      <c r="I1085" s="30"/>
      <c r="J1085" s="30"/>
      <c r="K1085" s="30"/>
    </row>
    <row r="1086" spans="1:11" ht="15">
      <c r="A1086" s="30"/>
      <c r="B1086" s="30"/>
      <c r="C1086" s="30"/>
      <c r="D1086" s="30"/>
      <c r="E1086" s="30"/>
      <c r="F1086" s="30"/>
      <c r="G1086" s="30"/>
      <c r="H1086" s="30"/>
      <c r="I1086" s="30"/>
      <c r="J1086" s="30"/>
      <c r="K1086" s="30"/>
    </row>
    <row r="1087" spans="1:11" ht="15">
      <c r="A1087" s="30"/>
      <c r="B1087" s="30"/>
      <c r="C1087" s="30"/>
      <c r="D1087" s="30"/>
      <c r="E1087" s="30"/>
      <c r="F1087" s="30"/>
      <c r="G1087" s="30"/>
      <c r="H1087" s="30"/>
      <c r="I1087" s="30"/>
      <c r="J1087" s="30"/>
      <c r="K1087" s="30"/>
    </row>
    <row r="1088" spans="1:11" ht="15">
      <c r="A1088" s="30"/>
      <c r="B1088" s="30"/>
      <c r="C1088" s="30"/>
      <c r="D1088" s="30"/>
      <c r="E1088" s="30"/>
      <c r="F1088" s="30"/>
      <c r="G1088" s="30"/>
      <c r="H1088" s="30"/>
      <c r="I1088" s="30"/>
      <c r="J1088" s="30"/>
      <c r="K1088" s="30"/>
    </row>
    <row r="1089" spans="1:11" ht="15">
      <c r="A1089" s="30"/>
      <c r="B1089" s="30"/>
      <c r="C1089" s="30"/>
      <c r="D1089" s="30"/>
      <c r="E1089" s="30"/>
      <c r="F1089" s="30"/>
      <c r="G1089" s="30"/>
      <c r="H1089" s="30"/>
      <c r="I1089" s="30"/>
      <c r="J1089" s="30"/>
      <c r="K1089" s="30"/>
    </row>
    <row r="1090" spans="1:11" ht="15">
      <c r="A1090" s="30"/>
      <c r="B1090" s="30"/>
      <c r="C1090" s="30"/>
      <c r="D1090" s="30"/>
      <c r="E1090" s="30"/>
      <c r="F1090" s="30"/>
      <c r="G1090" s="30"/>
      <c r="H1090" s="30"/>
      <c r="I1090" s="30"/>
      <c r="J1090" s="30"/>
      <c r="K1090" s="30"/>
    </row>
    <row r="1091" spans="1:11" ht="15">
      <c r="A1091" s="30"/>
      <c r="B1091" s="30"/>
      <c r="C1091" s="30"/>
      <c r="D1091" s="30"/>
      <c r="E1091" s="30"/>
      <c r="F1091" s="30"/>
      <c r="G1091" s="30"/>
      <c r="H1091" s="30"/>
      <c r="I1091" s="30"/>
      <c r="J1091" s="30"/>
      <c r="K1091" s="30"/>
    </row>
    <row r="1092" spans="1:11" ht="15">
      <c r="A1092" s="30"/>
      <c r="B1092" s="30"/>
      <c r="C1092" s="30"/>
      <c r="D1092" s="30"/>
      <c r="E1092" s="30"/>
      <c r="F1092" s="30"/>
      <c r="G1092" s="30"/>
      <c r="H1092" s="30"/>
      <c r="I1092" s="30"/>
      <c r="J1092" s="30"/>
      <c r="K1092" s="30"/>
    </row>
    <row r="1093" spans="1:11" ht="15">
      <c r="A1093" s="30"/>
      <c r="B1093" s="30"/>
      <c r="C1093" s="30"/>
      <c r="D1093" s="30"/>
      <c r="E1093" s="30"/>
      <c r="F1093" s="30"/>
      <c r="G1093" s="30"/>
      <c r="H1093" s="30"/>
      <c r="I1093" s="30"/>
      <c r="J1093" s="30"/>
      <c r="K1093" s="30"/>
    </row>
    <row r="1094" spans="1:11" ht="15">
      <c r="A1094" s="30"/>
      <c r="B1094" s="30"/>
      <c r="C1094" s="30"/>
      <c r="D1094" s="30"/>
      <c r="E1094" s="30"/>
      <c r="F1094" s="30"/>
      <c r="G1094" s="30"/>
      <c r="H1094" s="30"/>
      <c r="I1094" s="30"/>
      <c r="J1094" s="30"/>
      <c r="K1094" s="30"/>
    </row>
    <row r="1095" spans="1:11" ht="15">
      <c r="A1095" s="30"/>
      <c r="B1095" s="30"/>
      <c r="C1095" s="30"/>
      <c r="D1095" s="30"/>
      <c r="E1095" s="30"/>
      <c r="F1095" s="30"/>
      <c r="G1095" s="30"/>
      <c r="H1095" s="30"/>
      <c r="I1095" s="30"/>
      <c r="J1095" s="30"/>
      <c r="K1095" s="30"/>
    </row>
    <row r="1096" spans="1:11" ht="15">
      <c r="A1096" s="30"/>
      <c r="B1096" s="30"/>
      <c r="C1096" s="30"/>
      <c r="D1096" s="30"/>
      <c r="E1096" s="30"/>
      <c r="F1096" s="30"/>
      <c r="G1096" s="30"/>
      <c r="H1096" s="30"/>
      <c r="I1096" s="30"/>
      <c r="J1096" s="30"/>
      <c r="K1096" s="30"/>
    </row>
    <row r="1097" spans="1:11" ht="15">
      <c r="A1097" s="30"/>
      <c r="B1097" s="30"/>
      <c r="C1097" s="30"/>
      <c r="D1097" s="30"/>
      <c r="E1097" s="30"/>
      <c r="F1097" s="30"/>
      <c r="G1097" s="30"/>
      <c r="H1097" s="30"/>
      <c r="I1097" s="30"/>
      <c r="J1097" s="30"/>
      <c r="K1097" s="30"/>
    </row>
    <row r="1098" spans="1:11" ht="15">
      <c r="A1098" s="30"/>
      <c r="B1098" s="30"/>
      <c r="C1098" s="30"/>
      <c r="D1098" s="30"/>
      <c r="E1098" s="30"/>
      <c r="F1098" s="30"/>
      <c r="G1098" s="30"/>
      <c r="H1098" s="30"/>
      <c r="I1098" s="30"/>
      <c r="J1098" s="30"/>
      <c r="K1098" s="30"/>
    </row>
    <row r="1099" spans="1:11" ht="15">
      <c r="A1099" s="30"/>
      <c r="B1099" s="30"/>
      <c r="C1099" s="30"/>
      <c r="D1099" s="30"/>
      <c r="E1099" s="30"/>
      <c r="F1099" s="30"/>
      <c r="G1099" s="30"/>
      <c r="H1099" s="30"/>
      <c r="I1099" s="30"/>
      <c r="J1099" s="30"/>
      <c r="K1099" s="30"/>
    </row>
    <row r="1100" spans="1:11" ht="15">
      <c r="A1100" s="30"/>
      <c r="B1100" s="30"/>
      <c r="C1100" s="30"/>
      <c r="D1100" s="30"/>
      <c r="E1100" s="30"/>
      <c r="F1100" s="30"/>
      <c r="G1100" s="30"/>
      <c r="H1100" s="30"/>
      <c r="I1100" s="30"/>
      <c r="J1100" s="30"/>
      <c r="K1100" s="30"/>
    </row>
    <row r="1101" spans="1:11" ht="15">
      <c r="A1101" s="30"/>
      <c r="B1101" s="30"/>
      <c r="C1101" s="30"/>
      <c r="D1101" s="30"/>
      <c r="E1101" s="30"/>
      <c r="F1101" s="30"/>
      <c r="G1101" s="30"/>
      <c r="H1101" s="30"/>
      <c r="I1101" s="30"/>
      <c r="J1101" s="30"/>
      <c r="K1101" s="30"/>
    </row>
    <row r="1102" spans="1:11" ht="15">
      <c r="A1102" s="30"/>
      <c r="B1102" s="30"/>
      <c r="C1102" s="30"/>
      <c r="D1102" s="30"/>
      <c r="E1102" s="30"/>
      <c r="F1102" s="30"/>
      <c r="G1102" s="30"/>
      <c r="H1102" s="30"/>
      <c r="I1102" s="30"/>
      <c r="J1102" s="30"/>
      <c r="K1102" s="30"/>
    </row>
    <row r="1103" spans="1:11" ht="15">
      <c r="A1103" s="30"/>
      <c r="B1103" s="30"/>
      <c r="C1103" s="30"/>
      <c r="D1103" s="30"/>
      <c r="E1103" s="30"/>
      <c r="F1103" s="30"/>
      <c r="G1103" s="30"/>
      <c r="H1103" s="30"/>
      <c r="I1103" s="30"/>
      <c r="J1103" s="30"/>
      <c r="K1103" s="30"/>
    </row>
    <row r="1104" spans="1:11" ht="15">
      <c r="A1104" s="30"/>
      <c r="B1104" s="30"/>
      <c r="C1104" s="30"/>
      <c r="D1104" s="30"/>
      <c r="E1104" s="30"/>
      <c r="F1104" s="30"/>
      <c r="G1104" s="30"/>
      <c r="H1104" s="30"/>
      <c r="I1104" s="30"/>
      <c r="J1104" s="30"/>
      <c r="K1104" s="30"/>
    </row>
    <row r="1105" spans="1:11" ht="15">
      <c r="A1105" s="30"/>
      <c r="B1105" s="30"/>
      <c r="C1105" s="30"/>
      <c r="D1105" s="30"/>
      <c r="E1105" s="30"/>
      <c r="F1105" s="30"/>
      <c r="G1105" s="30"/>
      <c r="H1105" s="30"/>
      <c r="I1105" s="30"/>
      <c r="J1105" s="30"/>
      <c r="K1105" s="30"/>
    </row>
    <row r="1106" spans="1:11" ht="15">
      <c r="A1106" s="30"/>
      <c r="B1106" s="30"/>
      <c r="C1106" s="30"/>
      <c r="D1106" s="30"/>
      <c r="E1106" s="30"/>
      <c r="F1106" s="30"/>
      <c r="G1106" s="30"/>
      <c r="H1106" s="30"/>
      <c r="I1106" s="30"/>
      <c r="J1106" s="30"/>
      <c r="K1106" s="30"/>
    </row>
    <row r="1107" spans="1:11" ht="15">
      <c r="A1107" s="30"/>
      <c r="B1107" s="30"/>
      <c r="C1107" s="30"/>
      <c r="D1107" s="30"/>
      <c r="E1107" s="30"/>
      <c r="F1107" s="30"/>
      <c r="G1107" s="30"/>
      <c r="H1107" s="30"/>
      <c r="I1107" s="30"/>
      <c r="J1107" s="30"/>
      <c r="K1107" s="30"/>
    </row>
    <row r="1108" spans="1:11" ht="15">
      <c r="A1108" s="30"/>
      <c r="B1108" s="30"/>
      <c r="C1108" s="30"/>
      <c r="D1108" s="30"/>
      <c r="E1108" s="30"/>
      <c r="F1108" s="30"/>
      <c r="G1108" s="30"/>
      <c r="H1108" s="30"/>
      <c r="I1108" s="30"/>
      <c r="J1108" s="30"/>
      <c r="K1108" s="30"/>
    </row>
    <row r="1109" spans="1:11" ht="15">
      <c r="A1109" s="30"/>
      <c r="B1109" s="30"/>
      <c r="C1109" s="30"/>
      <c r="D1109" s="30"/>
      <c r="E1109" s="30"/>
      <c r="F1109" s="30"/>
      <c r="G1109" s="30"/>
      <c r="H1109" s="30"/>
      <c r="I1109" s="30"/>
      <c r="J1109" s="30"/>
      <c r="K1109" s="30"/>
    </row>
    <row r="1110" spans="1:11" ht="15">
      <c r="A1110" s="30"/>
      <c r="B1110" s="30"/>
      <c r="C1110" s="30"/>
      <c r="D1110" s="30"/>
      <c r="E1110" s="30"/>
      <c r="F1110" s="30"/>
      <c r="G1110" s="30"/>
      <c r="H1110" s="30"/>
      <c r="I1110" s="30"/>
      <c r="J1110" s="30"/>
      <c r="K1110" s="30"/>
    </row>
    <row r="1111" spans="1:11" ht="15">
      <c r="A1111" s="30"/>
      <c r="B1111" s="30"/>
      <c r="C1111" s="30"/>
      <c r="D1111" s="30"/>
      <c r="E1111" s="30"/>
      <c r="F1111" s="30"/>
      <c r="G1111" s="30"/>
      <c r="H1111" s="30"/>
      <c r="I1111" s="30"/>
      <c r="J1111" s="30"/>
      <c r="K1111" s="30"/>
    </row>
    <row r="1112" spans="1:11" ht="15">
      <c r="A1112" s="30"/>
      <c r="B1112" s="30"/>
      <c r="C1112" s="30"/>
      <c r="D1112" s="30"/>
      <c r="E1112" s="30"/>
      <c r="F1112" s="30"/>
      <c r="G1112" s="30"/>
      <c r="H1112" s="30"/>
      <c r="I1112" s="30"/>
      <c r="J1112" s="30"/>
      <c r="K1112" s="30"/>
    </row>
    <row r="1113" spans="1:11" ht="15">
      <c r="A1113" s="30"/>
      <c r="B1113" s="30"/>
      <c r="C1113" s="30"/>
      <c r="D1113" s="30"/>
      <c r="E1113" s="30"/>
      <c r="F1113" s="30"/>
      <c r="G1113" s="30"/>
      <c r="H1113" s="30"/>
      <c r="I1113" s="30"/>
      <c r="J1113" s="30"/>
      <c r="K1113" s="30"/>
    </row>
    <row r="1114" spans="1:11" ht="15">
      <c r="A1114" s="30"/>
      <c r="B1114" s="30"/>
      <c r="C1114" s="30"/>
      <c r="D1114" s="30"/>
      <c r="E1114" s="30"/>
      <c r="F1114" s="30"/>
      <c r="G1114" s="30"/>
      <c r="H1114" s="30"/>
      <c r="I1114" s="30"/>
      <c r="J1114" s="30"/>
      <c r="K1114" s="30"/>
    </row>
    <row r="1115" spans="1:11" ht="15">
      <c r="A1115" s="30"/>
      <c r="B1115" s="30"/>
      <c r="C1115" s="30"/>
      <c r="D1115" s="30"/>
      <c r="E1115" s="30"/>
      <c r="F1115" s="30"/>
      <c r="G1115" s="30"/>
      <c r="H1115" s="30"/>
      <c r="I1115" s="30"/>
      <c r="J1115" s="30"/>
      <c r="K1115" s="30"/>
    </row>
    <row r="1116" spans="1:11" ht="15">
      <c r="A1116" s="30"/>
      <c r="B1116" s="30"/>
      <c r="C1116" s="30"/>
      <c r="D1116" s="30"/>
      <c r="E1116" s="30"/>
      <c r="F1116" s="30"/>
      <c r="G1116" s="30"/>
      <c r="H1116" s="30"/>
      <c r="I1116" s="30"/>
      <c r="J1116" s="30"/>
      <c r="K1116" s="30"/>
    </row>
    <row r="1117" spans="1:11" ht="15">
      <c r="A1117" s="30"/>
      <c r="B1117" s="30"/>
      <c r="C1117" s="30"/>
      <c r="D1117" s="30"/>
      <c r="E1117" s="30"/>
      <c r="F1117" s="30"/>
      <c r="G1117" s="30"/>
      <c r="H1117" s="30"/>
      <c r="I1117" s="30"/>
      <c r="J1117" s="30"/>
      <c r="K1117" s="30"/>
    </row>
    <row r="1118" spans="1:11" ht="15">
      <c r="A1118" s="30"/>
      <c r="B1118" s="30"/>
      <c r="C1118" s="30"/>
      <c r="D1118" s="30"/>
      <c r="E1118" s="30"/>
      <c r="F1118" s="30"/>
      <c r="G1118" s="30"/>
      <c r="H1118" s="30"/>
      <c r="I1118" s="30"/>
      <c r="J1118" s="30"/>
      <c r="K1118" s="30"/>
    </row>
    <row r="1119" spans="1:11" ht="15">
      <c r="A1119" s="30"/>
      <c r="B1119" s="30"/>
      <c r="C1119" s="30"/>
      <c r="D1119" s="30"/>
      <c r="E1119" s="30"/>
      <c r="F1119" s="30"/>
      <c r="G1119" s="30"/>
      <c r="H1119" s="30"/>
      <c r="I1119" s="30"/>
      <c r="J1119" s="30"/>
      <c r="K1119" s="30"/>
    </row>
    <row r="1120" spans="1:11" ht="15">
      <c r="A1120" s="30"/>
      <c r="B1120" s="30"/>
      <c r="C1120" s="30"/>
      <c r="D1120" s="30"/>
      <c r="E1120" s="30"/>
      <c r="F1120" s="30"/>
      <c r="G1120" s="30"/>
      <c r="H1120" s="30"/>
      <c r="I1120" s="30"/>
      <c r="J1120" s="30"/>
      <c r="K1120" s="30"/>
    </row>
    <row r="1121" spans="1:11" ht="15">
      <c r="A1121" s="30"/>
      <c r="B1121" s="30"/>
      <c r="C1121" s="30"/>
      <c r="D1121" s="30"/>
      <c r="E1121" s="30"/>
      <c r="F1121" s="30"/>
      <c r="G1121" s="30"/>
      <c r="H1121" s="30"/>
      <c r="I1121" s="30"/>
      <c r="J1121" s="30"/>
      <c r="K1121" s="30"/>
    </row>
    <row r="1122" spans="1:11" ht="15">
      <c r="A1122" s="30"/>
      <c r="B1122" s="30"/>
      <c r="C1122" s="30"/>
      <c r="D1122" s="30"/>
      <c r="E1122" s="30"/>
      <c r="F1122" s="30"/>
      <c r="G1122" s="30"/>
      <c r="H1122" s="30"/>
      <c r="I1122" s="30"/>
      <c r="J1122" s="30"/>
      <c r="K1122" s="30"/>
    </row>
    <row r="1123" spans="1:11" ht="15">
      <c r="A1123" s="30"/>
      <c r="B1123" s="30"/>
      <c r="C1123" s="30"/>
      <c r="D1123" s="30"/>
      <c r="E1123" s="30"/>
      <c r="F1123" s="30"/>
      <c r="G1123" s="30"/>
      <c r="H1123" s="30"/>
      <c r="I1123" s="30"/>
      <c r="J1123" s="30"/>
      <c r="K1123" s="30"/>
    </row>
    <row r="1124" spans="1:11" ht="15">
      <c r="A1124" s="30"/>
      <c r="B1124" s="30"/>
      <c r="C1124" s="30"/>
      <c r="D1124" s="30"/>
      <c r="E1124" s="30"/>
      <c r="F1124" s="30"/>
      <c r="G1124" s="30"/>
      <c r="H1124" s="30"/>
      <c r="I1124" s="30"/>
      <c r="J1124" s="30"/>
      <c r="K1124" s="30"/>
    </row>
    <row r="1125" spans="1:11" ht="15">
      <c r="A1125" s="30"/>
      <c r="B1125" s="30"/>
      <c r="C1125" s="30"/>
      <c r="D1125" s="30"/>
      <c r="E1125" s="30"/>
      <c r="F1125" s="30"/>
      <c r="G1125" s="30"/>
      <c r="H1125" s="30"/>
      <c r="I1125" s="30"/>
      <c r="J1125" s="30"/>
      <c r="K1125" s="30"/>
    </row>
    <row r="1126" spans="1:11" ht="15">
      <c r="A1126" s="30"/>
      <c r="B1126" s="30"/>
      <c r="C1126" s="30"/>
      <c r="D1126" s="30"/>
      <c r="E1126" s="30"/>
      <c r="F1126" s="30"/>
      <c r="G1126" s="30"/>
      <c r="H1126" s="30"/>
      <c r="I1126" s="30"/>
      <c r="J1126" s="30"/>
      <c r="K1126" s="30"/>
    </row>
    <row r="1127" spans="1:11" ht="15">
      <c r="A1127" s="30"/>
      <c r="B1127" s="30"/>
      <c r="C1127" s="30"/>
      <c r="D1127" s="30"/>
      <c r="E1127" s="30"/>
      <c r="F1127" s="30"/>
      <c r="G1127" s="30"/>
      <c r="H1127" s="30"/>
      <c r="I1127" s="30"/>
      <c r="J1127" s="30"/>
      <c r="K1127" s="30"/>
    </row>
    <row r="1128" spans="1:11" ht="15">
      <c r="A1128" s="30"/>
      <c r="B1128" s="30"/>
      <c r="C1128" s="30"/>
      <c r="D1128" s="30"/>
      <c r="E1128" s="30"/>
      <c r="F1128" s="30"/>
      <c r="G1128" s="30"/>
      <c r="H1128" s="30"/>
      <c r="I1128" s="30"/>
      <c r="J1128" s="30"/>
      <c r="K1128" s="30"/>
    </row>
    <row r="1129" spans="1:11" ht="15">
      <c r="A1129" s="30"/>
      <c r="B1129" s="30"/>
      <c r="C1129" s="30"/>
      <c r="D1129" s="30"/>
      <c r="E1129" s="30"/>
      <c r="F1129" s="30"/>
      <c r="G1129" s="30"/>
      <c r="H1129" s="30"/>
      <c r="I1129" s="30"/>
      <c r="J1129" s="30"/>
      <c r="K1129" s="30"/>
    </row>
    <row r="1130" spans="1:11" ht="15">
      <c r="A1130" s="30"/>
      <c r="B1130" s="30"/>
      <c r="C1130" s="30"/>
      <c r="D1130" s="30"/>
      <c r="E1130" s="30"/>
      <c r="F1130" s="30"/>
      <c r="G1130" s="30"/>
      <c r="H1130" s="30"/>
      <c r="I1130" s="30"/>
      <c r="J1130" s="30"/>
      <c r="K1130" s="30"/>
    </row>
    <row r="1131" spans="1:11" ht="15">
      <c r="A1131" s="30"/>
      <c r="B1131" s="30"/>
      <c r="C1131" s="30"/>
      <c r="D1131" s="30"/>
      <c r="E1131" s="30"/>
      <c r="F1131" s="30"/>
      <c r="G1131" s="30"/>
      <c r="H1131" s="30"/>
      <c r="I1131" s="30"/>
      <c r="J1131" s="30"/>
      <c r="K1131" s="30"/>
    </row>
    <row r="1132" spans="1:11" ht="15">
      <c r="A1132" s="30"/>
      <c r="B1132" s="30"/>
      <c r="C1132" s="30"/>
      <c r="D1132" s="30"/>
      <c r="E1132" s="30"/>
      <c r="F1132" s="30"/>
      <c r="G1132" s="30"/>
      <c r="H1132" s="30"/>
      <c r="I1132" s="30"/>
      <c r="J1132" s="30"/>
      <c r="K1132" s="30"/>
    </row>
    <row r="1133" spans="1:11" ht="15">
      <c r="A1133" s="30"/>
      <c r="B1133" s="30"/>
      <c r="C1133" s="30"/>
      <c r="D1133" s="30"/>
      <c r="E1133" s="30"/>
      <c r="F1133" s="30"/>
      <c r="G1133" s="30"/>
      <c r="H1133" s="30"/>
      <c r="I1133" s="30"/>
      <c r="J1133" s="30"/>
      <c r="K1133" s="30"/>
    </row>
    <row r="1134" spans="1:11" ht="15">
      <c r="A1134" s="30"/>
      <c r="B1134" s="30"/>
      <c r="C1134" s="30"/>
      <c r="D1134" s="30"/>
      <c r="E1134" s="30"/>
      <c r="F1134" s="30"/>
      <c r="G1134" s="30"/>
      <c r="H1134" s="30"/>
      <c r="I1134" s="30"/>
      <c r="J1134" s="30"/>
      <c r="K1134" s="30"/>
    </row>
    <row r="1135" spans="1:11" ht="15">
      <c r="A1135" s="30"/>
      <c r="B1135" s="30"/>
      <c r="C1135" s="30"/>
      <c r="D1135" s="30"/>
      <c r="E1135" s="30"/>
      <c r="F1135" s="30"/>
      <c r="G1135" s="30"/>
      <c r="H1135" s="30"/>
      <c r="I1135" s="30"/>
      <c r="J1135" s="30"/>
      <c r="K1135" s="30"/>
    </row>
    <row r="1136" spans="1:11" ht="15">
      <c r="A1136" s="30"/>
      <c r="B1136" s="30"/>
      <c r="C1136" s="30"/>
      <c r="D1136" s="30"/>
      <c r="E1136" s="30"/>
      <c r="F1136" s="30"/>
      <c r="G1136" s="30"/>
      <c r="H1136" s="30"/>
      <c r="I1136" s="30"/>
      <c r="J1136" s="30"/>
      <c r="K1136" s="30"/>
    </row>
    <row r="1137" spans="1:11" ht="15">
      <c r="A1137" s="30"/>
      <c r="B1137" s="30"/>
      <c r="C1137" s="30"/>
      <c r="D1137" s="30"/>
      <c r="E1137" s="30"/>
      <c r="F1137" s="30"/>
      <c r="G1137" s="30"/>
      <c r="H1137" s="30"/>
      <c r="I1137" s="30"/>
      <c r="J1137" s="30"/>
      <c r="K1137" s="30"/>
    </row>
    <row r="1138" spans="1:11" ht="15">
      <c r="A1138" s="30"/>
      <c r="B1138" s="30"/>
      <c r="C1138" s="30"/>
      <c r="D1138" s="30"/>
      <c r="E1138" s="30"/>
      <c r="F1138" s="30"/>
      <c r="G1138" s="30"/>
      <c r="H1138" s="30"/>
      <c r="I1138" s="30"/>
      <c r="J1138" s="30"/>
      <c r="K1138" s="30"/>
    </row>
    <row r="1139" spans="1:11" ht="15">
      <c r="A1139" s="30"/>
      <c r="B1139" s="30"/>
      <c r="C1139" s="30"/>
      <c r="D1139" s="30"/>
      <c r="E1139" s="30"/>
      <c r="F1139" s="30"/>
      <c r="G1139" s="30"/>
      <c r="H1139" s="30"/>
      <c r="I1139" s="30"/>
      <c r="J1139" s="30"/>
      <c r="K1139" s="30"/>
    </row>
    <row r="1140" spans="1:11" ht="15">
      <c r="A1140" s="30"/>
      <c r="B1140" s="30"/>
      <c r="C1140" s="30"/>
      <c r="D1140" s="30"/>
      <c r="E1140" s="30"/>
      <c r="F1140" s="30"/>
      <c r="G1140" s="30"/>
      <c r="H1140" s="30"/>
      <c r="I1140" s="30"/>
      <c r="J1140" s="30"/>
      <c r="K1140" s="30"/>
    </row>
    <row r="1141" spans="1:11" ht="15">
      <c r="A1141" s="30"/>
      <c r="B1141" s="30"/>
      <c r="C1141" s="30"/>
      <c r="D1141" s="30"/>
      <c r="E1141" s="30"/>
      <c r="F1141" s="30"/>
      <c r="G1141" s="30"/>
      <c r="H1141" s="30"/>
      <c r="I1141" s="30"/>
      <c r="J1141" s="30"/>
      <c r="K1141" s="30"/>
    </row>
    <row r="1142" spans="1:11" ht="15">
      <c r="A1142" s="30"/>
      <c r="B1142" s="30"/>
      <c r="C1142" s="30"/>
      <c r="D1142" s="30"/>
      <c r="E1142" s="30"/>
      <c r="F1142" s="30"/>
      <c r="G1142" s="30"/>
      <c r="H1142" s="30"/>
      <c r="I1142" s="30"/>
      <c r="J1142" s="30"/>
      <c r="K1142" s="30"/>
    </row>
    <row r="1143" spans="1:11" ht="15">
      <c r="A1143" s="30"/>
      <c r="B1143" s="30"/>
      <c r="C1143" s="30"/>
      <c r="D1143" s="30"/>
      <c r="E1143" s="30"/>
      <c r="F1143" s="30"/>
      <c r="G1143" s="30"/>
      <c r="H1143" s="30"/>
      <c r="I1143" s="30"/>
      <c r="J1143" s="30"/>
      <c r="K1143" s="30"/>
    </row>
    <row r="1144" spans="1:11" ht="15">
      <c r="A1144" s="30"/>
      <c r="B1144" s="30"/>
      <c r="C1144" s="30"/>
      <c r="D1144" s="30"/>
      <c r="E1144" s="30"/>
      <c r="F1144" s="30"/>
      <c r="G1144" s="30"/>
      <c r="H1144" s="30"/>
      <c r="I1144" s="30"/>
      <c r="J1144" s="30"/>
      <c r="K1144" s="30"/>
    </row>
    <row r="1145" spans="1:11" ht="15">
      <c r="A1145" s="30"/>
      <c r="B1145" s="30"/>
      <c r="C1145" s="30"/>
      <c r="D1145" s="30"/>
      <c r="E1145" s="30"/>
      <c r="F1145" s="30"/>
      <c r="G1145" s="30"/>
      <c r="H1145" s="30"/>
      <c r="I1145" s="30"/>
      <c r="J1145" s="30"/>
      <c r="K1145" s="30"/>
    </row>
    <row r="1146" spans="1:11" ht="15">
      <c r="A1146" s="30"/>
      <c r="B1146" s="30"/>
      <c r="C1146" s="30"/>
      <c r="D1146" s="30"/>
      <c r="E1146" s="30"/>
      <c r="F1146" s="30"/>
      <c r="G1146" s="30"/>
      <c r="H1146" s="30"/>
      <c r="I1146" s="30"/>
      <c r="J1146" s="30"/>
      <c r="K1146" s="30"/>
    </row>
    <row r="1147" spans="1:11" ht="15">
      <c r="A1147" s="30"/>
      <c r="B1147" s="30"/>
      <c r="C1147" s="30"/>
      <c r="D1147" s="30"/>
      <c r="E1147" s="30"/>
      <c r="F1147" s="30"/>
      <c r="G1147" s="30"/>
      <c r="H1147" s="30"/>
      <c r="I1147" s="30"/>
      <c r="J1147" s="30"/>
      <c r="K1147" s="30"/>
    </row>
    <row r="1148" spans="1:11" ht="15">
      <c r="A1148" s="30"/>
      <c r="B1148" s="30"/>
      <c r="C1148" s="30"/>
      <c r="D1148" s="30"/>
      <c r="E1148" s="30"/>
      <c r="F1148" s="30"/>
      <c r="G1148" s="30"/>
      <c r="H1148" s="30"/>
      <c r="I1148" s="30"/>
      <c r="J1148" s="30"/>
      <c r="K1148" s="30"/>
    </row>
    <row r="1149" spans="1:11" ht="15">
      <c r="A1149" s="30"/>
      <c r="B1149" s="30"/>
      <c r="C1149" s="30"/>
      <c r="D1149" s="30"/>
      <c r="E1149" s="30"/>
      <c r="F1149" s="30"/>
      <c r="G1149" s="30"/>
      <c r="H1149" s="30"/>
      <c r="I1149" s="30"/>
      <c r="J1149" s="30"/>
      <c r="K1149" s="30"/>
    </row>
    <row r="1150" spans="1:11" ht="15">
      <c r="A1150" s="30"/>
      <c r="B1150" s="30"/>
      <c r="C1150" s="30"/>
      <c r="D1150" s="30"/>
      <c r="E1150" s="30"/>
      <c r="F1150" s="30"/>
      <c r="G1150" s="30"/>
      <c r="H1150" s="30"/>
      <c r="I1150" s="30"/>
      <c r="J1150" s="30"/>
      <c r="K1150" s="30"/>
    </row>
    <row r="1151" spans="1:11" ht="15">
      <c r="A1151" s="30"/>
      <c r="B1151" s="30"/>
      <c r="C1151" s="30"/>
      <c r="D1151" s="30"/>
      <c r="E1151" s="30"/>
      <c r="F1151" s="30"/>
      <c r="G1151" s="30"/>
      <c r="H1151" s="30"/>
      <c r="I1151" s="30"/>
      <c r="J1151" s="30"/>
      <c r="K1151" s="30"/>
    </row>
    <row r="1152" spans="1:11" ht="15">
      <c r="A1152" s="30"/>
      <c r="B1152" s="30"/>
      <c r="C1152" s="30"/>
      <c r="D1152" s="30"/>
      <c r="E1152" s="30"/>
      <c r="F1152" s="30"/>
      <c r="G1152" s="30"/>
      <c r="H1152" s="30"/>
      <c r="I1152" s="30"/>
      <c r="J1152" s="30"/>
      <c r="K1152" s="30"/>
    </row>
    <row r="1153" spans="1:11" ht="15">
      <c r="A1153" s="30"/>
      <c r="B1153" s="30"/>
      <c r="C1153" s="30"/>
      <c r="D1153" s="30"/>
      <c r="E1153" s="30"/>
      <c r="F1153" s="30"/>
      <c r="G1153" s="30"/>
      <c r="H1153" s="30"/>
      <c r="I1153" s="30"/>
      <c r="J1153" s="30"/>
      <c r="K1153" s="30"/>
    </row>
    <row r="1154" spans="1:11" ht="15">
      <c r="A1154" s="30"/>
      <c r="B1154" s="30"/>
      <c r="C1154" s="30"/>
      <c r="D1154" s="30"/>
      <c r="E1154" s="30"/>
      <c r="F1154" s="30"/>
      <c r="G1154" s="30"/>
      <c r="H1154" s="30"/>
      <c r="I1154" s="30"/>
      <c r="J1154" s="30"/>
      <c r="K1154" s="30"/>
    </row>
    <row r="1155" spans="1:11" ht="15">
      <c r="A1155" s="30"/>
      <c r="B1155" s="30"/>
      <c r="C1155" s="30"/>
      <c r="D1155" s="30"/>
      <c r="E1155" s="30"/>
      <c r="F1155" s="30"/>
      <c r="G1155" s="30"/>
      <c r="H1155" s="30"/>
      <c r="I1155" s="30"/>
      <c r="J1155" s="30"/>
      <c r="K1155" s="30"/>
    </row>
    <row r="1156" spans="1:11" ht="15">
      <c r="A1156" s="30"/>
      <c r="B1156" s="30"/>
      <c r="C1156" s="30"/>
      <c r="D1156" s="30"/>
      <c r="E1156" s="30"/>
      <c r="F1156" s="30"/>
      <c r="G1156" s="30"/>
      <c r="H1156" s="30"/>
      <c r="I1156" s="30"/>
      <c r="J1156" s="30"/>
      <c r="K1156" s="30"/>
    </row>
    <row r="1157" spans="1:11" ht="15">
      <c r="A1157" s="30"/>
      <c r="B1157" s="30"/>
      <c r="C1157" s="30"/>
      <c r="D1157" s="30"/>
      <c r="E1157" s="30"/>
      <c r="F1157" s="30"/>
      <c r="G1157" s="30"/>
      <c r="H1157" s="30"/>
      <c r="I1157" s="30"/>
      <c r="J1157" s="30"/>
      <c r="K1157" s="30"/>
    </row>
    <row r="1158" spans="1:11" ht="15">
      <c r="A1158" s="30"/>
      <c r="B1158" s="30"/>
      <c r="C1158" s="30"/>
      <c r="D1158" s="30"/>
      <c r="E1158" s="30"/>
      <c r="F1158" s="30"/>
      <c r="G1158" s="30"/>
      <c r="H1158" s="30"/>
      <c r="I1158" s="30"/>
      <c r="J1158" s="30"/>
      <c r="K1158" s="30"/>
    </row>
    <row r="1159" spans="1:11" ht="15">
      <c r="A1159" s="30"/>
      <c r="B1159" s="30"/>
      <c r="C1159" s="30"/>
      <c r="D1159" s="30"/>
      <c r="E1159" s="30"/>
      <c r="F1159" s="30"/>
      <c r="G1159" s="30"/>
      <c r="H1159" s="30"/>
      <c r="I1159" s="30"/>
      <c r="J1159" s="30"/>
      <c r="K1159" s="30"/>
    </row>
    <row r="1160" spans="1:11" ht="15">
      <c r="A1160" s="30"/>
      <c r="B1160" s="30"/>
      <c r="C1160" s="30"/>
      <c r="D1160" s="30"/>
      <c r="E1160" s="30"/>
      <c r="F1160" s="30"/>
      <c r="G1160" s="30"/>
      <c r="H1160" s="30"/>
      <c r="I1160" s="30"/>
      <c r="J1160" s="30"/>
      <c r="K1160" s="30"/>
    </row>
    <row r="1161" spans="1:11" ht="15">
      <c r="A1161" s="30"/>
      <c r="B1161" s="30"/>
      <c r="C1161" s="30"/>
      <c r="D1161" s="30"/>
      <c r="E1161" s="30"/>
      <c r="F1161" s="30"/>
      <c r="G1161" s="30"/>
      <c r="H1161" s="30"/>
      <c r="I1161" s="30"/>
      <c r="J1161" s="30"/>
      <c r="K1161" s="30"/>
    </row>
    <row r="1162" spans="1:11" ht="15">
      <c r="A1162" s="30"/>
      <c r="B1162" s="30"/>
      <c r="C1162" s="30"/>
      <c r="D1162" s="30"/>
      <c r="E1162" s="30"/>
      <c r="F1162" s="30"/>
      <c r="G1162" s="30"/>
      <c r="H1162" s="30"/>
      <c r="I1162" s="30"/>
      <c r="J1162" s="30"/>
      <c r="K1162" s="30"/>
    </row>
    <row r="1163" spans="1:11" ht="15">
      <c r="A1163" s="30"/>
      <c r="B1163" s="30"/>
      <c r="C1163" s="30"/>
      <c r="D1163" s="30"/>
      <c r="E1163" s="30"/>
      <c r="F1163" s="30"/>
      <c r="G1163" s="30"/>
      <c r="H1163" s="30"/>
      <c r="I1163" s="30"/>
      <c r="J1163" s="30"/>
      <c r="K1163" s="30"/>
    </row>
    <row r="1164" spans="1:11" ht="15">
      <c r="A1164" s="30"/>
      <c r="B1164" s="30"/>
      <c r="C1164" s="30"/>
      <c r="D1164" s="30"/>
      <c r="E1164" s="30"/>
      <c r="F1164" s="30"/>
      <c r="G1164" s="30"/>
      <c r="H1164" s="30"/>
      <c r="I1164" s="30"/>
      <c r="J1164" s="30"/>
      <c r="K1164" s="30"/>
    </row>
    <row r="1165" spans="1:11" ht="15">
      <c r="A1165" s="30"/>
      <c r="B1165" s="30"/>
      <c r="C1165" s="30"/>
      <c r="D1165" s="30"/>
      <c r="E1165" s="30"/>
      <c r="F1165" s="30"/>
      <c r="G1165" s="30"/>
      <c r="H1165" s="30"/>
      <c r="I1165" s="30"/>
      <c r="J1165" s="30"/>
      <c r="K1165" s="30"/>
    </row>
    <row r="1166" spans="1:11" ht="15">
      <c r="A1166" s="30"/>
      <c r="B1166" s="30"/>
      <c r="C1166" s="30"/>
      <c r="D1166" s="30"/>
      <c r="E1166" s="30"/>
      <c r="F1166" s="30"/>
      <c r="G1166" s="30"/>
      <c r="H1166" s="30"/>
      <c r="I1166" s="30"/>
      <c r="J1166" s="30"/>
      <c r="K1166" s="30"/>
    </row>
    <row r="1167" spans="1:11" ht="15">
      <c r="A1167" s="30"/>
      <c r="B1167" s="30"/>
      <c r="C1167" s="30"/>
      <c r="D1167" s="30"/>
      <c r="E1167" s="30"/>
      <c r="F1167" s="30"/>
      <c r="G1167" s="30"/>
      <c r="H1167" s="30"/>
      <c r="I1167" s="30"/>
      <c r="J1167" s="30"/>
      <c r="K1167" s="30"/>
    </row>
    <row r="1168" spans="1:11" ht="15">
      <c r="A1168" s="30"/>
      <c r="B1168" s="30"/>
      <c r="C1168" s="30"/>
      <c r="D1168" s="30"/>
      <c r="E1168" s="30"/>
      <c r="F1168" s="30"/>
      <c r="G1168" s="30"/>
      <c r="H1168" s="30"/>
      <c r="I1168" s="30"/>
      <c r="J1168" s="30"/>
      <c r="K1168" s="30"/>
    </row>
    <row r="1169" spans="1:11" ht="15">
      <c r="A1169" s="30"/>
      <c r="B1169" s="30"/>
      <c r="C1169" s="30"/>
      <c r="D1169" s="30"/>
      <c r="E1169" s="30"/>
      <c r="F1169" s="30"/>
      <c r="G1169" s="30"/>
      <c r="H1169" s="30"/>
      <c r="I1169" s="30"/>
      <c r="J1169" s="30"/>
      <c r="K1169" s="30"/>
    </row>
    <row r="1170" spans="1:11" ht="15">
      <c r="A1170" s="30"/>
      <c r="B1170" s="30"/>
      <c r="C1170" s="30"/>
      <c r="D1170" s="30"/>
      <c r="E1170" s="30"/>
      <c r="F1170" s="30"/>
      <c r="G1170" s="30"/>
      <c r="H1170" s="30"/>
      <c r="I1170" s="30"/>
      <c r="J1170" s="30"/>
      <c r="K1170" s="30"/>
    </row>
    <row r="1171" spans="1:11" ht="15">
      <c r="A1171" s="30"/>
      <c r="B1171" s="30"/>
      <c r="C1171" s="30"/>
      <c r="D1171" s="30"/>
      <c r="E1171" s="30"/>
      <c r="F1171" s="30"/>
      <c r="G1171" s="30"/>
      <c r="H1171" s="30"/>
      <c r="I1171" s="30"/>
      <c r="J1171" s="30"/>
      <c r="K1171" s="30"/>
    </row>
    <row r="1172" spans="1:11" ht="15">
      <c r="A1172" s="30"/>
      <c r="B1172" s="30"/>
      <c r="C1172" s="30"/>
      <c r="D1172" s="30"/>
      <c r="E1172" s="30"/>
      <c r="F1172" s="30"/>
      <c r="G1172" s="30"/>
      <c r="H1172" s="30"/>
      <c r="I1172" s="30"/>
      <c r="J1172" s="30"/>
      <c r="K1172" s="30"/>
    </row>
    <row r="1173" spans="1:11" ht="15">
      <c r="A1173" s="30"/>
      <c r="B1173" s="30"/>
      <c r="C1173" s="30"/>
      <c r="D1173" s="30"/>
      <c r="E1173" s="30"/>
      <c r="F1173" s="30"/>
      <c r="G1173" s="30"/>
      <c r="H1173" s="30"/>
      <c r="I1173" s="30"/>
      <c r="J1173" s="30"/>
      <c r="K1173" s="30"/>
    </row>
    <row r="1174" spans="1:11" ht="15">
      <c r="A1174" s="30"/>
      <c r="B1174" s="30"/>
      <c r="C1174" s="30"/>
      <c r="D1174" s="30"/>
      <c r="E1174" s="30"/>
      <c r="F1174" s="30"/>
      <c r="G1174" s="30"/>
      <c r="H1174" s="30"/>
      <c r="I1174" s="30"/>
      <c r="J1174" s="30"/>
      <c r="K1174" s="30"/>
    </row>
    <row r="1175" spans="1:11" ht="15">
      <c r="A1175" s="30"/>
      <c r="B1175" s="30"/>
      <c r="C1175" s="30"/>
      <c r="D1175" s="30"/>
      <c r="E1175" s="30"/>
      <c r="F1175" s="30"/>
      <c r="G1175" s="30"/>
      <c r="H1175" s="30"/>
      <c r="I1175" s="30"/>
      <c r="J1175" s="30"/>
      <c r="K1175" s="30"/>
    </row>
    <row r="1176" spans="1:11" ht="15">
      <c r="A1176" s="30"/>
      <c r="B1176" s="30"/>
      <c r="C1176" s="30"/>
      <c r="D1176" s="30"/>
      <c r="E1176" s="30"/>
      <c r="F1176" s="30"/>
      <c r="G1176" s="30"/>
      <c r="H1176" s="30"/>
      <c r="I1176" s="30"/>
      <c r="J1176" s="30"/>
      <c r="K1176" s="30"/>
    </row>
    <row r="1177" spans="1:11" ht="15">
      <c r="A1177" s="30"/>
      <c r="B1177" s="30"/>
      <c r="C1177" s="30"/>
      <c r="D1177" s="30"/>
      <c r="E1177" s="30"/>
      <c r="F1177" s="30"/>
      <c r="G1177" s="30"/>
      <c r="H1177" s="30"/>
      <c r="I1177" s="30"/>
      <c r="J1177" s="30"/>
      <c r="K1177" s="30"/>
    </row>
    <row r="1178" spans="1:11" ht="15">
      <c r="A1178" s="30"/>
      <c r="B1178" s="30"/>
      <c r="C1178" s="30"/>
      <c r="D1178" s="30"/>
      <c r="E1178" s="30"/>
      <c r="F1178" s="30"/>
      <c r="G1178" s="30"/>
      <c r="H1178" s="30"/>
      <c r="I1178" s="30"/>
      <c r="J1178" s="30"/>
      <c r="K1178" s="30"/>
    </row>
    <row r="1179" spans="1:11" ht="15">
      <c r="A1179" s="30"/>
      <c r="B1179" s="30"/>
      <c r="C1179" s="30"/>
      <c r="D1179" s="30"/>
      <c r="E1179" s="30"/>
      <c r="F1179" s="30"/>
      <c r="G1179" s="30"/>
      <c r="H1179" s="30"/>
      <c r="I1179" s="30"/>
      <c r="J1179" s="30"/>
      <c r="K1179" s="30"/>
    </row>
    <row r="1180" spans="1:11" ht="15">
      <c r="A1180" s="30"/>
      <c r="B1180" s="30"/>
      <c r="C1180" s="30"/>
      <c r="D1180" s="30"/>
      <c r="E1180" s="30"/>
      <c r="F1180" s="30"/>
      <c r="G1180" s="30"/>
      <c r="H1180" s="30"/>
      <c r="I1180" s="30"/>
      <c r="J1180" s="30"/>
      <c r="K1180" s="30"/>
    </row>
    <row r="1181" spans="1:11" ht="15">
      <c r="A1181" s="30"/>
      <c r="B1181" s="30"/>
      <c r="C1181" s="30"/>
      <c r="D1181" s="30"/>
      <c r="E1181" s="30"/>
      <c r="F1181" s="30"/>
      <c r="G1181" s="30"/>
      <c r="H1181" s="30"/>
      <c r="I1181" s="30"/>
      <c r="J1181" s="30"/>
      <c r="K1181" s="30"/>
    </row>
    <row r="1182" spans="1:11" ht="15">
      <c r="A1182" s="30"/>
      <c r="B1182" s="30"/>
      <c r="C1182" s="30"/>
      <c r="D1182" s="30"/>
      <c r="E1182" s="30"/>
      <c r="F1182" s="30"/>
      <c r="G1182" s="30"/>
      <c r="H1182" s="30"/>
      <c r="I1182" s="30"/>
      <c r="J1182" s="30"/>
      <c r="K1182" s="30"/>
    </row>
    <row r="1183" spans="1:11" ht="15">
      <c r="A1183" s="30"/>
      <c r="B1183" s="30"/>
      <c r="C1183" s="30"/>
      <c r="D1183" s="30"/>
      <c r="E1183" s="30"/>
      <c r="F1183" s="30"/>
      <c r="G1183" s="30"/>
      <c r="H1183" s="30"/>
      <c r="I1183" s="30"/>
      <c r="J1183" s="30"/>
      <c r="K1183" s="30"/>
    </row>
    <row r="1184" spans="1:11" ht="15">
      <c r="A1184" s="30"/>
      <c r="B1184" s="30"/>
      <c r="C1184" s="30"/>
      <c r="D1184" s="30"/>
      <c r="E1184" s="30"/>
      <c r="F1184" s="30"/>
      <c r="G1184" s="30"/>
      <c r="H1184" s="30"/>
      <c r="I1184" s="30"/>
      <c r="J1184" s="30"/>
      <c r="K1184" s="30"/>
    </row>
    <row r="1185" spans="1:11" ht="15">
      <c r="A1185" s="30"/>
      <c r="B1185" s="30"/>
      <c r="C1185" s="30"/>
      <c r="D1185" s="30"/>
      <c r="E1185" s="30"/>
      <c r="F1185" s="30"/>
      <c r="G1185" s="30"/>
      <c r="H1185" s="30"/>
      <c r="I1185" s="30"/>
      <c r="J1185" s="30"/>
      <c r="K1185" s="30"/>
    </row>
    <row r="1186" spans="1:11" ht="15">
      <c r="A1186" s="30"/>
      <c r="B1186" s="30"/>
      <c r="C1186" s="30"/>
      <c r="D1186" s="30"/>
      <c r="E1186" s="30"/>
      <c r="F1186" s="30"/>
      <c r="G1186" s="30"/>
      <c r="H1186" s="30"/>
      <c r="I1186" s="30"/>
      <c r="J1186" s="30"/>
      <c r="K1186" s="30"/>
    </row>
    <row r="1187" spans="1:11" ht="15">
      <c r="A1187" s="30"/>
      <c r="B1187" s="30"/>
      <c r="C1187" s="30"/>
      <c r="D1187" s="30"/>
      <c r="E1187" s="30"/>
      <c r="F1187" s="30"/>
      <c r="G1187" s="30"/>
      <c r="H1187" s="30"/>
      <c r="I1187" s="30"/>
      <c r="J1187" s="30"/>
      <c r="K1187" s="30"/>
    </row>
    <row r="1188" spans="1:11" ht="15">
      <c r="A1188" s="30"/>
      <c r="B1188" s="30"/>
      <c r="C1188" s="30"/>
      <c r="D1188" s="30"/>
      <c r="E1188" s="30"/>
      <c r="F1188" s="30"/>
      <c r="G1188" s="30"/>
      <c r="H1188" s="30"/>
      <c r="I1188" s="30"/>
      <c r="J1188" s="30"/>
      <c r="K1188" s="30"/>
    </row>
    <row r="1189" spans="1:11" ht="15">
      <c r="A1189" s="30"/>
      <c r="B1189" s="30"/>
      <c r="C1189" s="30"/>
      <c r="D1189" s="30"/>
      <c r="E1189" s="30"/>
      <c r="F1189" s="30"/>
      <c r="G1189" s="30"/>
      <c r="H1189" s="30"/>
      <c r="I1189" s="30"/>
      <c r="J1189" s="30"/>
      <c r="K1189" s="30"/>
    </row>
    <row r="1190" spans="1:11" ht="15">
      <c r="A1190" s="30"/>
      <c r="B1190" s="30"/>
      <c r="C1190" s="30"/>
      <c r="D1190" s="30"/>
      <c r="E1190" s="30"/>
      <c r="F1190" s="30"/>
      <c r="G1190" s="30"/>
      <c r="H1190" s="30"/>
      <c r="I1190" s="30"/>
      <c r="J1190" s="30"/>
      <c r="K1190" s="30"/>
    </row>
    <row r="1191" spans="1:11" ht="15">
      <c r="A1191" s="30"/>
      <c r="B1191" s="30"/>
      <c r="C1191" s="30"/>
      <c r="D1191" s="30"/>
      <c r="E1191" s="30"/>
      <c r="F1191" s="30"/>
      <c r="G1191" s="30"/>
      <c r="H1191" s="30"/>
      <c r="I1191" s="30"/>
      <c r="J1191" s="30"/>
      <c r="K1191" s="30"/>
    </row>
    <row r="1192" spans="1:11" ht="15">
      <c r="A1192" s="30"/>
      <c r="B1192" s="30"/>
      <c r="C1192" s="30"/>
      <c r="D1192" s="30"/>
      <c r="E1192" s="30"/>
      <c r="F1192" s="30"/>
      <c r="G1192" s="30"/>
      <c r="H1192" s="30"/>
      <c r="I1192" s="30"/>
      <c r="J1192" s="30"/>
      <c r="K1192" s="30"/>
    </row>
    <row r="1193" spans="1:11" ht="15">
      <c r="A1193" s="30"/>
      <c r="B1193" s="30"/>
      <c r="C1193" s="30"/>
      <c r="D1193" s="30"/>
      <c r="E1193" s="30"/>
      <c r="F1193" s="30"/>
      <c r="G1193" s="30"/>
      <c r="H1193" s="30"/>
      <c r="I1193" s="30"/>
      <c r="J1193" s="30"/>
      <c r="K1193" s="30"/>
    </row>
    <row r="1194" spans="1:11" ht="15">
      <c r="A1194" s="30"/>
      <c r="B1194" s="30"/>
      <c r="C1194" s="30"/>
      <c r="D1194" s="30"/>
      <c r="E1194" s="30"/>
      <c r="F1194" s="30"/>
      <c r="G1194" s="30"/>
      <c r="H1194" s="30"/>
      <c r="I1194" s="30"/>
      <c r="J1194" s="30"/>
      <c r="K1194" s="30"/>
    </row>
    <row r="1195" spans="1:11" ht="15">
      <c r="A1195" s="30"/>
      <c r="B1195" s="30"/>
      <c r="C1195" s="30"/>
      <c r="D1195" s="30"/>
      <c r="E1195" s="30"/>
      <c r="F1195" s="30"/>
      <c r="G1195" s="30"/>
      <c r="H1195" s="30"/>
      <c r="I1195" s="30"/>
      <c r="J1195" s="30"/>
      <c r="K1195" s="30"/>
    </row>
    <row r="1196" spans="1:11" ht="15">
      <c r="A1196" s="30"/>
      <c r="B1196" s="30"/>
      <c r="C1196" s="30"/>
      <c r="D1196" s="30"/>
      <c r="E1196" s="30"/>
      <c r="F1196" s="30"/>
      <c r="G1196" s="30"/>
      <c r="H1196" s="30"/>
      <c r="I1196" s="30"/>
      <c r="J1196" s="30"/>
      <c r="K1196" s="30"/>
    </row>
    <row r="1197" spans="1:11" ht="15">
      <c r="A1197" s="30"/>
      <c r="B1197" s="30"/>
      <c r="C1197" s="30"/>
      <c r="D1197" s="30"/>
      <c r="E1197" s="30"/>
      <c r="F1197" s="30"/>
      <c r="G1197" s="30"/>
      <c r="H1197" s="30"/>
      <c r="I1197" s="30"/>
      <c r="J1197" s="30"/>
      <c r="K1197" s="30"/>
    </row>
    <row r="1198" spans="1:11" ht="15">
      <c r="A1198" s="30"/>
      <c r="B1198" s="30"/>
      <c r="C1198" s="30"/>
      <c r="D1198" s="30"/>
      <c r="E1198" s="30"/>
      <c r="F1198" s="30"/>
      <c r="G1198" s="30"/>
      <c r="H1198" s="30"/>
      <c r="I1198" s="30"/>
      <c r="J1198" s="30"/>
      <c r="K1198" s="30"/>
    </row>
    <row r="1199" spans="1:11" ht="15">
      <c r="A1199" s="30"/>
      <c r="B1199" s="30"/>
      <c r="C1199" s="30"/>
      <c r="D1199" s="30"/>
      <c r="E1199" s="30"/>
      <c r="F1199" s="30"/>
      <c r="G1199" s="30"/>
      <c r="H1199" s="30"/>
      <c r="I1199" s="30"/>
      <c r="J1199" s="30"/>
      <c r="K1199" s="30"/>
    </row>
    <row r="1200" spans="1:11" ht="15">
      <c r="A1200" s="30"/>
      <c r="B1200" s="30"/>
      <c r="C1200" s="30"/>
      <c r="D1200" s="30"/>
      <c r="E1200" s="30"/>
      <c r="F1200" s="30"/>
      <c r="G1200" s="30"/>
      <c r="H1200" s="30"/>
      <c r="I1200" s="30"/>
      <c r="J1200" s="30"/>
      <c r="K1200" s="30"/>
    </row>
    <row r="1201" spans="1:11" ht="15">
      <c r="A1201" s="30"/>
      <c r="B1201" s="30"/>
      <c r="C1201" s="30"/>
      <c r="D1201" s="30"/>
      <c r="E1201" s="30"/>
      <c r="F1201" s="30"/>
      <c r="G1201" s="30"/>
      <c r="H1201" s="30"/>
      <c r="I1201" s="30"/>
      <c r="J1201" s="30"/>
      <c r="K1201" s="30"/>
    </row>
    <row r="1202" spans="1:11" ht="15">
      <c r="A1202" s="30"/>
      <c r="B1202" s="30"/>
      <c r="C1202" s="30"/>
      <c r="D1202" s="30"/>
      <c r="E1202" s="30"/>
      <c r="F1202" s="30"/>
      <c r="G1202" s="30"/>
      <c r="H1202" s="30"/>
      <c r="I1202" s="30"/>
      <c r="J1202" s="30"/>
      <c r="K1202" s="30"/>
    </row>
    <row r="1203" spans="1:11" ht="15">
      <c r="A1203" s="30"/>
      <c r="B1203" s="30"/>
      <c r="C1203" s="30"/>
      <c r="D1203" s="30"/>
      <c r="E1203" s="30"/>
      <c r="F1203" s="30"/>
      <c r="G1203" s="30"/>
      <c r="H1203" s="30"/>
      <c r="I1203" s="30"/>
      <c r="J1203" s="30"/>
      <c r="K1203" s="30"/>
    </row>
    <row r="1204" spans="1:11" ht="15">
      <c r="A1204" s="30"/>
      <c r="B1204" s="30"/>
      <c r="C1204" s="30"/>
      <c r="D1204" s="30"/>
      <c r="E1204" s="30"/>
      <c r="F1204" s="30"/>
      <c r="G1204" s="30"/>
      <c r="H1204" s="30"/>
      <c r="I1204" s="30"/>
      <c r="J1204" s="30"/>
      <c r="K1204" s="30"/>
    </row>
    <row r="1205" spans="1:11" ht="15">
      <c r="A1205" s="30"/>
      <c r="B1205" s="30"/>
      <c r="C1205" s="30"/>
      <c r="D1205" s="30"/>
      <c r="E1205" s="30"/>
      <c r="F1205" s="30"/>
      <c r="G1205" s="30"/>
      <c r="H1205" s="30"/>
      <c r="I1205" s="30"/>
      <c r="J1205" s="30"/>
      <c r="K1205" s="30"/>
    </row>
    <row r="1206" spans="1:11" ht="15">
      <c r="A1206" s="30"/>
      <c r="B1206" s="30"/>
      <c r="C1206" s="30"/>
      <c r="D1206" s="30"/>
      <c r="E1206" s="30"/>
      <c r="F1206" s="30"/>
      <c r="G1206" s="30"/>
      <c r="H1206" s="30"/>
      <c r="I1206" s="30"/>
      <c r="J1206" s="30"/>
      <c r="K1206" s="30"/>
    </row>
    <row r="1207" spans="1:11" ht="15">
      <c r="A1207" s="30"/>
      <c r="B1207" s="30"/>
      <c r="C1207" s="30"/>
      <c r="D1207" s="30"/>
      <c r="E1207" s="30"/>
      <c r="F1207" s="30"/>
      <c r="G1207" s="30"/>
      <c r="H1207" s="30"/>
      <c r="I1207" s="30"/>
      <c r="J1207" s="30"/>
      <c r="K1207" s="30"/>
    </row>
    <row r="1208" spans="1:11" ht="15">
      <c r="A1208" s="30"/>
      <c r="B1208" s="30"/>
      <c r="C1208" s="30"/>
      <c r="D1208" s="30"/>
      <c r="E1208" s="30"/>
      <c r="F1208" s="30"/>
      <c r="G1208" s="30"/>
      <c r="H1208" s="30"/>
      <c r="I1208" s="30"/>
      <c r="J1208" s="30"/>
      <c r="K1208" s="30"/>
    </row>
    <row r="1209" spans="1:11" ht="15">
      <c r="A1209" s="30"/>
      <c r="B1209" s="30"/>
      <c r="C1209" s="30"/>
      <c r="D1209" s="30"/>
      <c r="E1209" s="30"/>
      <c r="F1209" s="30"/>
      <c r="G1209" s="30"/>
      <c r="H1209" s="30"/>
      <c r="I1209" s="30"/>
      <c r="J1209" s="30"/>
      <c r="K1209" s="30"/>
    </row>
    <row r="1210" spans="1:11" ht="15">
      <c r="A1210" s="30"/>
      <c r="B1210" s="30"/>
      <c r="C1210" s="30"/>
      <c r="D1210" s="30"/>
      <c r="E1210" s="30"/>
      <c r="F1210" s="30"/>
      <c r="G1210" s="30"/>
      <c r="H1210" s="30"/>
      <c r="I1210" s="30"/>
      <c r="J1210" s="30"/>
      <c r="K1210" s="30"/>
    </row>
    <row r="1211" spans="1:11" ht="15">
      <c r="A1211" s="30"/>
      <c r="B1211" s="30"/>
      <c r="C1211" s="30"/>
      <c r="D1211" s="30"/>
      <c r="E1211" s="30"/>
      <c r="F1211" s="30"/>
      <c r="G1211" s="30"/>
      <c r="H1211" s="30"/>
      <c r="I1211" s="30"/>
      <c r="J1211" s="30"/>
      <c r="K1211" s="30"/>
    </row>
    <row r="1212" spans="1:11" ht="15">
      <c r="A1212" s="30"/>
      <c r="B1212" s="30"/>
      <c r="C1212" s="30"/>
      <c r="D1212" s="30"/>
      <c r="E1212" s="30"/>
      <c r="F1212" s="30"/>
      <c r="G1212" s="30"/>
      <c r="H1212" s="30"/>
      <c r="I1212" s="30"/>
      <c r="J1212" s="30"/>
      <c r="K1212" s="30"/>
    </row>
    <row r="1213" spans="1:11" ht="15">
      <c r="A1213" s="30"/>
      <c r="B1213" s="30"/>
      <c r="C1213" s="30"/>
      <c r="D1213" s="30"/>
      <c r="E1213" s="30"/>
      <c r="F1213" s="30"/>
      <c r="G1213" s="30"/>
      <c r="H1213" s="30"/>
      <c r="I1213" s="30"/>
      <c r="J1213" s="30"/>
      <c r="K1213" s="30"/>
    </row>
    <row r="1214" spans="1:11" ht="15">
      <c r="A1214" s="30"/>
      <c r="B1214" s="30"/>
      <c r="C1214" s="30"/>
      <c r="D1214" s="30"/>
      <c r="E1214" s="30"/>
      <c r="F1214" s="30"/>
      <c r="G1214" s="30"/>
      <c r="H1214" s="30"/>
      <c r="I1214" s="30"/>
      <c r="J1214" s="30"/>
      <c r="K1214" s="30"/>
    </row>
    <row r="1215" spans="1:11" ht="15">
      <c r="A1215" s="30"/>
      <c r="B1215" s="30"/>
      <c r="C1215" s="30"/>
      <c r="D1215" s="30"/>
      <c r="E1215" s="30"/>
      <c r="F1215" s="30"/>
      <c r="G1215" s="30"/>
      <c r="H1215" s="30"/>
      <c r="I1215" s="30"/>
      <c r="J1215" s="30"/>
      <c r="K1215" s="30"/>
    </row>
    <row r="1216" spans="1:11" ht="15">
      <c r="A1216" s="30"/>
      <c r="B1216" s="30"/>
      <c r="C1216" s="30"/>
      <c r="D1216" s="30"/>
      <c r="E1216" s="30"/>
      <c r="F1216" s="30"/>
      <c r="G1216" s="30"/>
      <c r="H1216" s="30"/>
      <c r="I1216" s="30"/>
      <c r="J1216" s="30"/>
      <c r="K1216" s="30"/>
    </row>
    <row r="1217" spans="1:11" ht="15">
      <c r="A1217" s="30"/>
      <c r="B1217" s="30"/>
      <c r="C1217" s="30"/>
      <c r="D1217" s="30"/>
      <c r="E1217" s="30"/>
      <c r="F1217" s="30"/>
      <c r="G1217" s="30"/>
      <c r="H1217" s="30"/>
      <c r="I1217" s="30"/>
      <c r="J1217" s="30"/>
      <c r="K1217" s="30"/>
    </row>
    <row r="1218" spans="1:11" ht="15">
      <c r="A1218" s="30"/>
      <c r="B1218" s="30"/>
      <c r="C1218" s="30"/>
      <c r="D1218" s="30"/>
      <c r="E1218" s="30"/>
      <c r="F1218" s="30"/>
      <c r="G1218" s="30"/>
      <c r="H1218" s="30"/>
      <c r="I1218" s="30"/>
      <c r="J1218" s="30"/>
      <c r="K1218" s="30"/>
    </row>
    <row r="1219" spans="1:11" ht="15">
      <c r="A1219" s="30"/>
      <c r="B1219" s="30"/>
      <c r="C1219" s="30"/>
      <c r="D1219" s="30"/>
      <c r="E1219" s="30"/>
      <c r="F1219" s="30"/>
      <c r="G1219" s="30"/>
      <c r="H1219" s="30"/>
      <c r="I1219" s="30"/>
      <c r="J1219" s="30"/>
      <c r="K1219" s="30"/>
    </row>
    <row r="1220" spans="1:11" ht="15">
      <c r="A1220" s="30"/>
      <c r="B1220" s="30"/>
      <c r="C1220" s="30"/>
      <c r="D1220" s="30"/>
      <c r="E1220" s="30"/>
      <c r="F1220" s="30"/>
      <c r="G1220" s="30"/>
      <c r="H1220" s="30"/>
      <c r="I1220" s="30"/>
      <c r="J1220" s="30"/>
      <c r="K1220" s="30"/>
    </row>
    <row r="1221" spans="1:11" ht="15">
      <c r="A1221" s="30"/>
      <c r="B1221" s="30"/>
      <c r="C1221" s="30"/>
      <c r="D1221" s="30"/>
      <c r="E1221" s="30"/>
      <c r="F1221" s="30"/>
      <c r="G1221" s="30"/>
      <c r="H1221" s="30"/>
      <c r="I1221" s="30"/>
      <c r="J1221" s="30"/>
      <c r="K1221" s="30"/>
    </row>
    <row r="1222" spans="1:11" ht="15">
      <c r="A1222" s="30"/>
      <c r="B1222" s="30"/>
      <c r="C1222" s="30"/>
      <c r="D1222" s="30"/>
      <c r="E1222" s="30"/>
      <c r="F1222" s="30"/>
      <c r="G1222" s="30"/>
      <c r="H1222" s="30"/>
      <c r="I1222" s="30"/>
      <c r="J1222" s="30"/>
      <c r="K1222" s="30"/>
    </row>
    <row r="1223" spans="1:11" ht="15">
      <c r="A1223" s="30"/>
      <c r="B1223" s="30"/>
      <c r="C1223" s="30"/>
      <c r="D1223" s="30"/>
      <c r="E1223" s="30"/>
      <c r="F1223" s="30"/>
      <c r="G1223" s="30"/>
      <c r="H1223" s="30"/>
      <c r="I1223" s="30"/>
      <c r="J1223" s="30"/>
      <c r="K1223" s="30"/>
    </row>
    <row r="1224" spans="1:11" ht="15">
      <c r="A1224" s="30"/>
      <c r="B1224" s="30"/>
      <c r="C1224" s="30"/>
      <c r="D1224" s="30"/>
      <c r="E1224" s="30"/>
      <c r="F1224" s="30"/>
      <c r="G1224" s="30"/>
      <c r="H1224" s="30"/>
      <c r="I1224" s="30"/>
      <c r="J1224" s="30"/>
      <c r="K1224" s="30"/>
    </row>
    <row r="1225" spans="1:11" ht="15">
      <c r="A1225" s="30"/>
      <c r="B1225" s="30"/>
      <c r="C1225" s="30"/>
      <c r="D1225" s="30"/>
      <c r="E1225" s="30"/>
      <c r="F1225" s="30"/>
      <c r="G1225" s="30"/>
      <c r="H1225" s="30"/>
      <c r="I1225" s="30"/>
      <c r="J1225" s="30"/>
      <c r="K1225" s="30"/>
    </row>
    <row r="1226" spans="1:11" ht="15">
      <c r="A1226" s="30"/>
      <c r="B1226" s="30"/>
      <c r="C1226" s="30"/>
      <c r="D1226" s="30"/>
      <c r="E1226" s="30"/>
      <c r="F1226" s="30"/>
      <c r="G1226" s="30"/>
      <c r="H1226" s="30"/>
      <c r="I1226" s="30"/>
      <c r="J1226" s="30"/>
      <c r="K1226" s="30"/>
    </row>
    <row r="1227" spans="1:11" ht="15">
      <c r="A1227" s="30"/>
      <c r="B1227" s="30"/>
      <c r="C1227" s="30"/>
      <c r="D1227" s="30"/>
      <c r="E1227" s="30"/>
      <c r="F1227" s="30"/>
      <c r="G1227" s="30"/>
      <c r="H1227" s="30"/>
      <c r="I1227" s="30"/>
      <c r="J1227" s="30"/>
      <c r="K1227" s="30"/>
    </row>
    <row r="1228" spans="1:11" ht="15">
      <c r="A1228" s="30"/>
      <c r="B1228" s="30"/>
      <c r="C1228" s="30"/>
      <c r="D1228" s="30"/>
      <c r="E1228" s="30"/>
      <c r="F1228" s="30"/>
      <c r="G1228" s="30"/>
      <c r="H1228" s="30"/>
      <c r="I1228" s="30"/>
      <c r="J1228" s="30"/>
      <c r="K1228" s="30"/>
    </row>
    <row r="1229" spans="1:11" ht="15">
      <c r="A1229" s="30"/>
      <c r="B1229" s="30"/>
      <c r="C1229" s="30"/>
      <c r="D1229" s="30"/>
      <c r="E1229" s="30"/>
      <c r="F1229" s="30"/>
      <c r="G1229" s="30"/>
      <c r="H1229" s="30"/>
      <c r="I1229" s="30"/>
      <c r="J1229" s="30"/>
      <c r="K1229" s="30"/>
    </row>
    <row r="1230" spans="1:11" ht="15">
      <c r="A1230" s="30"/>
      <c r="B1230" s="30"/>
      <c r="C1230" s="30"/>
      <c r="D1230" s="30"/>
      <c r="E1230" s="30"/>
      <c r="F1230" s="30"/>
      <c r="G1230" s="30"/>
      <c r="H1230" s="30"/>
      <c r="I1230" s="30"/>
      <c r="J1230" s="30"/>
      <c r="K1230" s="30"/>
    </row>
    <row r="1231" spans="1:11" ht="15">
      <c r="A1231" s="30"/>
      <c r="B1231" s="30"/>
      <c r="C1231" s="30"/>
      <c r="D1231" s="30"/>
      <c r="E1231" s="30"/>
      <c r="F1231" s="30"/>
      <c r="G1231" s="30"/>
      <c r="H1231" s="30"/>
      <c r="I1231" s="30"/>
      <c r="J1231" s="30"/>
      <c r="K1231" s="30"/>
    </row>
    <row r="1232" spans="1:11" ht="15">
      <c r="A1232" s="30"/>
      <c r="B1232" s="30"/>
      <c r="C1232" s="30"/>
      <c r="D1232" s="30"/>
      <c r="E1232" s="30"/>
      <c r="F1232" s="30"/>
      <c r="G1232" s="30"/>
      <c r="H1232" s="30"/>
      <c r="I1232" s="30"/>
      <c r="J1232" s="30"/>
      <c r="K1232" s="30"/>
    </row>
    <row r="1233" spans="1:11" ht="15">
      <c r="A1233" s="30"/>
      <c r="B1233" s="30"/>
      <c r="C1233" s="30"/>
      <c r="D1233" s="30"/>
      <c r="E1233" s="30"/>
      <c r="F1233" s="30"/>
      <c r="G1233" s="30"/>
      <c r="H1233" s="30"/>
      <c r="I1233" s="30"/>
      <c r="J1233" s="30"/>
      <c r="K1233" s="30"/>
    </row>
    <row r="1234" spans="1:11" ht="15">
      <c r="A1234" s="30"/>
      <c r="B1234" s="30"/>
      <c r="C1234" s="30"/>
      <c r="D1234" s="30"/>
      <c r="E1234" s="30"/>
      <c r="F1234" s="30"/>
      <c r="G1234" s="30"/>
      <c r="H1234" s="30"/>
      <c r="I1234" s="30"/>
      <c r="J1234" s="30"/>
      <c r="K1234" s="30"/>
    </row>
    <row r="1235" spans="1:11" ht="15">
      <c r="A1235" s="30"/>
      <c r="B1235" s="30"/>
      <c r="C1235" s="30"/>
      <c r="D1235" s="30"/>
      <c r="E1235" s="30"/>
      <c r="F1235" s="30"/>
      <c r="G1235" s="30"/>
      <c r="H1235" s="30"/>
      <c r="I1235" s="30"/>
      <c r="J1235" s="30"/>
      <c r="K1235" s="30"/>
    </row>
    <row r="1236" spans="1:11" ht="15">
      <c r="A1236" s="30"/>
      <c r="B1236" s="30"/>
      <c r="C1236" s="30"/>
      <c r="D1236" s="30"/>
      <c r="E1236" s="30"/>
      <c r="F1236" s="30"/>
      <c r="G1236" s="30"/>
      <c r="H1236" s="30"/>
      <c r="I1236" s="30"/>
      <c r="J1236" s="30"/>
      <c r="K1236" s="30"/>
    </row>
    <row r="1237" spans="1:11" ht="15">
      <c r="A1237" s="30"/>
      <c r="B1237" s="30"/>
      <c r="C1237" s="30"/>
      <c r="D1237" s="30"/>
      <c r="E1237" s="30"/>
      <c r="F1237" s="30"/>
      <c r="G1237" s="30"/>
      <c r="H1237" s="30"/>
      <c r="I1237" s="30"/>
      <c r="J1237" s="30"/>
      <c r="K1237" s="30"/>
    </row>
    <row r="1238" spans="1:11" ht="15">
      <c r="A1238" s="30"/>
      <c r="B1238" s="30"/>
      <c r="C1238" s="30"/>
      <c r="D1238" s="30"/>
      <c r="E1238" s="30"/>
      <c r="F1238" s="30"/>
      <c r="G1238" s="30"/>
      <c r="H1238" s="30"/>
      <c r="I1238" s="30"/>
      <c r="J1238" s="30"/>
      <c r="K1238" s="30"/>
    </row>
    <row r="1239" spans="1:11" ht="15">
      <c r="A1239" s="30"/>
      <c r="B1239" s="30"/>
      <c r="C1239" s="30"/>
      <c r="D1239" s="30"/>
      <c r="E1239" s="30"/>
      <c r="F1239" s="30"/>
      <c r="G1239" s="30"/>
      <c r="H1239" s="30"/>
      <c r="I1239" s="30"/>
      <c r="J1239" s="30"/>
      <c r="K1239" s="30"/>
    </row>
    <row r="1240" spans="1:11" ht="15">
      <c r="A1240" s="30"/>
      <c r="B1240" s="30"/>
      <c r="C1240" s="30"/>
      <c r="D1240" s="30"/>
      <c r="E1240" s="30"/>
      <c r="F1240" s="30"/>
      <c r="G1240" s="30"/>
      <c r="H1240" s="30"/>
      <c r="I1240" s="30"/>
      <c r="J1240" s="30"/>
      <c r="K1240" s="30"/>
    </row>
    <row r="1241" spans="1:11" ht="15">
      <c r="A1241" s="30"/>
      <c r="B1241" s="30"/>
      <c r="C1241" s="30"/>
      <c r="D1241" s="30"/>
      <c r="E1241" s="30"/>
      <c r="F1241" s="30"/>
      <c r="G1241" s="30"/>
      <c r="H1241" s="30"/>
      <c r="I1241" s="30"/>
      <c r="J1241" s="30"/>
      <c r="K1241" s="30"/>
    </row>
    <row r="1242" spans="1:11" ht="15">
      <c r="A1242" s="30"/>
      <c r="B1242" s="30"/>
      <c r="C1242" s="30"/>
      <c r="D1242" s="30"/>
      <c r="E1242" s="30"/>
      <c r="F1242" s="30"/>
      <c r="G1242" s="30"/>
      <c r="H1242" s="30"/>
      <c r="I1242" s="30"/>
      <c r="J1242" s="30"/>
      <c r="K1242" s="30"/>
    </row>
    <row r="1243" spans="1:11" ht="15">
      <c r="A1243" s="30"/>
      <c r="B1243" s="30"/>
      <c r="C1243" s="30"/>
      <c r="D1243" s="30"/>
      <c r="E1243" s="30"/>
      <c r="F1243" s="30"/>
      <c r="G1243" s="30"/>
      <c r="H1243" s="30"/>
      <c r="I1243" s="30"/>
      <c r="J1243" s="30"/>
      <c r="K1243" s="30"/>
    </row>
    <row r="1244" spans="1:11" ht="15">
      <c r="A1244" s="30"/>
      <c r="B1244" s="30"/>
      <c r="C1244" s="30"/>
      <c r="D1244" s="30"/>
      <c r="E1244" s="30"/>
      <c r="F1244" s="30"/>
      <c r="G1244" s="30"/>
      <c r="H1244" s="30"/>
      <c r="I1244" s="30"/>
      <c r="J1244" s="30"/>
      <c r="K1244" s="30"/>
    </row>
    <row r="1245" spans="1:11" ht="15">
      <c r="A1245" s="30"/>
      <c r="B1245" s="30"/>
      <c r="C1245" s="30"/>
      <c r="D1245" s="30"/>
      <c r="E1245" s="30"/>
      <c r="F1245" s="30"/>
      <c r="G1245" s="30"/>
      <c r="H1245" s="30"/>
      <c r="I1245" s="30"/>
      <c r="J1245" s="30"/>
      <c r="K1245" s="30"/>
    </row>
    <row r="1246" spans="1:11" ht="15">
      <c r="A1246" s="30"/>
      <c r="B1246" s="30"/>
      <c r="C1246" s="30"/>
      <c r="D1246" s="30"/>
      <c r="E1246" s="30"/>
      <c r="F1246" s="30"/>
      <c r="G1246" s="30"/>
      <c r="H1246" s="30"/>
      <c r="I1246" s="30"/>
      <c r="J1246" s="30"/>
      <c r="K1246" s="30"/>
    </row>
    <row r="1247" spans="1:11" ht="15">
      <c r="A1247" s="30"/>
      <c r="B1247" s="30"/>
      <c r="C1247" s="30"/>
      <c r="D1247" s="30"/>
      <c r="E1247" s="30"/>
      <c r="F1247" s="30"/>
      <c r="G1247" s="30"/>
      <c r="H1247" s="30"/>
      <c r="I1247" s="30"/>
      <c r="J1247" s="30"/>
      <c r="K1247" s="30"/>
    </row>
    <row r="1248" spans="1:11" ht="15">
      <c r="A1248" s="30"/>
      <c r="B1248" s="30"/>
      <c r="C1248" s="30"/>
      <c r="D1248" s="30"/>
      <c r="E1248" s="30"/>
      <c r="F1248" s="30"/>
      <c r="G1248" s="30"/>
      <c r="H1248" s="30"/>
      <c r="I1248" s="30"/>
      <c r="J1248" s="30"/>
      <c r="K1248" s="30"/>
    </row>
    <row r="1249" spans="1:11" ht="15">
      <c r="A1249" s="30"/>
      <c r="B1249" s="30"/>
      <c r="C1249" s="30"/>
      <c r="D1249" s="30"/>
      <c r="E1249" s="30"/>
      <c r="F1249" s="30"/>
      <c r="G1249" s="30"/>
      <c r="H1249" s="30"/>
      <c r="I1249" s="30"/>
      <c r="J1249" s="30"/>
      <c r="K1249" s="30"/>
    </row>
    <row r="1250" spans="1:11" ht="15">
      <c r="A1250" s="30"/>
      <c r="B1250" s="30"/>
      <c r="C1250" s="30"/>
      <c r="D1250" s="30"/>
      <c r="E1250" s="30"/>
      <c r="F1250" s="30"/>
      <c r="G1250" s="30"/>
      <c r="H1250" s="30"/>
      <c r="I1250" s="30"/>
      <c r="J1250" s="30"/>
      <c r="K1250" s="30"/>
    </row>
    <row r="1251" spans="1:11" ht="15">
      <c r="A1251" s="30"/>
      <c r="B1251" s="30"/>
      <c r="C1251" s="30"/>
      <c r="D1251" s="30"/>
      <c r="E1251" s="30"/>
      <c r="F1251" s="30"/>
      <c r="G1251" s="30"/>
      <c r="H1251" s="30"/>
      <c r="I1251" s="30"/>
      <c r="J1251" s="30"/>
      <c r="K1251" s="30"/>
    </row>
    <row r="1252" spans="1:11" ht="15">
      <c r="A1252" s="30"/>
      <c r="B1252" s="30"/>
      <c r="C1252" s="30"/>
      <c r="D1252" s="30"/>
      <c r="E1252" s="30"/>
      <c r="F1252" s="30"/>
      <c r="G1252" s="30"/>
      <c r="H1252" s="30"/>
      <c r="I1252" s="30"/>
      <c r="J1252" s="30"/>
      <c r="K1252" s="30"/>
    </row>
    <row r="1253" spans="1:11" ht="15">
      <c r="A1253" s="30"/>
      <c r="B1253" s="30"/>
      <c r="C1253" s="30"/>
      <c r="D1253" s="30"/>
      <c r="E1253" s="30"/>
      <c r="F1253" s="30"/>
      <c r="G1253" s="30"/>
      <c r="H1253" s="30"/>
      <c r="I1253" s="30"/>
      <c r="J1253" s="30"/>
      <c r="K1253" s="30"/>
    </row>
    <row r="1254" spans="1:11" ht="15">
      <c r="A1254" s="30"/>
      <c r="B1254" s="30"/>
      <c r="C1254" s="30"/>
      <c r="D1254" s="30"/>
      <c r="E1254" s="30"/>
      <c r="F1254" s="30"/>
      <c r="G1254" s="30"/>
      <c r="H1254" s="30"/>
      <c r="I1254" s="30"/>
      <c r="J1254" s="30"/>
      <c r="K1254" s="30"/>
    </row>
    <row r="1255" spans="1:11" ht="15">
      <c r="A1255" s="30"/>
      <c r="B1255" s="30"/>
      <c r="C1255" s="30"/>
      <c r="D1255" s="30"/>
      <c r="E1255" s="30"/>
      <c r="F1255" s="30"/>
      <c r="G1255" s="30"/>
      <c r="H1255" s="30"/>
      <c r="I1255" s="30"/>
      <c r="J1255" s="30"/>
      <c r="K1255" s="30"/>
    </row>
    <row r="1256" spans="1:11" ht="15">
      <c r="A1256" s="30"/>
      <c r="B1256" s="30"/>
      <c r="C1256" s="30"/>
      <c r="D1256" s="30"/>
      <c r="E1256" s="30"/>
      <c r="F1256" s="30"/>
      <c r="G1256" s="30"/>
      <c r="H1256" s="30"/>
      <c r="I1256" s="30"/>
      <c r="J1256" s="30"/>
      <c r="K1256" s="30"/>
    </row>
    <row r="1257" spans="1:11" ht="15">
      <c r="A1257" s="30"/>
      <c r="B1257" s="30"/>
      <c r="C1257" s="30"/>
      <c r="D1257" s="30"/>
      <c r="E1257" s="30"/>
      <c r="F1257" s="30"/>
      <c r="G1257" s="30"/>
      <c r="H1257" s="30"/>
      <c r="I1257" s="30"/>
      <c r="J1257" s="30"/>
      <c r="K1257" s="30"/>
    </row>
    <row r="1258" spans="1:11" ht="15">
      <c r="A1258" s="30"/>
      <c r="B1258" s="30"/>
      <c r="C1258" s="30"/>
      <c r="D1258" s="30"/>
      <c r="E1258" s="30"/>
      <c r="F1258" s="30"/>
      <c r="G1258" s="30"/>
      <c r="H1258" s="30"/>
      <c r="I1258" s="30"/>
      <c r="J1258" s="30"/>
      <c r="K1258" s="30"/>
    </row>
    <row r="1259" spans="1:11" ht="15">
      <c r="A1259" s="30"/>
      <c r="B1259" s="30"/>
      <c r="C1259" s="30"/>
      <c r="D1259" s="30"/>
      <c r="E1259" s="30"/>
      <c r="F1259" s="30"/>
      <c r="G1259" s="30"/>
      <c r="H1259" s="30"/>
      <c r="I1259" s="30"/>
      <c r="J1259" s="30"/>
      <c r="K1259" s="30"/>
    </row>
    <row r="1260" spans="1:11" ht="15">
      <c r="A1260" s="30"/>
      <c r="B1260" s="30"/>
      <c r="C1260" s="30"/>
      <c r="D1260" s="30"/>
      <c r="E1260" s="30"/>
      <c r="F1260" s="30"/>
      <c r="G1260" s="30"/>
      <c r="H1260" s="30"/>
      <c r="I1260" s="30"/>
      <c r="J1260" s="30"/>
      <c r="K1260" s="30"/>
    </row>
    <row r="1261" spans="1:11" ht="15">
      <c r="A1261" s="30"/>
      <c r="B1261" s="30"/>
      <c r="C1261" s="30"/>
      <c r="D1261" s="30"/>
      <c r="E1261" s="30"/>
      <c r="F1261" s="30"/>
      <c r="G1261" s="30"/>
      <c r="H1261" s="30"/>
      <c r="I1261" s="30"/>
      <c r="J1261" s="30"/>
      <c r="K1261" s="30"/>
    </row>
    <row r="1262" spans="1:11" ht="15">
      <c r="A1262" s="30"/>
      <c r="B1262" s="30"/>
      <c r="C1262" s="30"/>
      <c r="D1262" s="30"/>
      <c r="E1262" s="30"/>
      <c r="F1262" s="30"/>
      <c r="G1262" s="30"/>
      <c r="H1262" s="30"/>
      <c r="I1262" s="30"/>
      <c r="J1262" s="30"/>
      <c r="K1262" s="30"/>
    </row>
    <row r="1263" spans="1:11" ht="15">
      <c r="A1263" s="30"/>
      <c r="B1263" s="30"/>
      <c r="C1263" s="30"/>
      <c r="D1263" s="30"/>
      <c r="E1263" s="30"/>
      <c r="F1263" s="30"/>
      <c r="G1263" s="30"/>
      <c r="H1263" s="30"/>
      <c r="I1263" s="30"/>
      <c r="J1263" s="30"/>
      <c r="K1263" s="30"/>
    </row>
    <row r="1264" spans="1:11" ht="15">
      <c r="A1264" s="30"/>
      <c r="B1264" s="30"/>
      <c r="C1264" s="30"/>
      <c r="D1264" s="30"/>
      <c r="E1264" s="30"/>
      <c r="F1264" s="30"/>
      <c r="G1264" s="30"/>
      <c r="H1264" s="30"/>
      <c r="I1264" s="30"/>
      <c r="J1264" s="30"/>
      <c r="K1264" s="30"/>
    </row>
    <row r="1265" spans="1:11" ht="15">
      <c r="A1265" s="30"/>
      <c r="B1265" s="30"/>
      <c r="C1265" s="30"/>
      <c r="D1265" s="30"/>
      <c r="E1265" s="30"/>
      <c r="F1265" s="30"/>
      <c r="G1265" s="30"/>
      <c r="H1265" s="30"/>
      <c r="I1265" s="30"/>
      <c r="J1265" s="30"/>
      <c r="K1265" s="30"/>
    </row>
    <row r="1266" spans="1:11" ht="15">
      <c r="A1266" s="30"/>
      <c r="B1266" s="30"/>
      <c r="C1266" s="30"/>
      <c r="D1266" s="30"/>
      <c r="E1266" s="30"/>
      <c r="F1266" s="30"/>
      <c r="G1266" s="30"/>
      <c r="H1266" s="30"/>
      <c r="I1266" s="30"/>
      <c r="J1266" s="30"/>
      <c r="K1266" s="30"/>
    </row>
    <row r="1267" spans="1:11" ht="15">
      <c r="A1267" s="30"/>
      <c r="B1267" s="30"/>
      <c r="C1267" s="30"/>
      <c r="D1267" s="30"/>
      <c r="E1267" s="30"/>
      <c r="F1267" s="30"/>
      <c r="G1267" s="30"/>
      <c r="H1267" s="30"/>
      <c r="I1267" s="30"/>
      <c r="J1267" s="30"/>
      <c r="K1267" s="30"/>
    </row>
    <row r="1268" spans="1:11" ht="15">
      <c r="A1268" s="30"/>
      <c r="B1268" s="30"/>
      <c r="C1268" s="30"/>
      <c r="D1268" s="30"/>
      <c r="E1268" s="30"/>
      <c r="F1268" s="30"/>
      <c r="G1268" s="30"/>
      <c r="H1268" s="30"/>
      <c r="I1268" s="30"/>
      <c r="J1268" s="30"/>
      <c r="K1268" s="30"/>
    </row>
    <row r="1269" spans="1:11" ht="15">
      <c r="A1269" s="30"/>
      <c r="B1269" s="30"/>
      <c r="C1269" s="30"/>
      <c r="D1269" s="30"/>
      <c r="E1269" s="30"/>
      <c r="F1269" s="30"/>
      <c r="G1269" s="30"/>
      <c r="H1269" s="30"/>
      <c r="I1269" s="30"/>
      <c r="J1269" s="30"/>
      <c r="K1269" s="30"/>
    </row>
    <row r="1270" spans="1:11" ht="15">
      <c r="A1270" s="30"/>
      <c r="B1270" s="30"/>
      <c r="C1270" s="30"/>
      <c r="D1270" s="30"/>
      <c r="E1270" s="30"/>
      <c r="F1270" s="30"/>
      <c r="G1270" s="30"/>
      <c r="H1270" s="30"/>
      <c r="I1270" s="30"/>
      <c r="J1270" s="30"/>
      <c r="K1270" s="30"/>
    </row>
    <row r="1271" spans="1:11" ht="15">
      <c r="A1271" s="30"/>
      <c r="B1271" s="30"/>
      <c r="C1271" s="30"/>
      <c r="D1271" s="30"/>
      <c r="E1271" s="30"/>
      <c r="F1271" s="30"/>
      <c r="G1271" s="30"/>
      <c r="H1271" s="30"/>
      <c r="I1271" s="30"/>
      <c r="J1271" s="30"/>
      <c r="K1271" s="30"/>
    </row>
    <row r="1272" spans="1:11" ht="15">
      <c r="A1272" s="30"/>
      <c r="B1272" s="30"/>
      <c r="C1272" s="30"/>
      <c r="D1272" s="30"/>
      <c r="E1272" s="30"/>
      <c r="F1272" s="30"/>
      <c r="G1272" s="30"/>
      <c r="H1272" s="30"/>
      <c r="I1272" s="30"/>
      <c r="J1272" s="30"/>
      <c r="K1272" s="30"/>
    </row>
    <row r="1273" spans="1:11" ht="15">
      <c r="A1273" s="30"/>
      <c r="B1273" s="30"/>
      <c r="C1273" s="30"/>
      <c r="D1273" s="30"/>
      <c r="E1273" s="30"/>
      <c r="F1273" s="30"/>
      <c r="G1273" s="30"/>
      <c r="H1273" s="30"/>
      <c r="I1273" s="30"/>
      <c r="J1273" s="30"/>
      <c r="K1273" s="30"/>
    </row>
    <row r="1274" spans="1:11" ht="15">
      <c r="A1274" s="30"/>
      <c r="B1274" s="30"/>
      <c r="C1274" s="30"/>
      <c r="D1274" s="30"/>
      <c r="E1274" s="30"/>
      <c r="F1274" s="30"/>
      <c r="G1274" s="30"/>
      <c r="H1274" s="30"/>
      <c r="I1274" s="30"/>
      <c r="J1274" s="30"/>
      <c r="K1274" s="30"/>
    </row>
    <row r="1275" spans="1:11" ht="15">
      <c r="A1275" s="30"/>
      <c r="B1275" s="30"/>
      <c r="C1275" s="30"/>
      <c r="D1275" s="30"/>
      <c r="E1275" s="30"/>
      <c r="F1275" s="30"/>
      <c r="G1275" s="30"/>
      <c r="H1275" s="30"/>
      <c r="I1275" s="30"/>
      <c r="J1275" s="30"/>
      <c r="K1275" s="30"/>
    </row>
    <row r="1276" spans="1:11" ht="15">
      <c r="A1276" s="30"/>
      <c r="B1276" s="30"/>
      <c r="C1276" s="30"/>
      <c r="D1276" s="30"/>
      <c r="E1276" s="30"/>
      <c r="F1276" s="30"/>
      <c r="G1276" s="30"/>
      <c r="H1276" s="30"/>
      <c r="I1276" s="30"/>
      <c r="J1276" s="30"/>
      <c r="K1276" s="30"/>
    </row>
    <row r="1277" spans="1:11" ht="15">
      <c r="A1277" s="30"/>
      <c r="B1277" s="30"/>
      <c r="C1277" s="30"/>
      <c r="D1277" s="30"/>
      <c r="E1277" s="30"/>
      <c r="F1277" s="30"/>
      <c r="G1277" s="30"/>
      <c r="H1277" s="30"/>
      <c r="I1277" s="30"/>
      <c r="J1277" s="30"/>
      <c r="K1277" s="30"/>
    </row>
    <row r="1278" spans="1:11" ht="15">
      <c r="A1278" s="30"/>
      <c r="B1278" s="30"/>
      <c r="C1278" s="30"/>
      <c r="D1278" s="30"/>
      <c r="E1278" s="30"/>
      <c r="F1278" s="30"/>
      <c r="G1278" s="30"/>
      <c r="H1278" s="30"/>
      <c r="I1278" s="30"/>
      <c r="J1278" s="30"/>
      <c r="K1278" s="30"/>
    </row>
    <row r="1279" spans="1:11" ht="15">
      <c r="A1279" s="30"/>
      <c r="B1279" s="30"/>
      <c r="C1279" s="30"/>
      <c r="D1279" s="30"/>
      <c r="E1279" s="30"/>
      <c r="F1279" s="30"/>
      <c r="G1279" s="30"/>
      <c r="H1279" s="30"/>
      <c r="I1279" s="30"/>
      <c r="J1279" s="30"/>
      <c r="K1279" s="30"/>
    </row>
    <row r="1280" spans="1:11" ht="15">
      <c r="A1280" s="30"/>
      <c r="B1280" s="30"/>
      <c r="C1280" s="30"/>
      <c r="D1280" s="30"/>
      <c r="E1280" s="30"/>
      <c r="F1280" s="30"/>
      <c r="G1280" s="30"/>
      <c r="H1280" s="30"/>
      <c r="I1280" s="30"/>
      <c r="J1280" s="30"/>
      <c r="K1280" s="30"/>
    </row>
    <row r="1281" spans="1:11" ht="15">
      <c r="A1281" s="30"/>
      <c r="B1281" s="30"/>
      <c r="C1281" s="30"/>
      <c r="D1281" s="30"/>
      <c r="E1281" s="30"/>
      <c r="F1281" s="30"/>
      <c r="G1281" s="30"/>
      <c r="H1281" s="30"/>
      <c r="I1281" s="30"/>
      <c r="J1281" s="30"/>
      <c r="K1281" s="30"/>
    </row>
    <row r="1282" spans="1:11" ht="15">
      <c r="A1282" s="30"/>
      <c r="B1282" s="30"/>
      <c r="C1282" s="30"/>
      <c r="D1282" s="30"/>
      <c r="E1282" s="30"/>
      <c r="F1282" s="30"/>
      <c r="G1282" s="30"/>
      <c r="H1282" s="30"/>
      <c r="I1282" s="30"/>
      <c r="J1282" s="30"/>
      <c r="K1282" s="30"/>
    </row>
    <row r="1283" spans="1:11" ht="15">
      <c r="A1283" s="30"/>
      <c r="B1283" s="30"/>
      <c r="C1283" s="30"/>
      <c r="D1283" s="30"/>
      <c r="E1283" s="30"/>
      <c r="F1283" s="30"/>
      <c r="G1283" s="30"/>
      <c r="H1283" s="30"/>
      <c r="I1283" s="30"/>
      <c r="J1283" s="30"/>
      <c r="K1283" s="30"/>
    </row>
    <row r="1284" spans="1:11" ht="15">
      <c r="A1284" s="30"/>
      <c r="B1284" s="30"/>
      <c r="C1284" s="30"/>
      <c r="D1284" s="30"/>
      <c r="E1284" s="30"/>
      <c r="F1284" s="30"/>
      <c r="G1284" s="30"/>
      <c r="H1284" s="30"/>
      <c r="I1284" s="30"/>
      <c r="J1284" s="30"/>
      <c r="K1284" s="30"/>
    </row>
    <row r="1285" spans="1:11" ht="15">
      <c r="A1285" s="30"/>
      <c r="B1285" s="30"/>
      <c r="C1285" s="30"/>
      <c r="D1285" s="30"/>
      <c r="E1285" s="30"/>
      <c r="F1285" s="30"/>
      <c r="G1285" s="30"/>
      <c r="H1285" s="30"/>
      <c r="I1285" s="30"/>
      <c r="J1285" s="30"/>
      <c r="K1285" s="30"/>
    </row>
    <row r="1286" spans="1:11" ht="15">
      <c r="A1286" s="30"/>
      <c r="B1286" s="30"/>
      <c r="C1286" s="30"/>
      <c r="D1286" s="30"/>
      <c r="E1286" s="30"/>
      <c r="F1286" s="30"/>
      <c r="G1286" s="30"/>
      <c r="H1286" s="30"/>
      <c r="I1286" s="30"/>
      <c r="J1286" s="30"/>
      <c r="K1286" s="30"/>
    </row>
    <row r="1287" spans="1:11" ht="15">
      <c r="A1287" s="30"/>
      <c r="B1287" s="30"/>
      <c r="C1287" s="30"/>
      <c r="D1287" s="30"/>
      <c r="E1287" s="30"/>
      <c r="F1287" s="30"/>
      <c r="G1287" s="30"/>
      <c r="H1287" s="30"/>
      <c r="I1287" s="30"/>
      <c r="J1287" s="30"/>
      <c r="K1287" s="30"/>
    </row>
    <row r="1288" spans="1:11" ht="15">
      <c r="A1288" s="30"/>
      <c r="B1288" s="30"/>
      <c r="C1288" s="30"/>
      <c r="D1288" s="30"/>
      <c r="E1288" s="30"/>
      <c r="F1288" s="30"/>
      <c r="G1288" s="30"/>
      <c r="H1288" s="30"/>
      <c r="I1288" s="30"/>
      <c r="J1288" s="30"/>
      <c r="K1288" s="30"/>
    </row>
    <row r="1289" spans="1:11" ht="15">
      <c r="A1289" s="30"/>
      <c r="B1289" s="30"/>
      <c r="C1289" s="30"/>
      <c r="D1289" s="30"/>
      <c r="E1289" s="30"/>
      <c r="F1289" s="30"/>
      <c r="G1289" s="30"/>
      <c r="H1289" s="30"/>
      <c r="I1289" s="30"/>
      <c r="J1289" s="30"/>
      <c r="K1289" s="30"/>
    </row>
    <row r="1290" spans="1:11" ht="15">
      <c r="A1290" s="30"/>
      <c r="B1290" s="30"/>
      <c r="C1290" s="30"/>
      <c r="D1290" s="30"/>
      <c r="E1290" s="30"/>
      <c r="F1290" s="30"/>
      <c r="G1290" s="30"/>
      <c r="H1290" s="30"/>
      <c r="I1290" s="30"/>
      <c r="J1290" s="30"/>
      <c r="K1290" s="30"/>
    </row>
    <row r="1291" spans="1:11" ht="15">
      <c r="A1291" s="30"/>
      <c r="B1291" s="30"/>
      <c r="C1291" s="30"/>
      <c r="D1291" s="30"/>
      <c r="E1291" s="30"/>
      <c r="F1291" s="30"/>
      <c r="G1291" s="30"/>
      <c r="H1291" s="30"/>
      <c r="I1291" s="30"/>
      <c r="J1291" s="30"/>
      <c r="K1291" s="30"/>
    </row>
    <row r="1292" spans="1:11" ht="15">
      <c r="A1292" s="30"/>
      <c r="B1292" s="30"/>
      <c r="C1292" s="30"/>
      <c r="D1292" s="30"/>
      <c r="E1292" s="30"/>
      <c r="F1292" s="30"/>
      <c r="G1292" s="30"/>
      <c r="H1292" s="30"/>
      <c r="I1292" s="30"/>
      <c r="J1292" s="30"/>
      <c r="K1292" s="30"/>
    </row>
    <row r="1293" spans="1:11" ht="15">
      <c r="A1293" s="30"/>
      <c r="B1293" s="30"/>
      <c r="C1293" s="30"/>
      <c r="D1293" s="30"/>
      <c r="E1293" s="30"/>
      <c r="F1293" s="30"/>
      <c r="G1293" s="30"/>
      <c r="H1293" s="30"/>
      <c r="I1293" s="30"/>
      <c r="J1293" s="30"/>
      <c r="K1293" s="30"/>
    </row>
    <row r="1294" spans="1:11" ht="15">
      <c r="A1294" s="30"/>
      <c r="B1294" s="30"/>
      <c r="C1294" s="30"/>
      <c r="D1294" s="30"/>
      <c r="E1294" s="30"/>
      <c r="F1294" s="30"/>
      <c r="G1294" s="30"/>
      <c r="H1294" s="30"/>
      <c r="I1294" s="30"/>
      <c r="J1294" s="30"/>
      <c r="K1294" s="30"/>
    </row>
    <row r="1295" spans="1:11" ht="15">
      <c r="A1295" s="30"/>
      <c r="B1295" s="30"/>
      <c r="C1295" s="30"/>
      <c r="D1295" s="30"/>
      <c r="E1295" s="30"/>
      <c r="F1295" s="30"/>
      <c r="G1295" s="30"/>
      <c r="H1295" s="30"/>
      <c r="I1295" s="30"/>
      <c r="J1295" s="30"/>
      <c r="K1295" s="30"/>
    </row>
    <row r="1296" spans="1:11" ht="15">
      <c r="A1296" s="30"/>
      <c r="B1296" s="30"/>
      <c r="C1296" s="30"/>
      <c r="D1296" s="30"/>
      <c r="E1296" s="30"/>
      <c r="F1296" s="30"/>
      <c r="G1296" s="30"/>
      <c r="H1296" s="30"/>
      <c r="I1296" s="30"/>
      <c r="J1296" s="30"/>
      <c r="K1296" s="30"/>
    </row>
    <row r="1297" spans="1:11" ht="15">
      <c r="A1297" s="30"/>
      <c r="B1297" s="30"/>
      <c r="C1297" s="30"/>
      <c r="D1297" s="30"/>
      <c r="E1297" s="30"/>
      <c r="F1297" s="30"/>
      <c r="G1297" s="30"/>
      <c r="H1297" s="30"/>
      <c r="I1297" s="30"/>
      <c r="J1297" s="30"/>
      <c r="K1297" s="30"/>
    </row>
    <row r="1298" spans="1:11" ht="15">
      <c r="A1298" s="30"/>
      <c r="B1298" s="30"/>
      <c r="C1298" s="30"/>
      <c r="D1298" s="30"/>
      <c r="E1298" s="30"/>
      <c r="F1298" s="30"/>
      <c r="G1298" s="30"/>
      <c r="H1298" s="30"/>
      <c r="I1298" s="30"/>
      <c r="J1298" s="30"/>
      <c r="K1298" s="30"/>
    </row>
    <row r="1299" spans="1:11" ht="15">
      <c r="A1299" s="30"/>
      <c r="B1299" s="30"/>
      <c r="C1299" s="30"/>
      <c r="D1299" s="30"/>
      <c r="E1299" s="30"/>
      <c r="F1299" s="30"/>
      <c r="G1299" s="30"/>
      <c r="H1299" s="30"/>
      <c r="I1299" s="30"/>
      <c r="J1299" s="30"/>
      <c r="K1299" s="30"/>
    </row>
    <row r="1300" spans="1:11" ht="15">
      <c r="A1300" s="30"/>
      <c r="B1300" s="30"/>
      <c r="C1300" s="30"/>
      <c r="D1300" s="30"/>
      <c r="E1300" s="30"/>
      <c r="F1300" s="30"/>
      <c r="G1300" s="30"/>
      <c r="H1300" s="30"/>
      <c r="I1300" s="30"/>
      <c r="J1300" s="30"/>
      <c r="K1300" s="30"/>
    </row>
    <row r="1301" spans="1:11" ht="15">
      <c r="A1301" s="30"/>
      <c r="B1301" s="30"/>
      <c r="C1301" s="30"/>
      <c r="D1301" s="30"/>
      <c r="E1301" s="30"/>
      <c r="F1301" s="30"/>
      <c r="G1301" s="30"/>
      <c r="H1301" s="30"/>
      <c r="I1301" s="30"/>
      <c r="J1301" s="30"/>
      <c r="K1301" s="30"/>
    </row>
    <row r="1302" spans="1:11" ht="15">
      <c r="A1302" s="30"/>
      <c r="B1302" s="30"/>
      <c r="C1302" s="30"/>
      <c r="D1302" s="30"/>
      <c r="E1302" s="30"/>
      <c r="F1302" s="30"/>
      <c r="G1302" s="30"/>
      <c r="H1302" s="30"/>
      <c r="I1302" s="30"/>
      <c r="J1302" s="30"/>
      <c r="K1302" s="30"/>
    </row>
    <row r="1303" spans="1:11" ht="15">
      <c r="A1303" s="30"/>
      <c r="B1303" s="30"/>
      <c r="C1303" s="30"/>
      <c r="D1303" s="30"/>
      <c r="E1303" s="30"/>
      <c r="F1303" s="30"/>
      <c r="G1303" s="30"/>
      <c r="H1303" s="30"/>
      <c r="I1303" s="30"/>
      <c r="J1303" s="30"/>
      <c r="K1303" s="30"/>
    </row>
    <row r="1304" spans="1:11" ht="15">
      <c r="A1304" s="30"/>
      <c r="B1304" s="30"/>
      <c r="C1304" s="30"/>
      <c r="D1304" s="30"/>
      <c r="E1304" s="30"/>
      <c r="F1304" s="30"/>
      <c r="G1304" s="30"/>
      <c r="H1304" s="30"/>
      <c r="I1304" s="30"/>
      <c r="J1304" s="30"/>
      <c r="K1304" s="30"/>
    </row>
    <row r="1305" spans="1:11" ht="15">
      <c r="A1305" s="30"/>
      <c r="B1305" s="30"/>
      <c r="C1305" s="30"/>
      <c r="D1305" s="30"/>
      <c r="E1305" s="30"/>
      <c r="F1305" s="30"/>
      <c r="G1305" s="30"/>
      <c r="H1305" s="30"/>
      <c r="I1305" s="30"/>
      <c r="J1305" s="30"/>
      <c r="K1305" s="30"/>
    </row>
    <row r="1306" spans="1:11" ht="15">
      <c r="A1306" s="30"/>
      <c r="B1306" s="30"/>
      <c r="C1306" s="30"/>
      <c r="D1306" s="30"/>
      <c r="E1306" s="30"/>
      <c r="F1306" s="30"/>
      <c r="G1306" s="30"/>
      <c r="H1306" s="30"/>
      <c r="I1306" s="30"/>
      <c r="J1306" s="30"/>
      <c r="K1306" s="30"/>
    </row>
    <row r="1307" spans="1:11" ht="15">
      <c r="A1307" s="30"/>
      <c r="B1307" s="30"/>
      <c r="C1307" s="30"/>
      <c r="D1307" s="30"/>
      <c r="E1307" s="30"/>
      <c r="F1307" s="30"/>
      <c r="G1307" s="30"/>
      <c r="H1307" s="30"/>
      <c r="I1307" s="30"/>
      <c r="J1307" s="30"/>
      <c r="K1307" s="30"/>
    </row>
    <row r="1308" spans="1:11" ht="15">
      <c r="A1308" s="30"/>
      <c r="B1308" s="30"/>
      <c r="C1308" s="30"/>
      <c r="D1308" s="30"/>
      <c r="E1308" s="30"/>
      <c r="F1308" s="30"/>
      <c r="G1308" s="30"/>
      <c r="H1308" s="30"/>
      <c r="I1308" s="30"/>
      <c r="J1308" s="30"/>
      <c r="K1308" s="30"/>
    </row>
    <row r="1309" spans="1:11" ht="15">
      <c r="A1309" s="30"/>
      <c r="B1309" s="30"/>
      <c r="C1309" s="30"/>
      <c r="D1309" s="30"/>
      <c r="E1309" s="30"/>
      <c r="F1309" s="30"/>
      <c r="G1309" s="30"/>
      <c r="H1309" s="30"/>
      <c r="I1309" s="30"/>
      <c r="J1309" s="30"/>
      <c r="K1309" s="30"/>
    </row>
    <row r="1310" spans="1:11" ht="15">
      <c r="A1310" s="30"/>
      <c r="B1310" s="30"/>
      <c r="C1310" s="30"/>
      <c r="D1310" s="30"/>
      <c r="E1310" s="30"/>
      <c r="F1310" s="30"/>
      <c r="G1310" s="30"/>
      <c r="H1310" s="30"/>
      <c r="I1310" s="30"/>
      <c r="J1310" s="30"/>
      <c r="K1310" s="30"/>
    </row>
    <row r="1311" spans="1:11" ht="15">
      <c r="A1311" s="30"/>
      <c r="B1311" s="30"/>
      <c r="C1311" s="30"/>
      <c r="D1311" s="30"/>
      <c r="E1311" s="30"/>
      <c r="F1311" s="30"/>
      <c r="G1311" s="30"/>
      <c r="H1311" s="30"/>
      <c r="I1311" s="30"/>
      <c r="J1311" s="30"/>
      <c r="K1311" s="30"/>
    </row>
    <row r="1312" spans="1:11" ht="15">
      <c r="A1312" s="30"/>
      <c r="B1312" s="30"/>
      <c r="C1312" s="30"/>
      <c r="D1312" s="30"/>
      <c r="E1312" s="30"/>
      <c r="F1312" s="30"/>
      <c r="G1312" s="30"/>
      <c r="H1312" s="30"/>
      <c r="I1312" s="30"/>
      <c r="J1312" s="30"/>
      <c r="K1312" s="30"/>
    </row>
    <row r="1313" spans="1:11" ht="15">
      <c r="A1313" s="30"/>
      <c r="B1313" s="30"/>
      <c r="C1313" s="30"/>
      <c r="D1313" s="30"/>
      <c r="E1313" s="30"/>
      <c r="F1313" s="30"/>
      <c r="G1313" s="30"/>
      <c r="H1313" s="30"/>
      <c r="I1313" s="30"/>
      <c r="J1313" s="30"/>
      <c r="K1313" s="30"/>
    </row>
    <row r="1314" spans="1:11" ht="15">
      <c r="A1314" s="30"/>
      <c r="B1314" s="30"/>
      <c r="C1314" s="30"/>
      <c r="D1314" s="30"/>
      <c r="E1314" s="30"/>
      <c r="F1314" s="30"/>
      <c r="G1314" s="30"/>
      <c r="H1314" s="30"/>
      <c r="I1314" s="30"/>
      <c r="J1314" s="30"/>
      <c r="K1314" s="30"/>
    </row>
    <row r="1315" spans="1:11" ht="15">
      <c r="A1315" s="30"/>
      <c r="B1315" s="30"/>
      <c r="C1315" s="30"/>
      <c r="D1315" s="30"/>
      <c r="E1315" s="30"/>
      <c r="F1315" s="30"/>
      <c r="G1315" s="30"/>
      <c r="H1315" s="30"/>
      <c r="I1315" s="30"/>
      <c r="J1315" s="30"/>
      <c r="K1315" s="30"/>
    </row>
    <row r="1316" spans="1:11" ht="15">
      <c r="A1316" s="30"/>
      <c r="B1316" s="30"/>
      <c r="C1316" s="30"/>
      <c r="D1316" s="30"/>
      <c r="E1316" s="30"/>
      <c r="F1316" s="30"/>
      <c r="G1316" s="30"/>
      <c r="H1316" s="30"/>
      <c r="I1316" s="30"/>
      <c r="J1316" s="30"/>
      <c r="K1316" s="30"/>
    </row>
    <row r="1317" spans="1:11" ht="15">
      <c r="A1317" s="30"/>
      <c r="B1317" s="30"/>
      <c r="C1317" s="30"/>
      <c r="D1317" s="30"/>
      <c r="E1317" s="30"/>
      <c r="F1317" s="30"/>
      <c r="G1317" s="30"/>
      <c r="H1317" s="30"/>
      <c r="I1317" s="30"/>
      <c r="J1317" s="30"/>
      <c r="K1317" s="30"/>
    </row>
    <row r="1318" spans="1:11" ht="15">
      <c r="A1318" s="30"/>
      <c r="B1318" s="30"/>
      <c r="C1318" s="30"/>
      <c r="D1318" s="30"/>
      <c r="E1318" s="30"/>
      <c r="F1318" s="30"/>
      <c r="G1318" s="30"/>
      <c r="H1318" s="30"/>
      <c r="I1318" s="30"/>
      <c r="J1318" s="30"/>
      <c r="K1318" s="30"/>
    </row>
    <row r="1319" spans="1:11" ht="15">
      <c r="A1319" s="30"/>
      <c r="B1319" s="30"/>
      <c r="C1319" s="30"/>
      <c r="D1319" s="30"/>
      <c r="E1319" s="30"/>
      <c r="F1319" s="30"/>
      <c r="G1319" s="30"/>
      <c r="H1319" s="30"/>
      <c r="I1319" s="30"/>
      <c r="J1319" s="30"/>
      <c r="K1319" s="30"/>
    </row>
    <row r="1320" spans="1:11" ht="15">
      <c r="A1320" s="30"/>
      <c r="B1320" s="30"/>
      <c r="C1320" s="30"/>
      <c r="D1320" s="30"/>
      <c r="E1320" s="30"/>
      <c r="F1320" s="30"/>
      <c r="G1320" s="30"/>
      <c r="H1320" s="30"/>
      <c r="I1320" s="30"/>
      <c r="J1320" s="30"/>
      <c r="K1320" s="30"/>
    </row>
    <row r="1321" spans="1:11" ht="15">
      <c r="A1321" s="30"/>
      <c r="B1321" s="30"/>
      <c r="C1321" s="30"/>
      <c r="D1321" s="30"/>
      <c r="E1321" s="30"/>
      <c r="F1321" s="30"/>
      <c r="G1321" s="30"/>
      <c r="H1321" s="30"/>
      <c r="I1321" s="30"/>
      <c r="J1321" s="30"/>
      <c r="K1321" s="30"/>
    </row>
    <row r="1322" spans="1:11" ht="15">
      <c r="A1322" s="30"/>
      <c r="B1322" s="30"/>
      <c r="C1322" s="30"/>
      <c r="D1322" s="30"/>
      <c r="E1322" s="30"/>
      <c r="F1322" s="30"/>
      <c r="G1322" s="30"/>
      <c r="H1322" s="30"/>
      <c r="I1322" s="30"/>
      <c r="J1322" s="30"/>
      <c r="K1322" s="30"/>
    </row>
    <row r="1323" spans="1:11" ht="15">
      <c r="A1323" s="30"/>
      <c r="B1323" s="30"/>
      <c r="C1323" s="30"/>
      <c r="D1323" s="30"/>
      <c r="E1323" s="30"/>
      <c r="F1323" s="30"/>
      <c r="G1323" s="30"/>
      <c r="H1323" s="30"/>
      <c r="I1323" s="30"/>
      <c r="J1323" s="30"/>
      <c r="K1323" s="30"/>
    </row>
    <row r="1324" spans="1:11" ht="15">
      <c r="A1324" s="30"/>
      <c r="B1324" s="30"/>
      <c r="C1324" s="30"/>
      <c r="D1324" s="30"/>
      <c r="E1324" s="30"/>
      <c r="F1324" s="30"/>
      <c r="G1324" s="30"/>
      <c r="H1324" s="30"/>
      <c r="I1324" s="30"/>
      <c r="J1324" s="30"/>
      <c r="K1324" s="30"/>
    </row>
    <row r="1325" spans="1:11" ht="15">
      <c r="A1325" s="30"/>
      <c r="B1325" s="30"/>
      <c r="C1325" s="30"/>
      <c r="D1325" s="30"/>
      <c r="E1325" s="30"/>
      <c r="F1325" s="30"/>
      <c r="G1325" s="30"/>
      <c r="H1325" s="30"/>
      <c r="I1325" s="30"/>
      <c r="J1325" s="30"/>
      <c r="K1325" s="30"/>
    </row>
    <row r="1326" spans="1:11" ht="15">
      <c r="A1326" s="30"/>
      <c r="B1326" s="30"/>
      <c r="C1326" s="30"/>
      <c r="D1326" s="30"/>
      <c r="E1326" s="30"/>
      <c r="F1326" s="30"/>
      <c r="G1326" s="30"/>
      <c r="H1326" s="30"/>
      <c r="I1326" s="30"/>
      <c r="J1326" s="30"/>
      <c r="K1326" s="30"/>
    </row>
    <row r="1327" spans="1:11" ht="15">
      <c r="A1327" s="30"/>
      <c r="B1327" s="30"/>
      <c r="C1327" s="30"/>
      <c r="D1327" s="30"/>
      <c r="E1327" s="30"/>
      <c r="F1327" s="30"/>
      <c r="G1327" s="30"/>
      <c r="H1327" s="30"/>
      <c r="I1327" s="30"/>
      <c r="J1327" s="30"/>
      <c r="K1327" s="30"/>
    </row>
    <row r="1328" spans="1:11" ht="15">
      <c r="A1328" s="30"/>
      <c r="B1328" s="30"/>
      <c r="C1328" s="30"/>
      <c r="D1328" s="30"/>
      <c r="E1328" s="30"/>
      <c r="F1328" s="30"/>
      <c r="G1328" s="30"/>
      <c r="H1328" s="30"/>
      <c r="I1328" s="30"/>
      <c r="J1328" s="30"/>
      <c r="K1328" s="30"/>
    </row>
    <row r="1329" spans="1:11" ht="15">
      <c r="A1329" s="30"/>
      <c r="B1329" s="30"/>
      <c r="C1329" s="30"/>
      <c r="D1329" s="30"/>
      <c r="E1329" s="30"/>
      <c r="F1329" s="30"/>
      <c r="G1329" s="30"/>
      <c r="H1329" s="30"/>
      <c r="I1329" s="30"/>
      <c r="J1329" s="30"/>
      <c r="K1329" s="30"/>
    </row>
    <row r="1330" spans="1:11" ht="15">
      <c r="A1330" s="30"/>
      <c r="B1330" s="30"/>
      <c r="C1330" s="30"/>
      <c r="D1330" s="30"/>
      <c r="E1330" s="30"/>
      <c r="F1330" s="30"/>
      <c r="G1330" s="30"/>
      <c r="H1330" s="30"/>
      <c r="I1330" s="30"/>
      <c r="J1330" s="30"/>
      <c r="K1330" s="30"/>
    </row>
    <row r="1331" spans="1:11" ht="15">
      <c r="A1331" s="30"/>
      <c r="B1331" s="30"/>
      <c r="C1331" s="30"/>
      <c r="D1331" s="30"/>
      <c r="E1331" s="30"/>
      <c r="F1331" s="30"/>
      <c r="G1331" s="30"/>
      <c r="H1331" s="30"/>
      <c r="I1331" s="30"/>
      <c r="J1331" s="30"/>
      <c r="K1331" s="30"/>
    </row>
    <row r="1332" spans="1:11" ht="15">
      <c r="A1332" s="30"/>
      <c r="B1332" s="30"/>
      <c r="C1332" s="30"/>
      <c r="D1332" s="30"/>
      <c r="E1332" s="30"/>
      <c r="F1332" s="30"/>
      <c r="G1332" s="30"/>
      <c r="H1332" s="30"/>
      <c r="I1332" s="30"/>
      <c r="J1332" s="30"/>
      <c r="K1332" s="30"/>
    </row>
    <row r="1333" spans="1:11" ht="15">
      <c r="A1333" s="30"/>
      <c r="B1333" s="30"/>
      <c r="C1333" s="30"/>
      <c r="D1333" s="30"/>
      <c r="E1333" s="30"/>
      <c r="F1333" s="30"/>
      <c r="G1333" s="30"/>
      <c r="H1333" s="30"/>
      <c r="I1333" s="30"/>
      <c r="J1333" s="30"/>
      <c r="K1333" s="30"/>
    </row>
    <row r="1334" spans="1:11" ht="15">
      <c r="A1334" s="30"/>
      <c r="B1334" s="30"/>
      <c r="C1334" s="30"/>
      <c r="D1334" s="30"/>
      <c r="E1334" s="30"/>
      <c r="F1334" s="30"/>
      <c r="G1334" s="30"/>
      <c r="H1334" s="30"/>
      <c r="I1334" s="30"/>
      <c r="J1334" s="30"/>
      <c r="K1334" s="30"/>
    </row>
    <row r="1335" spans="1:11" ht="15">
      <c r="A1335" s="30"/>
      <c r="B1335" s="30"/>
      <c r="C1335" s="30"/>
      <c r="D1335" s="30"/>
      <c r="E1335" s="30"/>
      <c r="F1335" s="30"/>
      <c r="G1335" s="30"/>
      <c r="H1335" s="30"/>
      <c r="I1335" s="30"/>
      <c r="J1335" s="30"/>
      <c r="K1335" s="30"/>
    </row>
    <row r="1336" spans="1:11" ht="15">
      <c r="A1336" s="30"/>
      <c r="B1336" s="30"/>
      <c r="C1336" s="30"/>
      <c r="D1336" s="30"/>
      <c r="E1336" s="30"/>
      <c r="F1336" s="30"/>
      <c r="G1336" s="30"/>
      <c r="H1336" s="30"/>
      <c r="I1336" s="30"/>
      <c r="J1336" s="30"/>
      <c r="K1336" s="30"/>
    </row>
    <row r="1337" spans="1:11" ht="15">
      <c r="A1337" s="30"/>
      <c r="B1337" s="30"/>
      <c r="C1337" s="30"/>
      <c r="D1337" s="30"/>
      <c r="E1337" s="30"/>
      <c r="F1337" s="30"/>
      <c r="G1337" s="30"/>
      <c r="H1337" s="30"/>
      <c r="I1337" s="30"/>
      <c r="J1337" s="30"/>
      <c r="K1337" s="30"/>
    </row>
    <row r="1338" spans="1:11" ht="15">
      <c r="A1338" s="30"/>
      <c r="B1338" s="30"/>
      <c r="C1338" s="30"/>
      <c r="D1338" s="30"/>
      <c r="E1338" s="30"/>
      <c r="F1338" s="30"/>
      <c r="G1338" s="30"/>
      <c r="H1338" s="30"/>
      <c r="I1338" s="30"/>
      <c r="J1338" s="30"/>
      <c r="K1338" s="30"/>
    </row>
    <row r="1339" spans="1:11" ht="15">
      <c r="A1339" s="30"/>
      <c r="B1339" s="30"/>
      <c r="C1339" s="30"/>
      <c r="D1339" s="30"/>
      <c r="E1339" s="30"/>
      <c r="F1339" s="30"/>
      <c r="G1339" s="30"/>
      <c r="H1339" s="30"/>
      <c r="I1339" s="30"/>
      <c r="J1339" s="30"/>
      <c r="K1339" s="30"/>
    </row>
    <row r="1340" spans="1:11" ht="15">
      <c r="A1340" s="30"/>
      <c r="B1340" s="30"/>
      <c r="C1340" s="30"/>
      <c r="D1340" s="30"/>
      <c r="E1340" s="30"/>
      <c r="F1340" s="30"/>
      <c r="G1340" s="30"/>
      <c r="H1340" s="30"/>
      <c r="I1340" s="30"/>
      <c r="J1340" s="30"/>
      <c r="K1340" s="30"/>
    </row>
    <row r="1341" spans="1:11" ht="15">
      <c r="A1341" s="30"/>
      <c r="B1341" s="30"/>
      <c r="C1341" s="30"/>
      <c r="D1341" s="30"/>
      <c r="E1341" s="30"/>
      <c r="F1341" s="30"/>
      <c r="G1341" s="30"/>
      <c r="H1341" s="30"/>
      <c r="I1341" s="30"/>
      <c r="J1341" s="30"/>
      <c r="K1341" s="30"/>
    </row>
    <row r="1342" spans="1:11" ht="15">
      <c r="A1342" s="30"/>
      <c r="B1342" s="30"/>
      <c r="C1342" s="30"/>
      <c r="D1342" s="30"/>
      <c r="E1342" s="30"/>
      <c r="F1342" s="30"/>
      <c r="G1342" s="30"/>
      <c r="H1342" s="30"/>
      <c r="I1342" s="30"/>
      <c r="J1342" s="30"/>
      <c r="K1342" s="30"/>
    </row>
    <row r="1343" spans="1:11" ht="15">
      <c r="A1343" s="30"/>
      <c r="B1343" s="30"/>
      <c r="C1343" s="30"/>
      <c r="D1343" s="30"/>
      <c r="E1343" s="30"/>
      <c r="F1343" s="30"/>
      <c r="G1343" s="30"/>
      <c r="H1343" s="30"/>
      <c r="I1343" s="30"/>
      <c r="J1343" s="30"/>
      <c r="K1343" s="30"/>
    </row>
    <row r="1344" spans="1:11" ht="15">
      <c r="A1344" s="30"/>
      <c r="B1344" s="30"/>
      <c r="C1344" s="30"/>
      <c r="D1344" s="30"/>
      <c r="E1344" s="30"/>
      <c r="F1344" s="30"/>
      <c r="G1344" s="30"/>
      <c r="H1344" s="30"/>
      <c r="I1344" s="30"/>
      <c r="J1344" s="30"/>
      <c r="K1344" s="30"/>
    </row>
    <row r="1345" spans="1:11" ht="15">
      <c r="A1345" s="30"/>
      <c r="B1345" s="30"/>
      <c r="C1345" s="30"/>
      <c r="D1345" s="30"/>
      <c r="E1345" s="30"/>
      <c r="F1345" s="30"/>
      <c r="G1345" s="30"/>
      <c r="H1345" s="30"/>
      <c r="I1345" s="30"/>
      <c r="J1345" s="30"/>
      <c r="K1345" s="30"/>
    </row>
    <row r="1346" spans="1:11" ht="15">
      <c r="A1346" s="30"/>
      <c r="B1346" s="30"/>
      <c r="C1346" s="30"/>
      <c r="D1346" s="30"/>
      <c r="E1346" s="30"/>
      <c r="F1346" s="30"/>
      <c r="G1346" s="30"/>
      <c r="H1346" s="30"/>
      <c r="I1346" s="30"/>
      <c r="J1346" s="30"/>
      <c r="K1346" s="30"/>
    </row>
    <row r="1347" spans="1:11" ht="15">
      <c r="A1347" s="30"/>
      <c r="B1347" s="30"/>
      <c r="C1347" s="30"/>
      <c r="D1347" s="30"/>
      <c r="E1347" s="30"/>
      <c r="F1347" s="30"/>
      <c r="G1347" s="30"/>
      <c r="H1347" s="30"/>
      <c r="I1347" s="30"/>
      <c r="J1347" s="30"/>
      <c r="K1347" s="30"/>
    </row>
    <row r="1348" spans="1:11" ht="15">
      <c r="A1348" s="30"/>
      <c r="B1348" s="30"/>
      <c r="C1348" s="30"/>
      <c r="D1348" s="30"/>
      <c r="E1348" s="30"/>
      <c r="F1348" s="30"/>
      <c r="G1348" s="30"/>
      <c r="H1348" s="30"/>
      <c r="I1348" s="30"/>
      <c r="J1348" s="30"/>
      <c r="K1348" s="30"/>
    </row>
    <row r="1349" spans="1:11" ht="15">
      <c r="A1349" s="30"/>
      <c r="B1349" s="30"/>
      <c r="C1349" s="30"/>
      <c r="D1349" s="30"/>
      <c r="E1349" s="30"/>
      <c r="F1349" s="30"/>
      <c r="G1349" s="30"/>
      <c r="H1349" s="30"/>
      <c r="I1349" s="30"/>
      <c r="J1349" s="30"/>
      <c r="K1349" s="30"/>
    </row>
    <row r="1350" spans="1:11" ht="15">
      <c r="A1350" s="30"/>
      <c r="B1350" s="30"/>
      <c r="C1350" s="30"/>
      <c r="D1350" s="30"/>
      <c r="E1350" s="30"/>
      <c r="F1350" s="30"/>
      <c r="G1350" s="30"/>
      <c r="H1350" s="30"/>
      <c r="I1350" s="30"/>
      <c r="J1350" s="30"/>
      <c r="K1350" s="30"/>
    </row>
    <row r="1351" spans="1:11" ht="15">
      <c r="A1351" s="30"/>
      <c r="B1351" s="30"/>
      <c r="C1351" s="30"/>
      <c r="D1351" s="30"/>
      <c r="E1351" s="30"/>
      <c r="F1351" s="30"/>
      <c r="G1351" s="30"/>
      <c r="H1351" s="30"/>
      <c r="I1351" s="30"/>
      <c r="J1351" s="30"/>
      <c r="K1351" s="30"/>
    </row>
    <row r="1352" spans="1:11" ht="15">
      <c r="A1352" s="30"/>
      <c r="B1352" s="30"/>
      <c r="C1352" s="30"/>
      <c r="D1352" s="30"/>
      <c r="E1352" s="30"/>
      <c r="F1352" s="30"/>
      <c r="G1352" s="30"/>
      <c r="H1352" s="30"/>
      <c r="I1352" s="30"/>
      <c r="J1352" s="30"/>
      <c r="K1352" s="30"/>
    </row>
    <row r="1353" spans="1:11" ht="15">
      <c r="A1353" s="30"/>
      <c r="B1353" s="30"/>
      <c r="C1353" s="30"/>
      <c r="D1353" s="30"/>
      <c r="E1353" s="30"/>
      <c r="F1353" s="30"/>
      <c r="G1353" s="30"/>
      <c r="H1353" s="30"/>
      <c r="I1353" s="30"/>
      <c r="J1353" s="30"/>
      <c r="K1353" s="30"/>
    </row>
    <row r="1354" spans="1:11" ht="15">
      <c r="A1354" s="30"/>
      <c r="B1354" s="30"/>
      <c r="C1354" s="30"/>
      <c r="D1354" s="30"/>
      <c r="E1354" s="30"/>
      <c r="F1354" s="30"/>
      <c r="G1354" s="30"/>
      <c r="H1354" s="30"/>
      <c r="I1354" s="30"/>
      <c r="J1354" s="30"/>
      <c r="K1354" s="30"/>
    </row>
    <row r="1355" spans="1:11" ht="15">
      <c r="A1355" s="30"/>
      <c r="B1355" s="30"/>
      <c r="C1355" s="30"/>
      <c r="D1355" s="30"/>
      <c r="E1355" s="30"/>
      <c r="F1355" s="30"/>
      <c r="G1355" s="30"/>
      <c r="H1355" s="30"/>
      <c r="I1355" s="30"/>
      <c r="J1355" s="30"/>
      <c r="K1355" s="30"/>
    </row>
    <row r="1356" spans="1:11" ht="15">
      <c r="A1356" s="30"/>
      <c r="B1356" s="30"/>
      <c r="C1356" s="30"/>
      <c r="D1356" s="30"/>
      <c r="E1356" s="30"/>
      <c r="F1356" s="30"/>
      <c r="G1356" s="30"/>
      <c r="H1356" s="30"/>
      <c r="I1356" s="30"/>
      <c r="J1356" s="30"/>
      <c r="K1356" s="30"/>
    </row>
    <row r="1357" spans="1:11" ht="15">
      <c r="A1357" s="30"/>
      <c r="B1357" s="30"/>
      <c r="C1357" s="30"/>
      <c r="D1357" s="30"/>
      <c r="E1357" s="30"/>
      <c r="F1357" s="30"/>
      <c r="G1357" s="30"/>
      <c r="H1357" s="30"/>
      <c r="I1357" s="30"/>
      <c r="J1357" s="30"/>
      <c r="K1357" s="30"/>
    </row>
    <row r="1358" spans="1:11" ht="15">
      <c r="A1358" s="30"/>
      <c r="B1358" s="30"/>
      <c r="C1358" s="30"/>
      <c r="D1358" s="30"/>
      <c r="E1358" s="30"/>
      <c r="F1358" s="30"/>
      <c r="G1358" s="30"/>
      <c r="H1358" s="30"/>
      <c r="I1358" s="30"/>
      <c r="J1358" s="30"/>
      <c r="K1358" s="30"/>
    </row>
    <row r="1359" spans="1:11" ht="15">
      <c r="A1359" s="30"/>
      <c r="B1359" s="30"/>
      <c r="C1359" s="30"/>
      <c r="D1359" s="30"/>
      <c r="E1359" s="30"/>
      <c r="F1359" s="30"/>
      <c r="G1359" s="30"/>
      <c r="H1359" s="30"/>
      <c r="I1359" s="30"/>
      <c r="J1359" s="30"/>
      <c r="K1359" s="30"/>
    </row>
    <row r="1360" spans="1:11" ht="15">
      <c r="A1360" s="30"/>
      <c r="B1360" s="30"/>
      <c r="C1360" s="30"/>
      <c r="D1360" s="30"/>
      <c r="E1360" s="30"/>
      <c r="F1360" s="30"/>
      <c r="G1360" s="30"/>
      <c r="H1360" s="30"/>
      <c r="I1360" s="30"/>
      <c r="J1360" s="30"/>
      <c r="K1360" s="30"/>
    </row>
    <row r="1361" spans="1:11" ht="15">
      <c r="A1361" s="30"/>
      <c r="B1361" s="30"/>
      <c r="C1361" s="30"/>
      <c r="D1361" s="30"/>
      <c r="E1361" s="30"/>
      <c r="F1361" s="30"/>
      <c r="G1361" s="30"/>
      <c r="H1361" s="30"/>
      <c r="I1361" s="30"/>
      <c r="J1361" s="30"/>
      <c r="K1361" s="30"/>
    </row>
    <row r="1362" spans="1:11" ht="15">
      <c r="A1362" s="30"/>
      <c r="B1362" s="30"/>
      <c r="C1362" s="30"/>
      <c r="D1362" s="30"/>
      <c r="E1362" s="30"/>
      <c r="F1362" s="30"/>
      <c r="G1362" s="30"/>
      <c r="H1362" s="30"/>
      <c r="I1362" s="30"/>
      <c r="J1362" s="30"/>
      <c r="K1362" s="30"/>
    </row>
    <row r="1363" spans="1:11" ht="15">
      <c r="A1363" s="30"/>
      <c r="B1363" s="30"/>
      <c r="C1363" s="30"/>
      <c r="D1363" s="30"/>
      <c r="E1363" s="30"/>
      <c r="F1363" s="30"/>
      <c r="G1363" s="30"/>
      <c r="H1363" s="30"/>
      <c r="I1363" s="30"/>
      <c r="J1363" s="30"/>
      <c r="K1363" s="30"/>
    </row>
    <row r="1364" spans="1:11" ht="15">
      <c r="A1364" s="30"/>
      <c r="B1364" s="30"/>
      <c r="C1364" s="30"/>
      <c r="D1364" s="30"/>
      <c r="E1364" s="30"/>
      <c r="F1364" s="30"/>
      <c r="G1364" s="30"/>
      <c r="H1364" s="30"/>
      <c r="I1364" s="30"/>
      <c r="J1364" s="30"/>
      <c r="K1364" s="30"/>
    </row>
    <row r="1365" spans="1:11" ht="15">
      <c r="A1365" s="30"/>
      <c r="B1365" s="30"/>
      <c r="C1365" s="30"/>
      <c r="D1365" s="30"/>
      <c r="E1365" s="30"/>
      <c r="F1365" s="30"/>
      <c r="G1365" s="30"/>
      <c r="H1365" s="30"/>
      <c r="I1365" s="30"/>
      <c r="J1365" s="30"/>
      <c r="K1365" s="30"/>
    </row>
    <row r="1366" spans="1:11" ht="15">
      <c r="A1366" s="30"/>
      <c r="B1366" s="30"/>
      <c r="C1366" s="30"/>
      <c r="D1366" s="30"/>
      <c r="E1366" s="30"/>
      <c r="F1366" s="30"/>
      <c r="G1366" s="30"/>
      <c r="H1366" s="30"/>
      <c r="I1366" s="30"/>
      <c r="J1366" s="30"/>
      <c r="K1366" s="30"/>
    </row>
    <row r="1367" spans="1:11" ht="15">
      <c r="A1367" s="30"/>
      <c r="B1367" s="30"/>
      <c r="C1367" s="30"/>
      <c r="D1367" s="30"/>
      <c r="E1367" s="30"/>
      <c r="F1367" s="30"/>
      <c r="G1367" s="30"/>
      <c r="H1367" s="30"/>
      <c r="I1367" s="30"/>
      <c r="J1367" s="30"/>
      <c r="K1367" s="30"/>
    </row>
    <row r="1368" spans="1:11" ht="15">
      <c r="A1368" s="30"/>
      <c r="B1368" s="30"/>
      <c r="C1368" s="30"/>
      <c r="D1368" s="30"/>
      <c r="E1368" s="30"/>
      <c r="F1368" s="30"/>
      <c r="G1368" s="30"/>
      <c r="H1368" s="30"/>
      <c r="I1368" s="30"/>
      <c r="J1368" s="30"/>
      <c r="K1368" s="30"/>
    </row>
    <row r="1369" spans="1:11" ht="15">
      <c r="A1369" s="30"/>
      <c r="B1369" s="30"/>
      <c r="C1369" s="30"/>
      <c r="D1369" s="30"/>
      <c r="E1369" s="30"/>
      <c r="F1369" s="30"/>
      <c r="G1369" s="30"/>
      <c r="H1369" s="30"/>
      <c r="I1369" s="30"/>
      <c r="J1369" s="30"/>
      <c r="K1369" s="30"/>
    </row>
    <row r="1370" spans="1:11" ht="15">
      <c r="A1370" s="30"/>
      <c r="B1370" s="30"/>
      <c r="C1370" s="30"/>
      <c r="D1370" s="30"/>
      <c r="E1370" s="30"/>
      <c r="F1370" s="30"/>
      <c r="G1370" s="30"/>
      <c r="H1370" s="30"/>
      <c r="I1370" s="30"/>
      <c r="J1370" s="30"/>
      <c r="K1370" s="30"/>
    </row>
    <row r="1371" spans="1:11" ht="15">
      <c r="A1371" s="30"/>
      <c r="B1371" s="30"/>
      <c r="C1371" s="30"/>
      <c r="D1371" s="30"/>
      <c r="E1371" s="30"/>
      <c r="F1371" s="30"/>
      <c r="G1371" s="30"/>
      <c r="H1371" s="30"/>
      <c r="I1371" s="30"/>
      <c r="J1371" s="30"/>
      <c r="K1371" s="30"/>
    </row>
    <row r="1372" spans="1:11" ht="15">
      <c r="A1372" s="30"/>
      <c r="B1372" s="30"/>
      <c r="C1372" s="30"/>
      <c r="D1372" s="30"/>
      <c r="E1372" s="30"/>
      <c r="F1372" s="30"/>
      <c r="G1372" s="30"/>
      <c r="H1372" s="30"/>
      <c r="I1372" s="30"/>
      <c r="J1372" s="30"/>
      <c r="K1372" s="30"/>
    </row>
    <row r="1373" spans="1:11" ht="15">
      <c r="A1373" s="30"/>
      <c r="B1373" s="30"/>
      <c r="C1373" s="30"/>
      <c r="D1373" s="30"/>
      <c r="E1373" s="30"/>
      <c r="F1373" s="30"/>
      <c r="G1373" s="30"/>
      <c r="H1373" s="30"/>
      <c r="I1373" s="30"/>
      <c r="J1373" s="30"/>
      <c r="K1373" s="30"/>
    </row>
    <row r="1374" spans="1:11" ht="15">
      <c r="A1374" s="30"/>
      <c r="B1374" s="30"/>
      <c r="C1374" s="30"/>
      <c r="D1374" s="30"/>
      <c r="E1374" s="30"/>
      <c r="F1374" s="30"/>
      <c r="G1374" s="30"/>
      <c r="H1374" s="30"/>
      <c r="I1374" s="30"/>
      <c r="J1374" s="30"/>
      <c r="K1374" s="30"/>
    </row>
    <row r="1375" spans="1:11" ht="15">
      <c r="A1375" s="30"/>
      <c r="B1375" s="30"/>
      <c r="C1375" s="30"/>
      <c r="D1375" s="30"/>
      <c r="E1375" s="30"/>
      <c r="F1375" s="30"/>
      <c r="G1375" s="30"/>
      <c r="H1375" s="30"/>
      <c r="I1375" s="30"/>
      <c r="J1375" s="30"/>
      <c r="K1375" s="30"/>
    </row>
    <row r="1376" spans="1:11" ht="15">
      <c r="A1376" s="30"/>
      <c r="B1376" s="30"/>
      <c r="C1376" s="30"/>
      <c r="D1376" s="30"/>
      <c r="E1376" s="30"/>
      <c r="F1376" s="30"/>
      <c r="G1376" s="30"/>
      <c r="H1376" s="30"/>
      <c r="I1376" s="30"/>
      <c r="J1376" s="30"/>
      <c r="K1376" s="30"/>
    </row>
    <row r="1377" spans="1:11" ht="15">
      <c r="A1377" s="30"/>
      <c r="B1377" s="30"/>
      <c r="C1377" s="30"/>
      <c r="D1377" s="30"/>
      <c r="E1377" s="30"/>
      <c r="F1377" s="30"/>
      <c r="G1377" s="30"/>
      <c r="H1377" s="30"/>
      <c r="I1377" s="30"/>
      <c r="J1377" s="30"/>
      <c r="K1377" s="30"/>
    </row>
    <row r="1378" spans="1:11" ht="15">
      <c r="A1378" s="30"/>
      <c r="B1378" s="30"/>
      <c r="C1378" s="30"/>
      <c r="D1378" s="30"/>
      <c r="E1378" s="30"/>
      <c r="F1378" s="30"/>
      <c r="G1378" s="30"/>
      <c r="H1378" s="30"/>
      <c r="I1378" s="30"/>
      <c r="J1378" s="30"/>
      <c r="K1378" s="30"/>
    </row>
    <row r="1379" spans="1:11" ht="15">
      <c r="A1379" s="30"/>
      <c r="B1379" s="30"/>
      <c r="C1379" s="30"/>
      <c r="D1379" s="30"/>
      <c r="E1379" s="30"/>
      <c r="F1379" s="30"/>
      <c r="G1379" s="30"/>
      <c r="H1379" s="30"/>
      <c r="I1379" s="30"/>
      <c r="J1379" s="30"/>
      <c r="K1379" s="30"/>
    </row>
    <row r="1380" spans="1:11" ht="15">
      <c r="A1380" s="30"/>
      <c r="B1380" s="30"/>
      <c r="C1380" s="30"/>
      <c r="D1380" s="30"/>
      <c r="E1380" s="30"/>
      <c r="F1380" s="30"/>
      <c r="G1380" s="30"/>
      <c r="H1380" s="30"/>
      <c r="I1380" s="30"/>
      <c r="J1380" s="30"/>
      <c r="K1380" s="30"/>
    </row>
    <row r="1381" spans="1:11" ht="15">
      <c r="A1381" s="30"/>
      <c r="B1381" s="30"/>
      <c r="C1381" s="30"/>
      <c r="D1381" s="30"/>
      <c r="E1381" s="30"/>
      <c r="F1381" s="30"/>
      <c r="G1381" s="30"/>
      <c r="H1381" s="30"/>
      <c r="I1381" s="30"/>
      <c r="J1381" s="30"/>
      <c r="K1381" s="30"/>
    </row>
    <row r="1382" spans="1:11" ht="15">
      <c r="A1382" s="30"/>
      <c r="B1382" s="30"/>
      <c r="C1382" s="30"/>
      <c r="D1382" s="30"/>
      <c r="E1382" s="30"/>
      <c r="F1382" s="30"/>
      <c r="G1382" s="30"/>
      <c r="H1382" s="30"/>
      <c r="I1382" s="30"/>
      <c r="J1382" s="30"/>
      <c r="K1382" s="30"/>
    </row>
    <row r="1383" spans="1:11" ht="15">
      <c r="A1383" s="30"/>
      <c r="B1383" s="30"/>
      <c r="C1383" s="30"/>
      <c r="D1383" s="30"/>
      <c r="E1383" s="30"/>
      <c r="F1383" s="30"/>
      <c r="G1383" s="30"/>
      <c r="H1383" s="30"/>
      <c r="I1383" s="30"/>
      <c r="J1383" s="30"/>
      <c r="K1383" s="30"/>
    </row>
    <row r="1384" spans="1:11" ht="15">
      <c r="A1384" s="30"/>
      <c r="B1384" s="30"/>
      <c r="C1384" s="30"/>
      <c r="D1384" s="30"/>
      <c r="E1384" s="30"/>
      <c r="F1384" s="30"/>
      <c r="G1384" s="30"/>
      <c r="H1384" s="30"/>
      <c r="I1384" s="30"/>
      <c r="J1384" s="30"/>
      <c r="K1384" s="30"/>
    </row>
    <row r="1385" spans="1:11" ht="15">
      <c r="A1385" s="30"/>
      <c r="B1385" s="30"/>
      <c r="C1385" s="30"/>
      <c r="D1385" s="30"/>
      <c r="E1385" s="30"/>
      <c r="F1385" s="30"/>
      <c r="G1385" s="30"/>
      <c r="H1385" s="30"/>
      <c r="I1385" s="30"/>
      <c r="J1385" s="30"/>
      <c r="K1385" s="30"/>
    </row>
    <row r="1386" spans="1:11" ht="15">
      <c r="A1386" s="30"/>
      <c r="B1386" s="30"/>
      <c r="C1386" s="30"/>
      <c r="D1386" s="30"/>
      <c r="E1386" s="30"/>
      <c r="F1386" s="30"/>
      <c r="G1386" s="30"/>
      <c r="H1386" s="30"/>
      <c r="I1386" s="30"/>
      <c r="J1386" s="30"/>
      <c r="K1386" s="30"/>
    </row>
    <row r="1387" spans="1:11" ht="15">
      <c r="A1387" s="30"/>
      <c r="B1387" s="30"/>
      <c r="C1387" s="30"/>
      <c r="D1387" s="30"/>
      <c r="E1387" s="30"/>
      <c r="F1387" s="30"/>
      <c r="G1387" s="30"/>
      <c r="H1387" s="30"/>
      <c r="I1387" s="30"/>
      <c r="J1387" s="30"/>
      <c r="K1387" s="30"/>
    </row>
    <row r="1388" spans="1:11" ht="15">
      <c r="A1388" s="30"/>
      <c r="B1388" s="30"/>
      <c r="C1388" s="30"/>
      <c r="D1388" s="30"/>
      <c r="E1388" s="30"/>
      <c r="F1388" s="30"/>
      <c r="G1388" s="30"/>
      <c r="H1388" s="30"/>
      <c r="I1388" s="30"/>
      <c r="J1388" s="30"/>
      <c r="K1388" s="30"/>
    </row>
    <row r="1389" spans="1:11" ht="15">
      <c r="A1389" s="30"/>
      <c r="B1389" s="30"/>
      <c r="C1389" s="30"/>
      <c r="D1389" s="30"/>
      <c r="E1389" s="30"/>
      <c r="F1389" s="30"/>
      <c r="G1389" s="30"/>
      <c r="H1389" s="30"/>
      <c r="I1389" s="30"/>
      <c r="J1389" s="30"/>
      <c r="K1389" s="30"/>
    </row>
    <row r="1390" spans="1:11" ht="15">
      <c r="A1390" s="30"/>
      <c r="B1390" s="30"/>
      <c r="C1390" s="30"/>
      <c r="D1390" s="30"/>
      <c r="E1390" s="30"/>
      <c r="F1390" s="30"/>
      <c r="G1390" s="30"/>
      <c r="H1390" s="30"/>
      <c r="I1390" s="30"/>
      <c r="J1390" s="30"/>
      <c r="K1390" s="30"/>
    </row>
    <row r="1391" spans="1:11" ht="15">
      <c r="A1391" s="30"/>
      <c r="B1391" s="30"/>
      <c r="C1391" s="30"/>
      <c r="D1391" s="30"/>
      <c r="E1391" s="30"/>
      <c r="F1391" s="30"/>
      <c r="G1391" s="30"/>
      <c r="H1391" s="30"/>
      <c r="I1391" s="30"/>
      <c r="J1391" s="30"/>
      <c r="K1391" s="30"/>
    </row>
    <row r="1392" spans="1:11" ht="15">
      <c r="A1392" s="30"/>
      <c r="B1392" s="30"/>
      <c r="C1392" s="30"/>
      <c r="D1392" s="30"/>
      <c r="E1392" s="30"/>
      <c r="F1392" s="30"/>
      <c r="G1392" s="30"/>
      <c r="H1392" s="30"/>
      <c r="I1392" s="30"/>
      <c r="J1392" s="30"/>
      <c r="K1392" s="30"/>
    </row>
    <row r="1393" spans="1:11" ht="15">
      <c r="A1393" s="30"/>
      <c r="B1393" s="30"/>
      <c r="C1393" s="30"/>
      <c r="D1393" s="30"/>
      <c r="E1393" s="30"/>
      <c r="F1393" s="30"/>
      <c r="G1393" s="30"/>
      <c r="H1393" s="30"/>
      <c r="I1393" s="30"/>
      <c r="J1393" s="30"/>
      <c r="K1393" s="30"/>
    </row>
    <row r="1394" spans="1:11" ht="15">
      <c r="A1394" s="30"/>
      <c r="B1394" s="30"/>
      <c r="C1394" s="30"/>
      <c r="D1394" s="30"/>
      <c r="E1394" s="30"/>
      <c r="F1394" s="30"/>
      <c r="G1394" s="30"/>
      <c r="H1394" s="30"/>
      <c r="I1394" s="30"/>
      <c r="J1394" s="30"/>
      <c r="K1394" s="30"/>
    </row>
    <row r="1395" spans="1:11" ht="15">
      <c r="A1395" s="30"/>
      <c r="B1395" s="30"/>
      <c r="C1395" s="30"/>
      <c r="D1395" s="30"/>
      <c r="E1395" s="30"/>
      <c r="F1395" s="30"/>
      <c r="G1395" s="30"/>
      <c r="H1395" s="30"/>
      <c r="I1395" s="30"/>
      <c r="J1395" s="30"/>
      <c r="K1395" s="30"/>
    </row>
    <row r="1396" spans="1:11" ht="15">
      <c r="A1396" s="30"/>
      <c r="B1396" s="30"/>
      <c r="C1396" s="30"/>
      <c r="D1396" s="30"/>
      <c r="E1396" s="30"/>
      <c r="F1396" s="30"/>
      <c r="G1396" s="30"/>
      <c r="H1396" s="30"/>
      <c r="I1396" s="30"/>
      <c r="J1396" s="30"/>
      <c r="K1396" s="30"/>
    </row>
    <row r="1397" spans="1:11" ht="15">
      <c r="A1397" s="30"/>
      <c r="B1397" s="30"/>
      <c r="C1397" s="30"/>
      <c r="D1397" s="30"/>
      <c r="E1397" s="30"/>
      <c r="F1397" s="30"/>
      <c r="G1397" s="30"/>
      <c r="H1397" s="30"/>
      <c r="I1397" s="30"/>
      <c r="J1397" s="30"/>
      <c r="K1397" s="30"/>
    </row>
    <row r="1398" spans="1:11" ht="15">
      <c r="A1398" s="30"/>
      <c r="B1398" s="30"/>
      <c r="C1398" s="30"/>
      <c r="D1398" s="30"/>
      <c r="E1398" s="30"/>
      <c r="F1398" s="30"/>
      <c r="G1398" s="30"/>
      <c r="H1398" s="30"/>
      <c r="I1398" s="30"/>
      <c r="J1398" s="30"/>
      <c r="K1398" s="30"/>
    </row>
    <row r="1399" spans="1:11" ht="15">
      <c r="A1399" s="30"/>
      <c r="B1399" s="30"/>
      <c r="C1399" s="30"/>
      <c r="D1399" s="30"/>
      <c r="E1399" s="30"/>
      <c r="F1399" s="30"/>
      <c r="G1399" s="30"/>
      <c r="H1399" s="30"/>
      <c r="I1399" s="30"/>
      <c r="J1399" s="30"/>
      <c r="K1399" s="30"/>
    </row>
    <row r="1400" spans="1:11" ht="15">
      <c r="A1400" s="30"/>
      <c r="B1400" s="30"/>
      <c r="C1400" s="30"/>
      <c r="D1400" s="30"/>
      <c r="E1400" s="30"/>
      <c r="F1400" s="30"/>
      <c r="G1400" s="30"/>
      <c r="H1400" s="30"/>
      <c r="I1400" s="30"/>
      <c r="J1400" s="30"/>
      <c r="K1400" s="30"/>
    </row>
    <row r="1401" spans="1:11" ht="15">
      <c r="A1401" s="30"/>
      <c r="B1401" s="30"/>
      <c r="C1401" s="30"/>
      <c r="D1401" s="30"/>
      <c r="E1401" s="30"/>
      <c r="F1401" s="30"/>
      <c r="G1401" s="30"/>
      <c r="H1401" s="30"/>
      <c r="I1401" s="30"/>
      <c r="J1401" s="30"/>
      <c r="K1401" s="30"/>
    </row>
    <row r="1402" spans="1:11" ht="15">
      <c r="A1402" s="30"/>
      <c r="B1402" s="30"/>
      <c r="C1402" s="30"/>
      <c r="D1402" s="30"/>
      <c r="E1402" s="30"/>
      <c r="F1402" s="30"/>
      <c r="G1402" s="30"/>
      <c r="H1402" s="30"/>
      <c r="I1402" s="30"/>
      <c r="J1402" s="30"/>
      <c r="K1402" s="30"/>
    </row>
    <row r="1403" spans="1:11" ht="15">
      <c r="A1403" s="30"/>
      <c r="B1403" s="30"/>
      <c r="C1403" s="30"/>
      <c r="D1403" s="30"/>
      <c r="E1403" s="30"/>
      <c r="F1403" s="30"/>
      <c r="G1403" s="30"/>
      <c r="H1403" s="30"/>
      <c r="I1403" s="30"/>
      <c r="J1403" s="30"/>
      <c r="K1403" s="30"/>
    </row>
    <row r="1404" spans="1:11" ht="15">
      <c r="A1404" s="30"/>
      <c r="B1404" s="30"/>
      <c r="C1404" s="30"/>
      <c r="D1404" s="30"/>
      <c r="E1404" s="30"/>
      <c r="F1404" s="30"/>
      <c r="G1404" s="30"/>
      <c r="H1404" s="30"/>
      <c r="I1404" s="30"/>
      <c r="J1404" s="30"/>
      <c r="K1404" s="30"/>
    </row>
    <row r="1405" spans="1:11" ht="15">
      <c r="A1405" s="30"/>
      <c r="B1405" s="30"/>
      <c r="C1405" s="30"/>
      <c r="D1405" s="30"/>
      <c r="E1405" s="30"/>
      <c r="F1405" s="30"/>
      <c r="G1405" s="30"/>
      <c r="H1405" s="30"/>
      <c r="I1405" s="30"/>
      <c r="J1405" s="30"/>
      <c r="K1405" s="30"/>
    </row>
    <row r="1406" spans="1:11" ht="15">
      <c r="A1406" s="30"/>
      <c r="B1406" s="30"/>
      <c r="C1406" s="30"/>
      <c r="D1406" s="30"/>
      <c r="E1406" s="30"/>
      <c r="F1406" s="30"/>
      <c r="G1406" s="30"/>
      <c r="H1406" s="30"/>
      <c r="I1406" s="30"/>
      <c r="J1406" s="30"/>
      <c r="K1406" s="30"/>
    </row>
    <row r="1407" spans="1:11" ht="15">
      <c r="A1407" s="30"/>
      <c r="B1407" s="30"/>
      <c r="C1407" s="30"/>
      <c r="D1407" s="30"/>
      <c r="E1407" s="30"/>
      <c r="F1407" s="30"/>
      <c r="G1407" s="30"/>
      <c r="H1407" s="30"/>
      <c r="I1407" s="30"/>
      <c r="J1407" s="30"/>
      <c r="K1407" s="30"/>
    </row>
    <row r="1408" spans="1:11" ht="15">
      <c r="A1408" s="30"/>
      <c r="B1408" s="30"/>
      <c r="C1408" s="30"/>
      <c r="D1408" s="30"/>
      <c r="E1408" s="30"/>
      <c r="F1408" s="30"/>
      <c r="G1408" s="30"/>
      <c r="H1408" s="30"/>
      <c r="I1408" s="30"/>
      <c r="J1408" s="30"/>
      <c r="K1408" s="30"/>
    </row>
    <row r="1409" spans="1:11" ht="15">
      <c r="A1409" s="30"/>
      <c r="B1409" s="30"/>
      <c r="C1409" s="30"/>
      <c r="D1409" s="30"/>
      <c r="E1409" s="30"/>
      <c r="F1409" s="30"/>
      <c r="G1409" s="30"/>
      <c r="H1409" s="30"/>
      <c r="I1409" s="30"/>
      <c r="J1409" s="30"/>
      <c r="K1409" s="30"/>
    </row>
    <row r="1410" spans="1:11" ht="15">
      <c r="A1410" s="30"/>
      <c r="B1410" s="30"/>
      <c r="C1410" s="30"/>
      <c r="D1410" s="30"/>
      <c r="E1410" s="30"/>
      <c r="F1410" s="30"/>
      <c r="G1410" s="30"/>
      <c r="H1410" s="30"/>
      <c r="I1410" s="30"/>
      <c r="J1410" s="30"/>
      <c r="K1410" s="30"/>
    </row>
    <row r="1411" spans="1:11" ht="15">
      <c r="A1411" s="30"/>
      <c r="B1411" s="30"/>
      <c r="C1411" s="30"/>
      <c r="D1411" s="30"/>
      <c r="E1411" s="30"/>
      <c r="F1411" s="30"/>
      <c r="G1411" s="30"/>
      <c r="H1411" s="30"/>
      <c r="I1411" s="30"/>
      <c r="J1411" s="30"/>
      <c r="K1411" s="30"/>
    </row>
    <row r="1412" spans="1:11" ht="15">
      <c r="A1412" s="30"/>
      <c r="B1412" s="30"/>
      <c r="C1412" s="30"/>
      <c r="D1412" s="30"/>
      <c r="E1412" s="30"/>
      <c r="F1412" s="30"/>
      <c r="G1412" s="30"/>
      <c r="H1412" s="30"/>
      <c r="I1412" s="30"/>
      <c r="J1412" s="30"/>
      <c r="K1412" s="30"/>
    </row>
    <row r="1413" spans="1:11" ht="15">
      <c r="A1413" s="30"/>
      <c r="B1413" s="30"/>
      <c r="C1413" s="30"/>
      <c r="D1413" s="30"/>
      <c r="E1413" s="30"/>
      <c r="F1413" s="30"/>
      <c r="G1413" s="30"/>
      <c r="H1413" s="30"/>
      <c r="I1413" s="30"/>
      <c r="J1413" s="30"/>
      <c r="K1413" s="30"/>
    </row>
    <row r="1414" spans="1:11" ht="15">
      <c r="A1414" s="30"/>
      <c r="B1414" s="30"/>
      <c r="C1414" s="30"/>
      <c r="D1414" s="30"/>
      <c r="E1414" s="30"/>
      <c r="F1414" s="30"/>
      <c r="G1414" s="30"/>
      <c r="H1414" s="30"/>
      <c r="I1414" s="30"/>
      <c r="J1414" s="30"/>
      <c r="K1414" s="30"/>
    </row>
    <row r="1415" spans="1:11" ht="15">
      <c r="A1415" s="30"/>
      <c r="B1415" s="30"/>
      <c r="C1415" s="30"/>
      <c r="D1415" s="30"/>
      <c r="E1415" s="30"/>
      <c r="F1415" s="30"/>
      <c r="G1415" s="30"/>
      <c r="H1415" s="30"/>
      <c r="I1415" s="30"/>
      <c r="J1415" s="30"/>
      <c r="K1415" s="30"/>
    </row>
    <row r="1416" spans="1:11" ht="15">
      <c r="A1416" s="30"/>
      <c r="B1416" s="30"/>
      <c r="C1416" s="30"/>
      <c r="D1416" s="30"/>
      <c r="E1416" s="30"/>
      <c r="F1416" s="30"/>
      <c r="G1416" s="30"/>
      <c r="H1416" s="30"/>
      <c r="I1416" s="30"/>
      <c r="J1416" s="30"/>
      <c r="K1416" s="30"/>
    </row>
    <row r="1417" spans="1:11" ht="15">
      <c r="A1417" s="30"/>
      <c r="B1417" s="30"/>
      <c r="C1417" s="30"/>
      <c r="D1417" s="30"/>
      <c r="E1417" s="30"/>
      <c r="F1417" s="30"/>
      <c r="G1417" s="30"/>
      <c r="H1417" s="30"/>
      <c r="I1417" s="30"/>
      <c r="J1417" s="30"/>
      <c r="K1417" s="30"/>
    </row>
    <row r="1418" spans="1:11" ht="15">
      <c r="A1418" s="30"/>
      <c r="B1418" s="30"/>
      <c r="C1418" s="30"/>
      <c r="D1418" s="30"/>
      <c r="E1418" s="30"/>
      <c r="F1418" s="30"/>
      <c r="G1418" s="30"/>
      <c r="H1418" s="30"/>
      <c r="I1418" s="30"/>
      <c r="J1418" s="30"/>
      <c r="K1418" s="30"/>
    </row>
    <row r="1419" spans="1:11" ht="15">
      <c r="A1419" s="30"/>
      <c r="B1419" s="30"/>
      <c r="C1419" s="30"/>
      <c r="D1419" s="30"/>
      <c r="E1419" s="30"/>
      <c r="F1419" s="30"/>
      <c r="G1419" s="30"/>
      <c r="H1419" s="30"/>
      <c r="I1419" s="30"/>
      <c r="J1419" s="30"/>
      <c r="K1419" s="30"/>
    </row>
    <row r="1420" spans="1:11" ht="15">
      <c r="A1420" s="30"/>
      <c r="B1420" s="30"/>
      <c r="C1420" s="30"/>
      <c r="D1420" s="30"/>
      <c r="E1420" s="30"/>
      <c r="F1420" s="30"/>
      <c r="G1420" s="30"/>
      <c r="H1420" s="30"/>
      <c r="I1420" s="30"/>
      <c r="J1420" s="30"/>
      <c r="K1420" s="30"/>
    </row>
    <row r="1421" spans="1:11" ht="15">
      <c r="A1421" s="30"/>
      <c r="B1421" s="30"/>
      <c r="C1421" s="30"/>
      <c r="D1421" s="30"/>
      <c r="E1421" s="30"/>
      <c r="F1421" s="30"/>
      <c r="G1421" s="30"/>
      <c r="H1421" s="30"/>
      <c r="I1421" s="30"/>
      <c r="J1421" s="30"/>
      <c r="K1421" s="30"/>
    </row>
    <row r="1422" spans="1:11" ht="15">
      <c r="A1422" s="30"/>
      <c r="B1422" s="30"/>
      <c r="C1422" s="30"/>
      <c r="D1422" s="30"/>
      <c r="E1422" s="30"/>
      <c r="F1422" s="30"/>
      <c r="G1422" s="30"/>
      <c r="H1422" s="30"/>
      <c r="I1422" s="30"/>
      <c r="J1422" s="30"/>
      <c r="K1422" s="30"/>
    </row>
    <row r="1423" spans="1:11" ht="15">
      <c r="A1423" s="30"/>
      <c r="B1423" s="30"/>
      <c r="C1423" s="30"/>
      <c r="D1423" s="30"/>
      <c r="E1423" s="30"/>
      <c r="F1423" s="30"/>
      <c r="G1423" s="30"/>
      <c r="H1423" s="30"/>
      <c r="I1423" s="30"/>
      <c r="J1423" s="30"/>
      <c r="K1423" s="30"/>
    </row>
    <row r="1424" spans="1:11" ht="15">
      <c r="A1424" s="30"/>
      <c r="B1424" s="30"/>
      <c r="C1424" s="30"/>
      <c r="D1424" s="30"/>
      <c r="E1424" s="30"/>
      <c r="F1424" s="30"/>
      <c r="G1424" s="30"/>
      <c r="H1424" s="30"/>
      <c r="I1424" s="30"/>
      <c r="J1424" s="30"/>
      <c r="K1424" s="30"/>
    </row>
    <row r="1425" spans="1:11" ht="15">
      <c r="A1425" s="30"/>
      <c r="B1425" s="30"/>
      <c r="C1425" s="30"/>
      <c r="D1425" s="30"/>
      <c r="E1425" s="30"/>
      <c r="F1425" s="30"/>
      <c r="G1425" s="30"/>
      <c r="H1425" s="30"/>
      <c r="I1425" s="30"/>
      <c r="J1425" s="30"/>
      <c r="K1425" s="30"/>
    </row>
    <row r="1426" spans="1:11" ht="15">
      <c r="A1426" s="30"/>
      <c r="B1426" s="30"/>
      <c r="C1426" s="30"/>
      <c r="D1426" s="30"/>
      <c r="E1426" s="30"/>
      <c r="F1426" s="30"/>
      <c r="G1426" s="30"/>
      <c r="H1426" s="30"/>
      <c r="I1426" s="30"/>
      <c r="J1426" s="30"/>
      <c r="K1426" s="30"/>
    </row>
    <row r="1427" spans="1:11" ht="15">
      <c r="A1427" s="30"/>
      <c r="B1427" s="30"/>
      <c r="C1427" s="30"/>
      <c r="D1427" s="30"/>
      <c r="E1427" s="30"/>
      <c r="F1427" s="30"/>
      <c r="G1427" s="30"/>
      <c r="H1427" s="30"/>
      <c r="I1427" s="30"/>
      <c r="J1427" s="30"/>
      <c r="K1427" s="30"/>
    </row>
    <row r="1428" spans="1:11" ht="15">
      <c r="A1428" s="30"/>
      <c r="B1428" s="30"/>
      <c r="C1428" s="30"/>
      <c r="D1428" s="30"/>
      <c r="E1428" s="30"/>
      <c r="F1428" s="30"/>
      <c r="G1428" s="30"/>
      <c r="H1428" s="30"/>
      <c r="I1428" s="30"/>
      <c r="J1428" s="30"/>
      <c r="K1428" s="30"/>
    </row>
    <row r="1429" spans="1:11" ht="15">
      <c r="A1429" s="30"/>
      <c r="B1429" s="30"/>
      <c r="C1429" s="30"/>
      <c r="D1429" s="30"/>
      <c r="E1429" s="30"/>
      <c r="F1429" s="30"/>
      <c r="G1429" s="30"/>
      <c r="H1429" s="30"/>
      <c r="I1429" s="30"/>
      <c r="J1429" s="30"/>
      <c r="K1429" s="30"/>
    </row>
    <row r="1430" spans="1:11" ht="15">
      <c r="A1430" s="30"/>
      <c r="B1430" s="30"/>
      <c r="C1430" s="30"/>
      <c r="D1430" s="30"/>
      <c r="E1430" s="30"/>
      <c r="F1430" s="30"/>
      <c r="G1430" s="30"/>
      <c r="H1430" s="30"/>
      <c r="I1430" s="30"/>
      <c r="J1430" s="30"/>
      <c r="K1430" s="30"/>
    </row>
    <row r="1431" spans="1:11" ht="15">
      <c r="A1431" s="30"/>
      <c r="B1431" s="30"/>
      <c r="C1431" s="30"/>
      <c r="D1431" s="30"/>
      <c r="E1431" s="30"/>
      <c r="F1431" s="30"/>
      <c r="G1431" s="30"/>
      <c r="H1431" s="30"/>
      <c r="I1431" s="30"/>
      <c r="J1431" s="30"/>
      <c r="K1431" s="30"/>
    </row>
    <row r="1432" spans="1:11" ht="15">
      <c r="A1432" s="30"/>
      <c r="B1432" s="30"/>
      <c r="C1432" s="30"/>
      <c r="D1432" s="30"/>
      <c r="E1432" s="30"/>
      <c r="F1432" s="30"/>
      <c r="G1432" s="30"/>
      <c r="H1432" s="30"/>
      <c r="I1432" s="30"/>
      <c r="J1432" s="30"/>
      <c r="K1432" s="30"/>
    </row>
    <row r="1433" spans="1:11" ht="15">
      <c r="A1433" s="30"/>
      <c r="B1433" s="30"/>
      <c r="C1433" s="30"/>
      <c r="D1433" s="30"/>
      <c r="E1433" s="30"/>
      <c r="F1433" s="30"/>
      <c r="G1433" s="30"/>
      <c r="H1433" s="30"/>
      <c r="I1433" s="30"/>
      <c r="J1433" s="30"/>
      <c r="K1433" s="30"/>
    </row>
    <row r="1434" spans="1:11" ht="15">
      <c r="A1434" s="30"/>
      <c r="B1434" s="30"/>
      <c r="C1434" s="30"/>
      <c r="D1434" s="30"/>
      <c r="E1434" s="30"/>
      <c r="F1434" s="30"/>
      <c r="G1434" s="30"/>
      <c r="H1434" s="30"/>
      <c r="I1434" s="30"/>
      <c r="J1434" s="30"/>
      <c r="K1434" s="30"/>
    </row>
    <row r="1435" spans="1:11" ht="15">
      <c r="A1435" s="30"/>
      <c r="B1435" s="30"/>
      <c r="C1435" s="30"/>
      <c r="D1435" s="30"/>
      <c r="E1435" s="30"/>
      <c r="F1435" s="30"/>
      <c r="G1435" s="30"/>
      <c r="H1435" s="30"/>
      <c r="I1435" s="30"/>
      <c r="J1435" s="30"/>
      <c r="K1435" s="30"/>
    </row>
    <row r="1436" spans="1:11" ht="15">
      <c r="A1436" s="30"/>
      <c r="B1436" s="30"/>
      <c r="C1436" s="30"/>
      <c r="D1436" s="30"/>
      <c r="E1436" s="30"/>
      <c r="F1436" s="30"/>
      <c r="G1436" s="30"/>
      <c r="H1436" s="30"/>
      <c r="I1436" s="30"/>
      <c r="J1436" s="30"/>
      <c r="K1436" s="30"/>
    </row>
    <row r="1437" spans="1:11" ht="15">
      <c r="A1437" s="30"/>
      <c r="B1437" s="30"/>
      <c r="C1437" s="30"/>
      <c r="D1437" s="30"/>
      <c r="E1437" s="30"/>
      <c r="F1437" s="30"/>
      <c r="G1437" s="30"/>
      <c r="H1437" s="30"/>
      <c r="I1437" s="30"/>
      <c r="J1437" s="30"/>
      <c r="K1437" s="30"/>
    </row>
    <row r="1438" spans="1:11" ht="15">
      <c r="A1438" s="30"/>
      <c r="B1438" s="30"/>
      <c r="C1438" s="30"/>
      <c r="D1438" s="30"/>
      <c r="E1438" s="30"/>
      <c r="F1438" s="30"/>
      <c r="G1438" s="30"/>
      <c r="H1438" s="30"/>
      <c r="I1438" s="30"/>
      <c r="J1438" s="30"/>
      <c r="K1438" s="30"/>
    </row>
    <row r="1439" spans="1:11" ht="15">
      <c r="A1439" s="30"/>
      <c r="B1439" s="30"/>
      <c r="C1439" s="30"/>
      <c r="D1439" s="30"/>
      <c r="E1439" s="30"/>
      <c r="F1439" s="30"/>
      <c r="G1439" s="30"/>
      <c r="H1439" s="30"/>
      <c r="I1439" s="30"/>
      <c r="J1439" s="30"/>
      <c r="K1439" s="30"/>
    </row>
    <row r="1440" spans="1:11" ht="15">
      <c r="A1440" s="30"/>
      <c r="B1440" s="30"/>
      <c r="C1440" s="30"/>
      <c r="D1440" s="30"/>
      <c r="E1440" s="30"/>
      <c r="F1440" s="30"/>
      <c r="G1440" s="30"/>
      <c r="H1440" s="30"/>
      <c r="I1440" s="30"/>
      <c r="J1440" s="30"/>
      <c r="K1440" s="30"/>
    </row>
    <row r="1441" spans="1:11" ht="15">
      <c r="A1441" s="30"/>
      <c r="B1441" s="30"/>
      <c r="C1441" s="30"/>
      <c r="D1441" s="30"/>
      <c r="E1441" s="30"/>
      <c r="F1441" s="30"/>
      <c r="G1441" s="30"/>
      <c r="H1441" s="30"/>
      <c r="I1441" s="30"/>
      <c r="J1441" s="30"/>
      <c r="K1441" s="30"/>
    </row>
    <row r="1442" spans="1:11" ht="15">
      <c r="A1442" s="30"/>
      <c r="B1442" s="30"/>
      <c r="C1442" s="30"/>
      <c r="D1442" s="30"/>
      <c r="E1442" s="30"/>
      <c r="F1442" s="30"/>
      <c r="G1442" s="30"/>
      <c r="H1442" s="30"/>
      <c r="I1442" s="30"/>
      <c r="J1442" s="30"/>
      <c r="K1442" s="30"/>
    </row>
    <row r="1443" spans="1:11" ht="15">
      <c r="A1443" s="30"/>
      <c r="B1443" s="30"/>
      <c r="C1443" s="30"/>
      <c r="D1443" s="30"/>
      <c r="E1443" s="30"/>
      <c r="F1443" s="30"/>
      <c r="G1443" s="30"/>
      <c r="H1443" s="30"/>
      <c r="I1443" s="30"/>
      <c r="J1443" s="30"/>
      <c r="K1443" s="30"/>
    </row>
    <row r="1444" spans="1:11" ht="15">
      <c r="A1444" s="30"/>
      <c r="B1444" s="30"/>
      <c r="C1444" s="30"/>
      <c r="D1444" s="30"/>
      <c r="E1444" s="30"/>
      <c r="F1444" s="30"/>
      <c r="G1444" s="30"/>
      <c r="H1444" s="30"/>
      <c r="I1444" s="30"/>
      <c r="J1444" s="30"/>
      <c r="K1444" s="30"/>
    </row>
    <row r="1445" spans="1:11" ht="15">
      <c r="A1445" s="30"/>
      <c r="B1445" s="30"/>
      <c r="C1445" s="30"/>
      <c r="D1445" s="30"/>
      <c r="E1445" s="30"/>
      <c r="F1445" s="30"/>
      <c r="G1445" s="30"/>
      <c r="H1445" s="30"/>
      <c r="I1445" s="30"/>
      <c r="J1445" s="30"/>
      <c r="K1445" s="30"/>
    </row>
    <row r="1446" spans="1:11" ht="15">
      <c r="A1446" s="30"/>
      <c r="B1446" s="30"/>
      <c r="C1446" s="30"/>
      <c r="D1446" s="30"/>
      <c r="E1446" s="30"/>
      <c r="F1446" s="30"/>
      <c r="G1446" s="30"/>
      <c r="H1446" s="30"/>
      <c r="I1446" s="30"/>
      <c r="J1446" s="30"/>
      <c r="K1446" s="30"/>
    </row>
    <row r="1447" spans="1:11" ht="15">
      <c r="A1447" s="30"/>
      <c r="B1447" s="30"/>
      <c r="C1447" s="30"/>
      <c r="D1447" s="30"/>
      <c r="E1447" s="30"/>
      <c r="F1447" s="30"/>
      <c r="G1447" s="30"/>
      <c r="H1447" s="30"/>
      <c r="I1447" s="30"/>
      <c r="J1447" s="30"/>
      <c r="K1447" s="30"/>
    </row>
    <row r="1448" spans="1:11" ht="15">
      <c r="A1448" s="30"/>
      <c r="B1448" s="30"/>
      <c r="C1448" s="30"/>
      <c r="D1448" s="30"/>
      <c r="E1448" s="30"/>
      <c r="F1448" s="30"/>
      <c r="G1448" s="30"/>
      <c r="H1448" s="30"/>
      <c r="I1448" s="30"/>
      <c r="J1448" s="30"/>
      <c r="K1448" s="30"/>
    </row>
    <row r="1449" spans="1:11" ht="15">
      <c r="A1449" s="30"/>
      <c r="B1449" s="30"/>
      <c r="C1449" s="30"/>
      <c r="D1449" s="30"/>
      <c r="E1449" s="30"/>
      <c r="F1449" s="30"/>
      <c r="G1449" s="30"/>
      <c r="H1449" s="30"/>
      <c r="I1449" s="30"/>
      <c r="J1449" s="30"/>
      <c r="K1449" s="30"/>
    </row>
    <row r="1450" spans="1:11" ht="15">
      <c r="A1450" s="30"/>
      <c r="B1450" s="30"/>
      <c r="C1450" s="30"/>
      <c r="D1450" s="30"/>
      <c r="E1450" s="30"/>
      <c r="F1450" s="30"/>
      <c r="G1450" s="30"/>
      <c r="H1450" s="30"/>
      <c r="I1450" s="30"/>
      <c r="J1450" s="30"/>
      <c r="K1450" s="30"/>
    </row>
    <row r="1451" spans="1:11" ht="15">
      <c r="A1451" s="30"/>
      <c r="B1451" s="30"/>
      <c r="C1451" s="30"/>
      <c r="D1451" s="30"/>
      <c r="E1451" s="30"/>
      <c r="F1451" s="30"/>
      <c r="G1451" s="30"/>
      <c r="H1451" s="30"/>
      <c r="I1451" s="30"/>
      <c r="J1451" s="30"/>
      <c r="K1451" s="30"/>
    </row>
    <row r="1452" spans="1:11" ht="15">
      <c r="A1452" s="30"/>
      <c r="B1452" s="30"/>
      <c r="C1452" s="30"/>
      <c r="D1452" s="30"/>
      <c r="E1452" s="30"/>
      <c r="F1452" s="30"/>
      <c r="G1452" s="30"/>
      <c r="H1452" s="30"/>
      <c r="I1452" s="30"/>
      <c r="J1452" s="30"/>
      <c r="K1452" s="30"/>
    </row>
    <row r="1453" spans="1:11" ht="15">
      <c r="A1453" s="30"/>
      <c r="B1453" s="30"/>
      <c r="C1453" s="30"/>
      <c r="D1453" s="30"/>
      <c r="E1453" s="30"/>
      <c r="F1453" s="30"/>
      <c r="G1453" s="30"/>
      <c r="H1453" s="30"/>
      <c r="I1453" s="30"/>
      <c r="J1453" s="30"/>
      <c r="K1453" s="30"/>
    </row>
    <row r="1454" spans="1:11" ht="15">
      <c r="A1454" s="30"/>
      <c r="B1454" s="30"/>
      <c r="C1454" s="30"/>
      <c r="D1454" s="30"/>
      <c r="E1454" s="30"/>
      <c r="F1454" s="30"/>
      <c r="G1454" s="30"/>
      <c r="H1454" s="30"/>
      <c r="I1454" s="30"/>
      <c r="J1454" s="30"/>
      <c r="K1454" s="30"/>
    </row>
    <row r="1455" spans="1:11" ht="15">
      <c r="A1455" s="30"/>
      <c r="B1455" s="30"/>
      <c r="C1455" s="30"/>
      <c r="D1455" s="30"/>
      <c r="E1455" s="30"/>
      <c r="F1455" s="30"/>
      <c r="G1455" s="30"/>
      <c r="H1455" s="30"/>
      <c r="I1455" s="30"/>
      <c r="J1455" s="30"/>
      <c r="K1455" s="30"/>
    </row>
    <row r="1456" spans="1:11" ht="15">
      <c r="A1456" s="30"/>
      <c r="B1456" s="30"/>
      <c r="C1456" s="30"/>
      <c r="D1456" s="30"/>
      <c r="E1456" s="30"/>
      <c r="F1456" s="30"/>
      <c r="G1456" s="30"/>
      <c r="H1456" s="30"/>
      <c r="I1456" s="30"/>
      <c r="J1456" s="30"/>
      <c r="K1456" s="30"/>
    </row>
    <row r="1457" spans="1:11" ht="15">
      <c r="A1457" s="30"/>
      <c r="B1457" s="30"/>
      <c r="C1457" s="30"/>
      <c r="D1457" s="30"/>
      <c r="E1457" s="30"/>
      <c r="F1457" s="30"/>
      <c r="G1457" s="30"/>
      <c r="H1457" s="30"/>
      <c r="I1457" s="30"/>
      <c r="J1457" s="30"/>
      <c r="K1457" s="30"/>
    </row>
    <row r="1458" spans="1:11" ht="15">
      <c r="A1458" s="30"/>
      <c r="B1458" s="30"/>
      <c r="C1458" s="30"/>
      <c r="D1458" s="30"/>
      <c r="E1458" s="30"/>
      <c r="F1458" s="30"/>
      <c r="G1458" s="30"/>
      <c r="H1458" s="30"/>
      <c r="I1458" s="30"/>
      <c r="J1458" s="30"/>
      <c r="K1458" s="30"/>
    </row>
    <row r="1459" spans="1:11" ht="15">
      <c r="A1459" s="30"/>
      <c r="B1459" s="30"/>
      <c r="C1459" s="30"/>
      <c r="D1459" s="30"/>
      <c r="E1459" s="30"/>
      <c r="F1459" s="30"/>
      <c r="G1459" s="30"/>
      <c r="H1459" s="30"/>
      <c r="I1459" s="30"/>
      <c r="J1459" s="30"/>
      <c r="K1459" s="30"/>
    </row>
    <row r="1460" spans="1:11" ht="15">
      <c r="A1460" s="30"/>
      <c r="B1460" s="30"/>
      <c r="C1460" s="30"/>
      <c r="D1460" s="30"/>
      <c r="E1460" s="30"/>
      <c r="F1460" s="30"/>
      <c r="G1460" s="30"/>
      <c r="H1460" s="30"/>
      <c r="I1460" s="30"/>
      <c r="J1460" s="30"/>
      <c r="K1460" s="30"/>
    </row>
    <row r="1461" spans="1:11" ht="15">
      <c r="A1461" s="30"/>
      <c r="B1461" s="30"/>
      <c r="C1461" s="30"/>
      <c r="D1461" s="30"/>
      <c r="E1461" s="30"/>
      <c r="F1461" s="30"/>
      <c r="G1461" s="30"/>
      <c r="H1461" s="30"/>
      <c r="I1461" s="30"/>
      <c r="J1461" s="30"/>
      <c r="K1461" s="30"/>
    </row>
    <row r="1462" spans="1:11" ht="15">
      <c r="A1462" s="30"/>
      <c r="B1462" s="30"/>
      <c r="C1462" s="30"/>
      <c r="D1462" s="30"/>
      <c r="E1462" s="30"/>
      <c r="F1462" s="30"/>
      <c r="G1462" s="30"/>
      <c r="H1462" s="30"/>
      <c r="I1462" s="30"/>
      <c r="J1462" s="30"/>
      <c r="K1462" s="30"/>
    </row>
    <row r="1463" spans="1:11" ht="15">
      <c r="A1463" s="30"/>
      <c r="B1463" s="30"/>
      <c r="C1463" s="30"/>
      <c r="D1463" s="30"/>
      <c r="E1463" s="30"/>
      <c r="F1463" s="30"/>
      <c r="G1463" s="30"/>
      <c r="H1463" s="30"/>
      <c r="I1463" s="30"/>
      <c r="J1463" s="30"/>
      <c r="K1463" s="30"/>
    </row>
    <row r="1464" spans="1:11" ht="15">
      <c r="A1464" s="30"/>
      <c r="B1464" s="30"/>
      <c r="C1464" s="30"/>
      <c r="D1464" s="30"/>
      <c r="E1464" s="30"/>
      <c r="F1464" s="30"/>
      <c r="G1464" s="30"/>
      <c r="H1464" s="30"/>
      <c r="I1464" s="30"/>
      <c r="J1464" s="30"/>
      <c r="K1464" s="30"/>
    </row>
    <row r="1465" spans="1:11" ht="15">
      <c r="A1465" s="30"/>
      <c r="B1465" s="30"/>
      <c r="C1465" s="30"/>
      <c r="D1465" s="30"/>
      <c r="E1465" s="30"/>
      <c r="F1465" s="30"/>
      <c r="G1465" s="30"/>
      <c r="H1465" s="30"/>
      <c r="I1465" s="30"/>
      <c r="J1465" s="30"/>
      <c r="K1465" s="30"/>
    </row>
    <row r="1466" spans="1:11" ht="15">
      <c r="A1466" s="30"/>
      <c r="B1466" s="30"/>
      <c r="C1466" s="30"/>
      <c r="D1466" s="30"/>
      <c r="E1466" s="30"/>
      <c r="F1466" s="30"/>
      <c r="G1466" s="30"/>
      <c r="H1466" s="30"/>
      <c r="I1466" s="30"/>
      <c r="J1466" s="30"/>
      <c r="K1466" s="30"/>
    </row>
    <row r="1467" spans="1:11" ht="15">
      <c r="A1467" s="30"/>
      <c r="B1467" s="30"/>
      <c r="C1467" s="30"/>
      <c r="D1467" s="30"/>
      <c r="E1467" s="30"/>
      <c r="F1467" s="30"/>
      <c r="G1467" s="30"/>
      <c r="H1467" s="30"/>
      <c r="I1467" s="30"/>
      <c r="J1467" s="30"/>
      <c r="K1467" s="30"/>
    </row>
    <row r="1468" spans="1:11" ht="15">
      <c r="A1468" s="30"/>
      <c r="B1468" s="30"/>
      <c r="C1468" s="30"/>
      <c r="D1468" s="30"/>
      <c r="E1468" s="30"/>
      <c r="F1468" s="30"/>
      <c r="G1468" s="30"/>
      <c r="H1468" s="30"/>
      <c r="I1468" s="30"/>
      <c r="J1468" s="30"/>
      <c r="K1468" s="30"/>
    </row>
    <row r="1469" spans="1:11" ht="15">
      <c r="A1469" s="30"/>
      <c r="B1469" s="30"/>
      <c r="C1469" s="30"/>
      <c r="D1469" s="30"/>
      <c r="E1469" s="30"/>
      <c r="F1469" s="30"/>
      <c r="G1469" s="30"/>
      <c r="H1469" s="30"/>
      <c r="I1469" s="30"/>
      <c r="J1469" s="30"/>
      <c r="K1469" s="30"/>
    </row>
    <row r="1470" spans="1:11" ht="15">
      <c r="A1470" s="30"/>
      <c r="B1470" s="30"/>
      <c r="C1470" s="30"/>
      <c r="D1470" s="30"/>
      <c r="E1470" s="30"/>
      <c r="F1470" s="30"/>
      <c r="G1470" s="30"/>
      <c r="H1470" s="30"/>
      <c r="I1470" s="30"/>
      <c r="J1470" s="30"/>
      <c r="K1470" s="30"/>
    </row>
    <row r="1471" spans="1:11" ht="15">
      <c r="A1471" s="30"/>
      <c r="B1471" s="30"/>
      <c r="C1471" s="30"/>
      <c r="D1471" s="30"/>
      <c r="E1471" s="30"/>
      <c r="F1471" s="30"/>
      <c r="G1471" s="30"/>
      <c r="H1471" s="30"/>
      <c r="I1471" s="30"/>
      <c r="J1471" s="30"/>
      <c r="K1471" s="30"/>
    </row>
    <row r="1472" spans="1:11" ht="15">
      <c r="A1472" s="30"/>
      <c r="B1472" s="30"/>
      <c r="C1472" s="30"/>
      <c r="D1472" s="30"/>
      <c r="E1472" s="30"/>
      <c r="F1472" s="30"/>
      <c r="G1472" s="30"/>
      <c r="H1472" s="30"/>
      <c r="I1472" s="30"/>
      <c r="J1472" s="30"/>
      <c r="K1472" s="30"/>
    </row>
    <row r="1473" spans="1:11" ht="15">
      <c r="A1473" s="30"/>
      <c r="B1473" s="30"/>
      <c r="C1473" s="30"/>
      <c r="D1473" s="30"/>
      <c r="E1473" s="30"/>
      <c r="F1473" s="30"/>
      <c r="G1473" s="30"/>
      <c r="H1473" s="30"/>
      <c r="I1473" s="30"/>
      <c r="J1473" s="30"/>
      <c r="K1473" s="30"/>
    </row>
    <row r="1474" spans="1:11" ht="15">
      <c r="A1474" s="30"/>
      <c r="B1474" s="30"/>
      <c r="C1474" s="30"/>
      <c r="D1474" s="30"/>
      <c r="E1474" s="30"/>
      <c r="F1474" s="30"/>
      <c r="G1474" s="30"/>
      <c r="H1474" s="30"/>
      <c r="I1474" s="30"/>
      <c r="J1474" s="30"/>
      <c r="K1474" s="30"/>
    </row>
    <row r="1475" spans="1:11" ht="15">
      <c r="A1475" s="30"/>
      <c r="B1475" s="30"/>
      <c r="C1475" s="30"/>
      <c r="D1475" s="30"/>
      <c r="E1475" s="30"/>
      <c r="F1475" s="30"/>
      <c r="G1475" s="30"/>
      <c r="H1475" s="30"/>
      <c r="I1475" s="30"/>
      <c r="J1475" s="30"/>
      <c r="K1475" s="30"/>
    </row>
    <row r="1476" spans="1:11" ht="15">
      <c r="A1476" s="30"/>
      <c r="B1476" s="30"/>
      <c r="C1476" s="30"/>
      <c r="D1476" s="30"/>
      <c r="E1476" s="30"/>
      <c r="F1476" s="30"/>
      <c r="G1476" s="30"/>
      <c r="H1476" s="30"/>
      <c r="I1476" s="30"/>
      <c r="J1476" s="30"/>
      <c r="K1476" s="30"/>
    </row>
    <row r="1477" spans="1:11" ht="15">
      <c r="A1477" s="30"/>
      <c r="B1477" s="30"/>
      <c r="C1477" s="30"/>
      <c r="D1477" s="30"/>
      <c r="E1477" s="30"/>
      <c r="F1477" s="30"/>
      <c r="G1477" s="30"/>
      <c r="H1477" s="30"/>
      <c r="I1477" s="30"/>
      <c r="J1477" s="30"/>
      <c r="K1477" s="30"/>
    </row>
    <row r="1478" spans="1:11" ht="15">
      <c r="A1478" s="30"/>
      <c r="B1478" s="30"/>
      <c r="C1478" s="30"/>
      <c r="D1478" s="30"/>
      <c r="E1478" s="30"/>
      <c r="F1478" s="30"/>
      <c r="G1478" s="30"/>
      <c r="H1478" s="30"/>
      <c r="I1478" s="30"/>
      <c r="J1478" s="30"/>
      <c r="K1478" s="30"/>
    </row>
    <row r="1479" spans="1:11" ht="15">
      <c r="A1479" s="30"/>
      <c r="B1479" s="30"/>
      <c r="C1479" s="30"/>
      <c r="D1479" s="30"/>
      <c r="E1479" s="30"/>
      <c r="F1479" s="30"/>
      <c r="G1479" s="30"/>
      <c r="H1479" s="30"/>
      <c r="I1479" s="30"/>
      <c r="J1479" s="30"/>
      <c r="K1479" s="30"/>
    </row>
    <row r="1480" spans="1:11" ht="15">
      <c r="A1480" s="30"/>
      <c r="B1480" s="30"/>
      <c r="C1480" s="30"/>
      <c r="D1480" s="30"/>
      <c r="E1480" s="30"/>
      <c r="F1480" s="30"/>
      <c r="G1480" s="30"/>
      <c r="H1480" s="30"/>
      <c r="I1480" s="30"/>
      <c r="J1480" s="30"/>
      <c r="K1480" s="30"/>
    </row>
    <row r="1481" spans="1:11" ht="15">
      <c r="A1481" s="30"/>
      <c r="B1481" s="30"/>
      <c r="C1481" s="30"/>
      <c r="D1481" s="30"/>
      <c r="E1481" s="30"/>
      <c r="F1481" s="30"/>
      <c r="G1481" s="30"/>
      <c r="H1481" s="30"/>
      <c r="I1481" s="30"/>
      <c r="J1481" s="30"/>
      <c r="K1481" s="30"/>
    </row>
    <row r="1482" spans="1:11" ht="15">
      <c r="A1482" s="30"/>
      <c r="B1482" s="30"/>
      <c r="C1482" s="30"/>
      <c r="D1482" s="30"/>
      <c r="E1482" s="30"/>
      <c r="F1482" s="30"/>
      <c r="G1482" s="30"/>
      <c r="H1482" s="30"/>
      <c r="I1482" s="30"/>
      <c r="J1482" s="30"/>
      <c r="K1482" s="30"/>
    </row>
    <row r="1483" spans="1:11" ht="15">
      <c r="A1483" s="30"/>
      <c r="B1483" s="30"/>
      <c r="C1483" s="30"/>
      <c r="D1483" s="30"/>
      <c r="E1483" s="30"/>
      <c r="F1483" s="30"/>
      <c r="G1483" s="30"/>
      <c r="H1483" s="30"/>
      <c r="I1483" s="30"/>
      <c r="J1483" s="30"/>
      <c r="K1483" s="30"/>
    </row>
    <row r="1484" spans="1:11" ht="15">
      <c r="A1484" s="30"/>
      <c r="B1484" s="30"/>
      <c r="C1484" s="30"/>
      <c r="D1484" s="30"/>
      <c r="E1484" s="30"/>
      <c r="F1484" s="30"/>
      <c r="G1484" s="30"/>
      <c r="H1484" s="30"/>
      <c r="I1484" s="30"/>
      <c r="J1484" s="30"/>
      <c r="K1484" s="30"/>
    </row>
    <row r="1485" spans="1:11" ht="15">
      <c r="A1485" s="30"/>
      <c r="B1485" s="30"/>
      <c r="C1485" s="30"/>
      <c r="D1485" s="30"/>
      <c r="E1485" s="30"/>
      <c r="F1485" s="30"/>
      <c r="G1485" s="30"/>
      <c r="H1485" s="30"/>
      <c r="I1485" s="30"/>
      <c r="J1485" s="30"/>
      <c r="K1485" s="30"/>
    </row>
    <row r="1486" spans="1:11" ht="15">
      <c r="A1486" s="30"/>
      <c r="B1486" s="30"/>
      <c r="C1486" s="30"/>
      <c r="D1486" s="30"/>
      <c r="E1486" s="30"/>
      <c r="F1486" s="30"/>
      <c r="G1486" s="30"/>
      <c r="H1486" s="30"/>
      <c r="I1486" s="30"/>
      <c r="J1486" s="30"/>
      <c r="K1486" s="30"/>
    </row>
    <row r="1487" spans="1:11" ht="15">
      <c r="A1487" s="30"/>
      <c r="B1487" s="30"/>
      <c r="C1487" s="30"/>
      <c r="D1487" s="30"/>
      <c r="E1487" s="30"/>
      <c r="F1487" s="30"/>
      <c r="G1487" s="30"/>
      <c r="H1487" s="30"/>
      <c r="I1487" s="30"/>
      <c r="J1487" s="30"/>
      <c r="K1487" s="30"/>
    </row>
    <row r="1488" spans="1:11" ht="15">
      <c r="A1488" s="30"/>
      <c r="B1488" s="30"/>
      <c r="C1488" s="30"/>
      <c r="D1488" s="30"/>
      <c r="E1488" s="30"/>
      <c r="F1488" s="30"/>
      <c r="G1488" s="30"/>
      <c r="H1488" s="30"/>
      <c r="I1488" s="30"/>
      <c r="J1488" s="30"/>
      <c r="K1488" s="30"/>
    </row>
    <row r="1489" spans="1:11" ht="15">
      <c r="A1489" s="30"/>
      <c r="B1489" s="30"/>
      <c r="C1489" s="30"/>
      <c r="D1489" s="30"/>
      <c r="E1489" s="30"/>
      <c r="F1489" s="30"/>
      <c r="G1489" s="30"/>
      <c r="H1489" s="30"/>
      <c r="I1489" s="30"/>
      <c r="J1489" s="30"/>
      <c r="K1489" s="30"/>
    </row>
    <row r="1490" spans="1:11" ht="15">
      <c r="A1490" s="30"/>
      <c r="B1490" s="30"/>
      <c r="C1490" s="30"/>
      <c r="D1490" s="30"/>
      <c r="E1490" s="30"/>
      <c r="F1490" s="30"/>
      <c r="G1490" s="30"/>
      <c r="H1490" s="30"/>
      <c r="I1490" s="30"/>
      <c r="J1490" s="30"/>
      <c r="K1490" s="30"/>
    </row>
    <row r="1491" spans="1:11" ht="15">
      <c r="A1491" s="30"/>
      <c r="B1491" s="30"/>
      <c r="C1491" s="30"/>
      <c r="D1491" s="30"/>
      <c r="E1491" s="30"/>
      <c r="F1491" s="30"/>
      <c r="G1491" s="30"/>
      <c r="H1491" s="30"/>
      <c r="I1491" s="30"/>
      <c r="J1491" s="30"/>
      <c r="K1491" s="30"/>
    </row>
    <row r="1492" spans="1:11" ht="15">
      <c r="A1492" s="30"/>
      <c r="B1492" s="30"/>
      <c r="C1492" s="30"/>
      <c r="D1492" s="30"/>
      <c r="E1492" s="30"/>
      <c r="F1492" s="30"/>
      <c r="G1492" s="30"/>
      <c r="H1492" s="30"/>
      <c r="I1492" s="30"/>
      <c r="J1492" s="30"/>
      <c r="K1492" s="30"/>
    </row>
    <row r="1493" spans="1:11" ht="15">
      <c r="A1493" s="30"/>
      <c r="B1493" s="30"/>
      <c r="C1493" s="30"/>
      <c r="D1493" s="30"/>
      <c r="E1493" s="30"/>
      <c r="F1493" s="30"/>
      <c r="G1493" s="30"/>
      <c r="H1493" s="30"/>
      <c r="I1493" s="30"/>
      <c r="J1493" s="30"/>
      <c r="K1493" s="30"/>
    </row>
    <row r="1494" spans="1:11" ht="15">
      <c r="A1494" s="30"/>
      <c r="B1494" s="30"/>
      <c r="C1494" s="30"/>
      <c r="D1494" s="30"/>
      <c r="E1494" s="30"/>
      <c r="F1494" s="30"/>
      <c r="G1494" s="30"/>
      <c r="H1494" s="30"/>
      <c r="I1494" s="30"/>
      <c r="J1494" s="30"/>
      <c r="K1494" s="30"/>
    </row>
    <row r="1495" spans="1:11" ht="15">
      <c r="A1495" s="30"/>
      <c r="B1495" s="30"/>
      <c r="C1495" s="30"/>
      <c r="D1495" s="30"/>
      <c r="E1495" s="30"/>
      <c r="F1495" s="30"/>
      <c r="G1495" s="30"/>
      <c r="H1495" s="30"/>
      <c r="I1495" s="30"/>
      <c r="J1495" s="30"/>
      <c r="K1495" s="30"/>
    </row>
    <row r="1496" spans="1:11" ht="15">
      <c r="A1496" s="30"/>
      <c r="B1496" s="30"/>
      <c r="C1496" s="30"/>
      <c r="D1496" s="30"/>
      <c r="E1496" s="30"/>
      <c r="F1496" s="30"/>
      <c r="G1496" s="30"/>
      <c r="H1496" s="30"/>
      <c r="I1496" s="30"/>
      <c r="J1496" s="30"/>
      <c r="K1496" s="30"/>
    </row>
    <row r="1497" spans="1:11" ht="15">
      <c r="A1497" s="30"/>
      <c r="B1497" s="30"/>
      <c r="C1497" s="30"/>
      <c r="D1497" s="30"/>
      <c r="E1497" s="30"/>
      <c r="F1497" s="30"/>
      <c r="G1497" s="30"/>
      <c r="H1497" s="30"/>
      <c r="I1497" s="30"/>
      <c r="J1497" s="30"/>
      <c r="K1497" s="30"/>
    </row>
    <row r="1498" spans="1:11" ht="15">
      <c r="A1498" s="30"/>
      <c r="B1498" s="30"/>
      <c r="C1498" s="30"/>
      <c r="D1498" s="30"/>
      <c r="E1498" s="30"/>
      <c r="F1498" s="30"/>
      <c r="G1498" s="30"/>
      <c r="H1498" s="30"/>
      <c r="I1498" s="30"/>
      <c r="J1498" s="30"/>
      <c r="K1498" s="30"/>
    </row>
    <row r="1499" spans="1:11" ht="15">
      <c r="A1499" s="30"/>
      <c r="B1499" s="30"/>
      <c r="C1499" s="30"/>
      <c r="D1499" s="30"/>
      <c r="E1499" s="30"/>
      <c r="F1499" s="30"/>
      <c r="G1499" s="30"/>
      <c r="H1499" s="30"/>
      <c r="I1499" s="30"/>
      <c r="J1499" s="30"/>
      <c r="K1499" s="30"/>
    </row>
    <row r="1500" spans="1:11" ht="15">
      <c r="A1500" s="30"/>
      <c r="B1500" s="30"/>
      <c r="C1500" s="30"/>
      <c r="D1500" s="30"/>
      <c r="E1500" s="30"/>
      <c r="F1500" s="30"/>
      <c r="G1500" s="30"/>
      <c r="H1500" s="30"/>
      <c r="I1500" s="30"/>
      <c r="J1500" s="30"/>
      <c r="K1500" s="30"/>
    </row>
    <row r="1501" spans="1:11" ht="15">
      <c r="A1501" s="30"/>
      <c r="B1501" s="30"/>
      <c r="C1501" s="30"/>
      <c r="D1501" s="30"/>
      <c r="E1501" s="30"/>
      <c r="F1501" s="30"/>
      <c r="G1501" s="30"/>
      <c r="H1501" s="30"/>
      <c r="I1501" s="30"/>
      <c r="J1501" s="30"/>
      <c r="K1501" s="30"/>
    </row>
    <row r="1502" spans="1:11" ht="15">
      <c r="A1502" s="30"/>
      <c r="B1502" s="30"/>
      <c r="C1502" s="30"/>
      <c r="D1502" s="30"/>
      <c r="E1502" s="30"/>
      <c r="F1502" s="30"/>
      <c r="G1502" s="30"/>
      <c r="H1502" s="30"/>
      <c r="I1502" s="30"/>
      <c r="J1502" s="30"/>
      <c r="K1502" s="30"/>
    </row>
    <row r="1503" spans="1:11" ht="15">
      <c r="A1503" s="30"/>
      <c r="B1503" s="30"/>
      <c r="C1503" s="30"/>
      <c r="D1503" s="30"/>
      <c r="E1503" s="30"/>
      <c r="F1503" s="30"/>
      <c r="G1503" s="30"/>
      <c r="H1503" s="30"/>
      <c r="I1503" s="30"/>
      <c r="J1503" s="30"/>
      <c r="K1503" s="30"/>
    </row>
    <row r="1504" spans="1:11" ht="15">
      <c r="A1504" s="30"/>
      <c r="B1504" s="30"/>
      <c r="C1504" s="30"/>
      <c r="D1504" s="30"/>
      <c r="E1504" s="30"/>
      <c r="F1504" s="30"/>
      <c r="G1504" s="30"/>
      <c r="H1504" s="30"/>
      <c r="I1504" s="30"/>
      <c r="J1504" s="30"/>
      <c r="K1504" s="30"/>
    </row>
    <row r="1505" spans="1:11" ht="15">
      <c r="A1505" s="30"/>
      <c r="B1505" s="30"/>
      <c r="C1505" s="30"/>
      <c r="D1505" s="30"/>
      <c r="E1505" s="30"/>
      <c r="F1505" s="30"/>
      <c r="G1505" s="30"/>
      <c r="H1505" s="30"/>
      <c r="I1505" s="30"/>
      <c r="J1505" s="30"/>
      <c r="K1505" s="30"/>
    </row>
    <row r="1506" spans="1:11" ht="15">
      <c r="A1506" s="30"/>
      <c r="B1506" s="30"/>
      <c r="C1506" s="30"/>
      <c r="D1506" s="30"/>
      <c r="E1506" s="30"/>
      <c r="F1506" s="30"/>
      <c r="G1506" s="30"/>
      <c r="H1506" s="30"/>
      <c r="I1506" s="30"/>
      <c r="J1506" s="30"/>
      <c r="K1506" s="30"/>
    </row>
    <row r="1507" spans="1:11" ht="15">
      <c r="A1507" s="30"/>
      <c r="B1507" s="30"/>
      <c r="C1507" s="30"/>
      <c r="D1507" s="30"/>
      <c r="E1507" s="30"/>
      <c r="F1507" s="30"/>
      <c r="G1507" s="30"/>
      <c r="H1507" s="30"/>
      <c r="I1507" s="30"/>
      <c r="J1507" s="30"/>
      <c r="K1507" s="30"/>
    </row>
    <row r="1508" spans="1:11" ht="15">
      <c r="A1508" s="30"/>
      <c r="B1508" s="30"/>
      <c r="C1508" s="30"/>
      <c r="D1508" s="30"/>
      <c r="E1508" s="30"/>
      <c r="F1508" s="30"/>
      <c r="G1508" s="30"/>
      <c r="H1508" s="30"/>
      <c r="I1508" s="30"/>
      <c r="J1508" s="30"/>
      <c r="K1508" s="30"/>
    </row>
    <row r="1509" spans="1:11" ht="15">
      <c r="A1509" s="30"/>
      <c r="B1509" s="30"/>
      <c r="C1509" s="30"/>
      <c r="D1509" s="30"/>
      <c r="E1509" s="30"/>
      <c r="F1509" s="30"/>
      <c r="G1509" s="30"/>
      <c r="H1509" s="30"/>
      <c r="I1509" s="30"/>
      <c r="J1509" s="30"/>
      <c r="K1509" s="30"/>
    </row>
    <row r="1510" spans="1:11" ht="15">
      <c r="A1510" s="30"/>
      <c r="B1510" s="30"/>
      <c r="C1510" s="30"/>
      <c r="D1510" s="30"/>
      <c r="E1510" s="30"/>
      <c r="F1510" s="30"/>
      <c r="G1510" s="30"/>
      <c r="H1510" s="30"/>
      <c r="I1510" s="30"/>
      <c r="J1510" s="30"/>
      <c r="K1510" s="30"/>
    </row>
    <row r="1511" spans="1:11" ht="15">
      <c r="A1511" s="30"/>
      <c r="B1511" s="30"/>
      <c r="C1511" s="30"/>
      <c r="D1511" s="30"/>
      <c r="E1511" s="30"/>
      <c r="F1511" s="30"/>
      <c r="G1511" s="30"/>
      <c r="H1511" s="30"/>
      <c r="I1511" s="30"/>
      <c r="J1511" s="30"/>
      <c r="K1511" s="30"/>
    </row>
    <row r="1512" spans="1:11" ht="15">
      <c r="A1512" s="30"/>
      <c r="B1512" s="30"/>
      <c r="C1512" s="30"/>
      <c r="D1512" s="30"/>
      <c r="E1512" s="30"/>
      <c r="F1512" s="30"/>
      <c r="G1512" s="30"/>
      <c r="H1512" s="30"/>
      <c r="I1512" s="30"/>
      <c r="J1512" s="30"/>
      <c r="K1512" s="30"/>
    </row>
    <row r="1513" spans="1:11" ht="15">
      <c r="A1513" s="30"/>
      <c r="B1513" s="30"/>
      <c r="C1513" s="30"/>
      <c r="D1513" s="30"/>
      <c r="E1513" s="30"/>
      <c r="F1513" s="30"/>
      <c r="G1513" s="30"/>
      <c r="H1513" s="30"/>
      <c r="I1513" s="30"/>
      <c r="J1513" s="30"/>
      <c r="K1513" s="30"/>
    </row>
    <row r="1514" spans="1:11" ht="15">
      <c r="A1514" s="30"/>
      <c r="B1514" s="30"/>
      <c r="C1514" s="30"/>
      <c r="D1514" s="30"/>
      <c r="E1514" s="30"/>
      <c r="F1514" s="30"/>
      <c r="G1514" s="30"/>
      <c r="H1514" s="30"/>
      <c r="I1514" s="30"/>
      <c r="J1514" s="30"/>
      <c r="K1514" s="30"/>
    </row>
    <row r="1515" spans="1:11" ht="15">
      <c r="A1515" s="30"/>
      <c r="B1515" s="30"/>
      <c r="C1515" s="30"/>
      <c r="D1515" s="30"/>
      <c r="E1515" s="30"/>
      <c r="F1515" s="30"/>
      <c r="G1515" s="30"/>
      <c r="H1515" s="30"/>
      <c r="I1515" s="30"/>
      <c r="J1515" s="30"/>
      <c r="K1515" s="30"/>
    </row>
    <row r="1516" spans="1:11" ht="15">
      <c r="A1516" s="30"/>
      <c r="B1516" s="30"/>
      <c r="C1516" s="30"/>
      <c r="D1516" s="30"/>
      <c r="E1516" s="30"/>
      <c r="F1516" s="30"/>
      <c r="G1516" s="30"/>
      <c r="H1516" s="30"/>
      <c r="I1516" s="30"/>
      <c r="J1516" s="30"/>
      <c r="K1516" s="30"/>
    </row>
    <row r="1517" spans="1:11" ht="15">
      <c r="A1517" s="30"/>
      <c r="B1517" s="30"/>
      <c r="C1517" s="30"/>
      <c r="D1517" s="30"/>
      <c r="E1517" s="30"/>
      <c r="F1517" s="30"/>
      <c r="G1517" s="30"/>
      <c r="H1517" s="30"/>
      <c r="I1517" s="30"/>
      <c r="J1517" s="30"/>
      <c r="K1517" s="30"/>
    </row>
    <row r="1518" spans="1:11" ht="15">
      <c r="A1518" s="30"/>
      <c r="B1518" s="30"/>
      <c r="C1518" s="30"/>
      <c r="D1518" s="30"/>
      <c r="E1518" s="30"/>
      <c r="F1518" s="30"/>
      <c r="G1518" s="30"/>
      <c r="H1518" s="30"/>
      <c r="I1518" s="30"/>
      <c r="J1518" s="30"/>
      <c r="K1518" s="30"/>
    </row>
    <row r="1519" spans="1:11" ht="15">
      <c r="A1519" s="30"/>
      <c r="B1519" s="30"/>
      <c r="C1519" s="30"/>
      <c r="D1519" s="30"/>
      <c r="E1519" s="30"/>
      <c r="F1519" s="30"/>
      <c r="G1519" s="30"/>
      <c r="H1519" s="30"/>
      <c r="I1519" s="30"/>
      <c r="J1519" s="30"/>
      <c r="K1519" s="30"/>
    </row>
    <row r="1520" spans="1:11" ht="15">
      <c r="A1520" s="30"/>
      <c r="B1520" s="30"/>
      <c r="C1520" s="30"/>
      <c r="D1520" s="30"/>
      <c r="E1520" s="30"/>
      <c r="F1520" s="30"/>
      <c r="G1520" s="30"/>
      <c r="H1520" s="30"/>
      <c r="I1520" s="30"/>
      <c r="J1520" s="30"/>
      <c r="K1520" s="30"/>
    </row>
    <row r="1521" spans="1:11" ht="15">
      <c r="A1521" s="30"/>
      <c r="B1521" s="30"/>
      <c r="C1521" s="30"/>
      <c r="D1521" s="30"/>
      <c r="E1521" s="30"/>
      <c r="F1521" s="30"/>
      <c r="G1521" s="30"/>
      <c r="H1521" s="30"/>
      <c r="I1521" s="30"/>
      <c r="J1521" s="30"/>
      <c r="K1521" s="30"/>
    </row>
    <row r="1522" spans="1:11" ht="15">
      <c r="A1522" s="30"/>
      <c r="B1522" s="30"/>
      <c r="C1522" s="30"/>
      <c r="D1522" s="30"/>
      <c r="E1522" s="30"/>
      <c r="F1522" s="30"/>
      <c r="G1522" s="30"/>
      <c r="H1522" s="30"/>
      <c r="I1522" s="30"/>
      <c r="J1522" s="30"/>
      <c r="K1522" s="30"/>
    </row>
    <row r="1523" spans="1:11" ht="15">
      <c r="A1523" s="30"/>
      <c r="B1523" s="30"/>
      <c r="C1523" s="30"/>
      <c r="D1523" s="30"/>
      <c r="E1523" s="30"/>
      <c r="F1523" s="30"/>
      <c r="G1523" s="30"/>
      <c r="H1523" s="30"/>
      <c r="I1523" s="30"/>
      <c r="J1523" s="30"/>
      <c r="K1523" s="30"/>
    </row>
    <row r="1524" spans="1:11" ht="15">
      <c r="A1524" s="30"/>
      <c r="B1524" s="30"/>
      <c r="C1524" s="30"/>
      <c r="D1524" s="30"/>
      <c r="E1524" s="30"/>
      <c r="F1524" s="30"/>
      <c r="G1524" s="30"/>
      <c r="H1524" s="30"/>
      <c r="I1524" s="30"/>
      <c r="J1524" s="30"/>
      <c r="K1524" s="30"/>
    </row>
    <row r="1525" spans="1:11" ht="15">
      <c r="A1525" s="30"/>
      <c r="B1525" s="30"/>
      <c r="C1525" s="30"/>
      <c r="D1525" s="30"/>
      <c r="E1525" s="30"/>
      <c r="F1525" s="30"/>
      <c r="G1525" s="30"/>
      <c r="H1525" s="30"/>
      <c r="I1525" s="30"/>
      <c r="J1525" s="30"/>
      <c r="K1525" s="30"/>
    </row>
    <row r="1526" spans="1:11" ht="15">
      <c r="A1526" s="30"/>
      <c r="B1526" s="30"/>
      <c r="C1526" s="30"/>
      <c r="D1526" s="30"/>
      <c r="E1526" s="30"/>
      <c r="F1526" s="30"/>
      <c r="G1526" s="30"/>
      <c r="H1526" s="30"/>
      <c r="I1526" s="30"/>
      <c r="J1526" s="30"/>
      <c r="K1526" s="30"/>
    </row>
    <row r="1527" spans="1:11" ht="15">
      <c r="A1527" s="30"/>
      <c r="B1527" s="30"/>
      <c r="C1527" s="30"/>
      <c r="D1527" s="30"/>
      <c r="E1527" s="30"/>
      <c r="F1527" s="30"/>
      <c r="G1527" s="30"/>
      <c r="H1527" s="30"/>
      <c r="I1527" s="30"/>
      <c r="J1527" s="30"/>
      <c r="K1527" s="30"/>
    </row>
    <row r="1528" spans="1:11" ht="15">
      <c r="A1528" s="30"/>
      <c r="B1528" s="30"/>
      <c r="C1528" s="30"/>
      <c r="D1528" s="30"/>
      <c r="E1528" s="30"/>
      <c r="F1528" s="30"/>
      <c r="G1528" s="30"/>
      <c r="H1528" s="30"/>
      <c r="I1528" s="30"/>
      <c r="J1528" s="30"/>
      <c r="K1528" s="30"/>
    </row>
    <row r="1529" spans="1:11" ht="15">
      <c r="A1529" s="30"/>
      <c r="B1529" s="30"/>
      <c r="C1529" s="30"/>
      <c r="D1529" s="30"/>
      <c r="E1529" s="30"/>
      <c r="F1529" s="30"/>
      <c r="G1529" s="30"/>
      <c r="H1529" s="30"/>
      <c r="I1529" s="30"/>
      <c r="J1529" s="30"/>
      <c r="K1529" s="30"/>
    </row>
    <row r="1530" spans="1:11" ht="15">
      <c r="A1530" s="30"/>
      <c r="B1530" s="30"/>
      <c r="C1530" s="30"/>
      <c r="D1530" s="30"/>
      <c r="E1530" s="30"/>
      <c r="F1530" s="30"/>
      <c r="G1530" s="30"/>
      <c r="H1530" s="30"/>
      <c r="I1530" s="30"/>
      <c r="J1530" s="30"/>
      <c r="K1530" s="30"/>
    </row>
    <row r="1531" spans="1:11" ht="15">
      <c r="A1531" s="30"/>
      <c r="B1531" s="30"/>
      <c r="C1531" s="30"/>
      <c r="D1531" s="30"/>
      <c r="E1531" s="30"/>
      <c r="F1531" s="30"/>
      <c r="G1531" s="30"/>
      <c r="H1531" s="30"/>
      <c r="I1531" s="30"/>
      <c r="J1531" s="30"/>
      <c r="K1531" s="30"/>
    </row>
    <row r="1532" spans="1:11" ht="15">
      <c r="A1532" s="30"/>
      <c r="B1532" s="30"/>
      <c r="C1532" s="30"/>
      <c r="D1532" s="30"/>
      <c r="E1532" s="30"/>
      <c r="F1532" s="30"/>
      <c r="G1532" s="30"/>
      <c r="H1532" s="30"/>
      <c r="I1532" s="30"/>
      <c r="J1532" s="30"/>
      <c r="K1532" s="30"/>
    </row>
    <row r="1533" spans="1:11" ht="15">
      <c r="A1533" s="30"/>
      <c r="B1533" s="30"/>
      <c r="C1533" s="30"/>
      <c r="D1533" s="30"/>
      <c r="E1533" s="30"/>
      <c r="F1533" s="30"/>
      <c r="G1533" s="30"/>
      <c r="H1533" s="30"/>
      <c r="I1533" s="30"/>
      <c r="J1533" s="30"/>
      <c r="K1533" s="30"/>
    </row>
    <row r="1534" spans="1:11" ht="15">
      <c r="A1534" s="30"/>
      <c r="B1534" s="30"/>
      <c r="C1534" s="30"/>
      <c r="D1534" s="30"/>
      <c r="E1534" s="30"/>
      <c r="F1534" s="30"/>
      <c r="G1534" s="30"/>
      <c r="H1534" s="30"/>
      <c r="I1534" s="30"/>
      <c r="J1534" s="30"/>
      <c r="K1534" s="30"/>
    </row>
    <row r="1535" spans="1:11" ht="15">
      <c r="A1535" s="30"/>
      <c r="B1535" s="30"/>
      <c r="C1535" s="30"/>
      <c r="D1535" s="30"/>
      <c r="E1535" s="30"/>
      <c r="F1535" s="30"/>
      <c r="G1535" s="30"/>
      <c r="H1535" s="30"/>
      <c r="I1535" s="30"/>
      <c r="J1535" s="30"/>
      <c r="K1535" s="30"/>
    </row>
    <row r="1536" spans="1:11" ht="15">
      <c r="A1536" s="30"/>
      <c r="B1536" s="30"/>
      <c r="C1536" s="30"/>
      <c r="D1536" s="30"/>
      <c r="E1536" s="30"/>
      <c r="F1536" s="30"/>
      <c r="G1536" s="30"/>
      <c r="H1536" s="30"/>
      <c r="I1536" s="30"/>
      <c r="J1536" s="30"/>
      <c r="K1536" s="30"/>
    </row>
    <row r="1537" spans="1:11" ht="15">
      <c r="A1537" s="30"/>
      <c r="B1537" s="30"/>
      <c r="C1537" s="30"/>
      <c r="D1537" s="30"/>
      <c r="E1537" s="30"/>
      <c r="F1537" s="30"/>
      <c r="G1537" s="30"/>
      <c r="H1537" s="30"/>
      <c r="I1537" s="30"/>
      <c r="J1537" s="30"/>
      <c r="K1537" s="30"/>
    </row>
    <row r="1538" spans="1:11" ht="15">
      <c r="A1538" s="30"/>
      <c r="B1538" s="30"/>
      <c r="C1538" s="30"/>
      <c r="D1538" s="30"/>
      <c r="E1538" s="30"/>
      <c r="F1538" s="30"/>
      <c r="G1538" s="30"/>
      <c r="H1538" s="30"/>
      <c r="I1538" s="30"/>
      <c r="J1538" s="30"/>
      <c r="K1538" s="30"/>
    </row>
    <row r="1539" spans="1:11" ht="15">
      <c r="A1539" s="30"/>
      <c r="B1539" s="30"/>
      <c r="C1539" s="30"/>
      <c r="D1539" s="30"/>
      <c r="E1539" s="30"/>
      <c r="F1539" s="30"/>
      <c r="G1539" s="30"/>
      <c r="H1539" s="30"/>
      <c r="I1539" s="30"/>
      <c r="J1539" s="30"/>
      <c r="K1539" s="30"/>
    </row>
    <row r="1540" spans="1:11" ht="15">
      <c r="A1540" s="30"/>
      <c r="B1540" s="30"/>
      <c r="C1540" s="30"/>
      <c r="D1540" s="30"/>
      <c r="E1540" s="30"/>
      <c r="F1540" s="30"/>
      <c r="G1540" s="30"/>
      <c r="H1540" s="30"/>
      <c r="I1540" s="30"/>
      <c r="J1540" s="30"/>
      <c r="K1540" s="30"/>
    </row>
    <row r="1541" spans="1:11" ht="15">
      <c r="A1541" s="30"/>
      <c r="B1541" s="30"/>
      <c r="C1541" s="30"/>
      <c r="D1541" s="30"/>
      <c r="E1541" s="30"/>
      <c r="F1541" s="30"/>
      <c r="G1541" s="30"/>
      <c r="H1541" s="30"/>
      <c r="I1541" s="30"/>
      <c r="J1541" s="30"/>
      <c r="K1541" s="30"/>
    </row>
    <row r="1542" spans="1:11" ht="15">
      <c r="A1542" s="30"/>
      <c r="B1542" s="30"/>
      <c r="C1542" s="30"/>
      <c r="D1542" s="30"/>
      <c r="E1542" s="30"/>
      <c r="F1542" s="30"/>
      <c r="G1542" s="30"/>
      <c r="H1542" s="30"/>
      <c r="I1542" s="30"/>
      <c r="J1542" s="30"/>
      <c r="K1542" s="30"/>
    </row>
    <row r="1543" spans="1:11" ht="15">
      <c r="A1543" s="30"/>
      <c r="B1543" s="30"/>
      <c r="C1543" s="30"/>
      <c r="D1543" s="30"/>
      <c r="E1543" s="30"/>
      <c r="F1543" s="30"/>
      <c r="G1543" s="30"/>
      <c r="H1543" s="30"/>
      <c r="I1543" s="30"/>
      <c r="J1543" s="30"/>
      <c r="K1543" s="30"/>
    </row>
    <row r="1544" spans="1:11" ht="15">
      <c r="A1544" s="30"/>
      <c r="B1544" s="30"/>
      <c r="C1544" s="30"/>
      <c r="D1544" s="30"/>
      <c r="E1544" s="30"/>
      <c r="F1544" s="30"/>
      <c r="G1544" s="30"/>
      <c r="H1544" s="30"/>
      <c r="I1544" s="30"/>
      <c r="J1544" s="30"/>
      <c r="K1544" s="30"/>
    </row>
    <row r="1545" spans="1:11" ht="15">
      <c r="A1545" s="30"/>
      <c r="B1545" s="30"/>
      <c r="C1545" s="30"/>
      <c r="D1545" s="30"/>
      <c r="E1545" s="30"/>
      <c r="F1545" s="30"/>
      <c r="G1545" s="30"/>
      <c r="H1545" s="30"/>
      <c r="I1545" s="30"/>
      <c r="J1545" s="30"/>
      <c r="K1545" s="30"/>
    </row>
    <row r="1546" spans="1:11" ht="15">
      <c r="A1546" s="30"/>
      <c r="B1546" s="30"/>
      <c r="C1546" s="30"/>
      <c r="D1546" s="30"/>
      <c r="E1546" s="30"/>
      <c r="F1546" s="30"/>
      <c r="G1546" s="30"/>
      <c r="H1546" s="30"/>
      <c r="I1546" s="30"/>
      <c r="J1546" s="30"/>
      <c r="K1546" s="30"/>
    </row>
    <row r="1547" spans="1:11" ht="15">
      <c r="A1547" s="30"/>
      <c r="B1547" s="30"/>
      <c r="C1547" s="30"/>
      <c r="D1547" s="30"/>
      <c r="E1547" s="30"/>
      <c r="F1547" s="30"/>
      <c r="G1547" s="30"/>
      <c r="H1547" s="30"/>
      <c r="I1547" s="30"/>
      <c r="J1547" s="30"/>
      <c r="K1547" s="30"/>
    </row>
    <row r="1548" spans="1:11" ht="15">
      <c r="A1548" s="30"/>
      <c r="B1548" s="30"/>
      <c r="C1548" s="30"/>
      <c r="D1548" s="30"/>
      <c r="E1548" s="30"/>
      <c r="F1548" s="30"/>
      <c r="G1548" s="30"/>
      <c r="H1548" s="30"/>
      <c r="I1548" s="30"/>
      <c r="J1548" s="30"/>
      <c r="K1548" s="30"/>
    </row>
    <row r="1549" spans="1:11" ht="15">
      <c r="A1549" s="30"/>
      <c r="B1549" s="30"/>
      <c r="C1549" s="30"/>
      <c r="D1549" s="30"/>
      <c r="E1549" s="30"/>
      <c r="F1549" s="30"/>
      <c r="G1549" s="30"/>
      <c r="H1549" s="30"/>
      <c r="I1549" s="30"/>
      <c r="J1549" s="30"/>
      <c r="K1549" s="30"/>
    </row>
    <row r="1550" spans="1:11" ht="15">
      <c r="A1550" s="30"/>
      <c r="B1550" s="30"/>
      <c r="C1550" s="30"/>
      <c r="D1550" s="30"/>
      <c r="E1550" s="30"/>
      <c r="F1550" s="30"/>
      <c r="G1550" s="30"/>
      <c r="H1550" s="30"/>
      <c r="I1550" s="30"/>
      <c r="J1550" s="30"/>
      <c r="K1550" s="30"/>
    </row>
    <row r="1551" spans="1:11" ht="15">
      <c r="A1551" s="30"/>
      <c r="B1551" s="30"/>
      <c r="C1551" s="30"/>
      <c r="D1551" s="30"/>
      <c r="E1551" s="30"/>
      <c r="F1551" s="30"/>
      <c r="G1551" s="30"/>
      <c r="H1551" s="30"/>
      <c r="I1551" s="30"/>
      <c r="J1551" s="30"/>
      <c r="K1551" s="30"/>
    </row>
    <row r="1552" spans="1:11" ht="15">
      <c r="A1552" s="30"/>
      <c r="B1552" s="30"/>
      <c r="C1552" s="30"/>
      <c r="D1552" s="30"/>
      <c r="E1552" s="30"/>
      <c r="F1552" s="30"/>
      <c r="G1552" s="30"/>
      <c r="H1552" s="30"/>
      <c r="I1552" s="30"/>
      <c r="J1552" s="30"/>
      <c r="K1552" s="30"/>
    </row>
    <row r="1553" spans="1:11" ht="15">
      <c r="A1553" s="30"/>
      <c r="B1553" s="30"/>
      <c r="C1553" s="30"/>
      <c r="D1553" s="30"/>
      <c r="E1553" s="30"/>
      <c r="F1553" s="30"/>
      <c r="G1553" s="30"/>
      <c r="H1553" s="30"/>
      <c r="I1553" s="30"/>
      <c r="J1553" s="30"/>
      <c r="K1553" s="30"/>
    </row>
    <row r="1554" spans="1:11" ht="15">
      <c r="A1554" s="30"/>
      <c r="B1554" s="30"/>
      <c r="C1554" s="30"/>
      <c r="D1554" s="30"/>
      <c r="E1554" s="30"/>
      <c r="F1554" s="30"/>
      <c r="G1554" s="30"/>
      <c r="H1554" s="30"/>
      <c r="I1554" s="30"/>
      <c r="J1554" s="30"/>
      <c r="K1554" s="30"/>
    </row>
    <row r="1555" spans="1:11" ht="15">
      <c r="A1555" s="30"/>
      <c r="B1555" s="30"/>
      <c r="C1555" s="30"/>
      <c r="D1555" s="30"/>
      <c r="E1555" s="30"/>
      <c r="F1555" s="30"/>
      <c r="G1555" s="30"/>
      <c r="H1555" s="30"/>
      <c r="I1555" s="30"/>
      <c r="J1555" s="30"/>
      <c r="K1555" s="30"/>
    </row>
    <row r="1556" spans="1:11" ht="15">
      <c r="A1556" s="30"/>
      <c r="B1556" s="30"/>
      <c r="C1556" s="30"/>
      <c r="D1556" s="30"/>
      <c r="E1556" s="30"/>
      <c r="F1556" s="30"/>
      <c r="G1556" s="30"/>
      <c r="H1556" s="30"/>
      <c r="I1556" s="30"/>
      <c r="J1556" s="30"/>
      <c r="K1556" s="30"/>
    </row>
    <row r="1557" spans="1:11" ht="15">
      <c r="A1557" s="30"/>
      <c r="B1557" s="30"/>
      <c r="C1557" s="30"/>
      <c r="D1557" s="30"/>
      <c r="E1557" s="30"/>
      <c r="F1557" s="30"/>
      <c r="G1557" s="30"/>
      <c r="H1557" s="30"/>
      <c r="I1557" s="30"/>
      <c r="J1557" s="30"/>
      <c r="K1557" s="30"/>
    </row>
    <row r="1558" spans="1:11" ht="15">
      <c r="A1558" s="30"/>
      <c r="B1558" s="30"/>
      <c r="C1558" s="30"/>
      <c r="D1558" s="30"/>
      <c r="E1558" s="30"/>
      <c r="F1558" s="30"/>
      <c r="G1558" s="30"/>
      <c r="H1558" s="30"/>
      <c r="I1558" s="30"/>
      <c r="J1558" s="30"/>
      <c r="K1558" s="30"/>
    </row>
    <row r="1559" spans="1:11" ht="15">
      <c r="A1559" s="30"/>
      <c r="B1559" s="30"/>
      <c r="C1559" s="30"/>
      <c r="D1559" s="30"/>
      <c r="E1559" s="30"/>
      <c r="F1559" s="30"/>
      <c r="G1559" s="30"/>
      <c r="H1559" s="30"/>
      <c r="I1559" s="30"/>
      <c r="J1559" s="30"/>
      <c r="K1559" s="30"/>
    </row>
    <row r="1560" spans="1:11" ht="15">
      <c r="A1560" s="30"/>
      <c r="B1560" s="30"/>
      <c r="C1560" s="30"/>
      <c r="D1560" s="30"/>
      <c r="E1560" s="30"/>
      <c r="F1560" s="30"/>
      <c r="G1560" s="30"/>
      <c r="H1560" s="30"/>
      <c r="I1560" s="30"/>
      <c r="J1560" s="30"/>
      <c r="K1560" s="30"/>
    </row>
    <row r="1561" spans="1:11" ht="15">
      <c r="A1561" s="30"/>
      <c r="B1561" s="30"/>
      <c r="C1561" s="30"/>
      <c r="D1561" s="30"/>
      <c r="E1561" s="30"/>
      <c r="F1561" s="30"/>
      <c r="G1561" s="30"/>
      <c r="H1561" s="30"/>
      <c r="I1561" s="30"/>
      <c r="J1561" s="30"/>
      <c r="K1561" s="30"/>
    </row>
    <row r="1562" spans="1:11" ht="15">
      <c r="A1562" s="30"/>
      <c r="B1562" s="30"/>
      <c r="C1562" s="30"/>
      <c r="D1562" s="30"/>
      <c r="E1562" s="30"/>
      <c r="F1562" s="30"/>
      <c r="G1562" s="30"/>
      <c r="H1562" s="30"/>
      <c r="I1562" s="30"/>
      <c r="J1562" s="30"/>
      <c r="K1562" s="30"/>
    </row>
    <row r="1563" spans="1:11" ht="15">
      <c r="A1563" s="30"/>
      <c r="B1563" s="30"/>
      <c r="C1563" s="30"/>
      <c r="D1563" s="30"/>
      <c r="E1563" s="30"/>
      <c r="F1563" s="30"/>
      <c r="G1563" s="30"/>
      <c r="H1563" s="30"/>
      <c r="I1563" s="30"/>
      <c r="J1563" s="30"/>
      <c r="K1563" s="30"/>
    </row>
    <row r="1564" spans="1:11" ht="15">
      <c r="A1564" s="30"/>
      <c r="B1564" s="30"/>
      <c r="C1564" s="30"/>
      <c r="D1564" s="30"/>
      <c r="E1564" s="30"/>
      <c r="F1564" s="30"/>
      <c r="G1564" s="30"/>
      <c r="H1564" s="30"/>
      <c r="I1564" s="30"/>
      <c r="J1564" s="30"/>
      <c r="K1564" s="30"/>
    </row>
    <row r="1565" spans="1:11" ht="15">
      <c r="A1565" s="30"/>
      <c r="B1565" s="30"/>
      <c r="C1565" s="30"/>
      <c r="D1565" s="30"/>
      <c r="E1565" s="30"/>
      <c r="F1565" s="30"/>
      <c r="G1565" s="30"/>
      <c r="H1565" s="30"/>
      <c r="I1565" s="30"/>
      <c r="J1565" s="30"/>
      <c r="K1565" s="30"/>
    </row>
    <row r="1566" spans="1:11" ht="15">
      <c r="A1566" s="30"/>
      <c r="B1566" s="30"/>
      <c r="C1566" s="30"/>
      <c r="D1566" s="30"/>
      <c r="E1566" s="30"/>
      <c r="F1566" s="30"/>
      <c r="G1566" s="30"/>
      <c r="H1566" s="30"/>
      <c r="I1566" s="30"/>
      <c r="J1566" s="30"/>
      <c r="K1566" s="30"/>
    </row>
    <row r="1567" spans="1:11" ht="15">
      <c r="A1567" s="30"/>
      <c r="B1567" s="30"/>
      <c r="C1567" s="30"/>
      <c r="D1567" s="30"/>
      <c r="E1567" s="30"/>
      <c r="F1567" s="30"/>
      <c r="G1567" s="30"/>
      <c r="H1567" s="30"/>
      <c r="I1567" s="30"/>
      <c r="J1567" s="30"/>
      <c r="K1567" s="30"/>
    </row>
    <row r="1568" spans="1:11" ht="15">
      <c r="A1568" s="30"/>
      <c r="B1568" s="30"/>
      <c r="C1568" s="30"/>
      <c r="D1568" s="30"/>
      <c r="E1568" s="30"/>
      <c r="F1568" s="30"/>
      <c r="G1568" s="30"/>
      <c r="H1568" s="30"/>
      <c r="I1568" s="30"/>
      <c r="J1568" s="30"/>
      <c r="K1568" s="30"/>
    </row>
    <row r="1569" spans="1:11" ht="15">
      <c r="A1569" s="30"/>
      <c r="B1569" s="30"/>
      <c r="C1569" s="30"/>
      <c r="D1569" s="30"/>
      <c r="E1569" s="30"/>
      <c r="F1569" s="30"/>
      <c r="G1569" s="30"/>
      <c r="H1569" s="30"/>
      <c r="I1569" s="30"/>
      <c r="J1569" s="30"/>
      <c r="K1569" s="30"/>
    </row>
    <row r="1570" spans="1:11" ht="15">
      <c r="A1570" s="30"/>
      <c r="B1570" s="30"/>
      <c r="C1570" s="30"/>
      <c r="D1570" s="30"/>
      <c r="E1570" s="30"/>
      <c r="F1570" s="30"/>
      <c r="G1570" s="30"/>
      <c r="H1570" s="30"/>
      <c r="I1570" s="30"/>
      <c r="J1570" s="30"/>
      <c r="K1570" s="30"/>
    </row>
    <row r="1571" spans="1:11" ht="15">
      <c r="A1571" s="30"/>
      <c r="B1571" s="30"/>
      <c r="C1571" s="30"/>
      <c r="D1571" s="30"/>
      <c r="E1571" s="30"/>
      <c r="F1571" s="30"/>
      <c r="G1571" s="30"/>
      <c r="H1571" s="30"/>
      <c r="I1571" s="30"/>
      <c r="J1571" s="30"/>
      <c r="K1571" s="30"/>
    </row>
    <row r="1572" spans="1:11" ht="15">
      <c r="A1572" s="30"/>
      <c r="B1572" s="30"/>
      <c r="C1572" s="30"/>
      <c r="D1572" s="30"/>
      <c r="E1572" s="30"/>
      <c r="F1572" s="30"/>
      <c r="G1572" s="30"/>
      <c r="H1572" s="30"/>
      <c r="I1572" s="30"/>
      <c r="J1572" s="30"/>
      <c r="K1572" s="30"/>
    </row>
    <row r="1573" spans="1:11" ht="15">
      <c r="A1573" s="30"/>
      <c r="B1573" s="30"/>
      <c r="C1573" s="30"/>
      <c r="D1573" s="30"/>
      <c r="E1573" s="30"/>
      <c r="F1573" s="30"/>
      <c r="G1573" s="30"/>
      <c r="H1573" s="30"/>
      <c r="I1573" s="30"/>
      <c r="J1573" s="30"/>
      <c r="K1573" s="30"/>
    </row>
    <row r="1574" spans="1:11" ht="15">
      <c r="A1574" s="30"/>
      <c r="B1574" s="30"/>
      <c r="C1574" s="30"/>
      <c r="D1574" s="30"/>
      <c r="E1574" s="30"/>
      <c r="F1574" s="30"/>
      <c r="G1574" s="30"/>
      <c r="H1574" s="30"/>
      <c r="I1574" s="30"/>
      <c r="J1574" s="30"/>
      <c r="K1574" s="30"/>
    </row>
    <row r="1575" spans="1:11" ht="15">
      <c r="A1575" s="30"/>
      <c r="B1575" s="30"/>
      <c r="C1575" s="30"/>
      <c r="D1575" s="30"/>
      <c r="E1575" s="30"/>
      <c r="F1575" s="30"/>
      <c r="G1575" s="30"/>
      <c r="H1575" s="30"/>
      <c r="I1575" s="30"/>
      <c r="J1575" s="30"/>
      <c r="K1575" s="30"/>
    </row>
    <row r="1576" spans="1:11" ht="15">
      <c r="A1576" s="30"/>
      <c r="B1576" s="30"/>
      <c r="C1576" s="30"/>
      <c r="D1576" s="30"/>
      <c r="E1576" s="30"/>
      <c r="F1576" s="30"/>
      <c r="G1576" s="30"/>
      <c r="H1576" s="30"/>
      <c r="I1576" s="30"/>
      <c r="J1576" s="30"/>
      <c r="K1576" s="30"/>
    </row>
    <row r="1577" spans="1:11" ht="15">
      <c r="A1577" s="30"/>
      <c r="B1577" s="30"/>
      <c r="C1577" s="30"/>
      <c r="D1577" s="30"/>
      <c r="E1577" s="30"/>
      <c r="F1577" s="30"/>
      <c r="G1577" s="30"/>
      <c r="H1577" s="30"/>
      <c r="I1577" s="30"/>
      <c r="J1577" s="30"/>
      <c r="K1577" s="30"/>
    </row>
    <row r="1578" spans="1:11" ht="15">
      <c r="A1578" s="30"/>
      <c r="B1578" s="30"/>
      <c r="C1578" s="30"/>
      <c r="D1578" s="30"/>
      <c r="E1578" s="30"/>
      <c r="F1578" s="30"/>
      <c r="G1578" s="30"/>
      <c r="H1578" s="30"/>
      <c r="I1578" s="30"/>
      <c r="J1578" s="30"/>
      <c r="K1578" s="30"/>
    </row>
    <row r="1579" spans="1:11" ht="15">
      <c r="A1579" s="30"/>
      <c r="B1579" s="30"/>
      <c r="C1579" s="30"/>
      <c r="D1579" s="30"/>
      <c r="E1579" s="30"/>
      <c r="F1579" s="30"/>
      <c r="G1579" s="30"/>
      <c r="H1579" s="30"/>
      <c r="I1579" s="30"/>
      <c r="J1579" s="30"/>
      <c r="K1579" s="30"/>
    </row>
    <row r="1580" spans="1:11" ht="15">
      <c r="A1580" s="30"/>
      <c r="B1580" s="30"/>
      <c r="C1580" s="30"/>
      <c r="D1580" s="30"/>
      <c r="E1580" s="30"/>
      <c r="F1580" s="30"/>
      <c r="G1580" s="30"/>
      <c r="H1580" s="30"/>
      <c r="I1580" s="30"/>
      <c r="J1580" s="30"/>
      <c r="K1580" s="30"/>
    </row>
    <row r="1581" spans="1:11" ht="15">
      <c r="A1581" s="30"/>
      <c r="B1581" s="30"/>
      <c r="C1581" s="30"/>
      <c r="D1581" s="30"/>
      <c r="E1581" s="30"/>
      <c r="F1581" s="30"/>
      <c r="G1581" s="30"/>
      <c r="H1581" s="30"/>
      <c r="I1581" s="30"/>
      <c r="J1581" s="30"/>
      <c r="K1581" s="30"/>
    </row>
    <row r="1582" spans="1:11" ht="15">
      <c r="A1582" s="30"/>
      <c r="B1582" s="30"/>
      <c r="C1582" s="30"/>
      <c r="D1582" s="30"/>
      <c r="E1582" s="30"/>
      <c r="F1582" s="30"/>
      <c r="G1582" s="30"/>
      <c r="H1582" s="30"/>
      <c r="I1582" s="30"/>
      <c r="J1582" s="30"/>
      <c r="K1582" s="30"/>
    </row>
    <row r="1583" spans="1:11" ht="15">
      <c r="A1583" s="30"/>
      <c r="B1583" s="30"/>
      <c r="C1583" s="30"/>
      <c r="D1583" s="30"/>
      <c r="E1583" s="30"/>
      <c r="F1583" s="30"/>
      <c r="G1583" s="30"/>
      <c r="H1583" s="30"/>
      <c r="I1583" s="30"/>
      <c r="J1583" s="30"/>
      <c r="K1583" s="30"/>
    </row>
    <row r="1584" spans="1:11" ht="15">
      <c r="A1584" s="30"/>
      <c r="B1584" s="30"/>
      <c r="C1584" s="30"/>
      <c r="D1584" s="30"/>
      <c r="E1584" s="30"/>
      <c r="F1584" s="30"/>
      <c r="G1584" s="30"/>
      <c r="H1584" s="30"/>
      <c r="I1584" s="30"/>
      <c r="J1584" s="30"/>
      <c r="K1584" s="30"/>
    </row>
    <row r="1585" spans="1:11" ht="15">
      <c r="A1585" s="30"/>
      <c r="B1585" s="30"/>
      <c r="C1585" s="30"/>
      <c r="D1585" s="30"/>
      <c r="E1585" s="30"/>
      <c r="F1585" s="30"/>
      <c r="G1585" s="30"/>
      <c r="H1585" s="30"/>
      <c r="I1585" s="30"/>
      <c r="J1585" s="30"/>
      <c r="K1585" s="30"/>
    </row>
    <row r="1586" spans="1:11" ht="15">
      <c r="A1586" s="30"/>
      <c r="B1586" s="30"/>
      <c r="C1586" s="30"/>
      <c r="D1586" s="30"/>
      <c r="E1586" s="30"/>
      <c r="F1586" s="30"/>
      <c r="G1586" s="30"/>
      <c r="H1586" s="30"/>
      <c r="I1586" s="30"/>
      <c r="J1586" s="30"/>
      <c r="K1586" s="30"/>
    </row>
    <row r="1587" spans="1:11" ht="15">
      <c r="A1587" s="30"/>
      <c r="B1587" s="30"/>
      <c r="C1587" s="30"/>
      <c r="D1587" s="30"/>
      <c r="E1587" s="30"/>
      <c r="F1587" s="30"/>
      <c r="G1587" s="30"/>
      <c r="H1587" s="30"/>
      <c r="I1587" s="30"/>
      <c r="J1587" s="30"/>
      <c r="K1587" s="30"/>
    </row>
    <row r="1588" spans="1:11" ht="15">
      <c r="A1588" s="30"/>
      <c r="B1588" s="30"/>
      <c r="C1588" s="30"/>
      <c r="D1588" s="30"/>
      <c r="E1588" s="30"/>
      <c r="F1588" s="30"/>
      <c r="G1588" s="30"/>
      <c r="H1588" s="30"/>
      <c r="I1588" s="30"/>
      <c r="J1588" s="30"/>
      <c r="K1588" s="30"/>
    </row>
    <row r="1589" spans="1:11" ht="15">
      <c r="A1589" s="30"/>
      <c r="B1589" s="30"/>
      <c r="C1589" s="30"/>
      <c r="D1589" s="30"/>
      <c r="E1589" s="30"/>
      <c r="F1589" s="30"/>
      <c r="G1589" s="30"/>
      <c r="H1589" s="30"/>
      <c r="I1589" s="30"/>
      <c r="J1589" s="30"/>
      <c r="K1589" s="30"/>
    </row>
    <row r="1590" spans="1:11" ht="15">
      <c r="A1590" s="30"/>
      <c r="B1590" s="30"/>
      <c r="C1590" s="30"/>
      <c r="D1590" s="30"/>
      <c r="E1590" s="30"/>
      <c r="F1590" s="30"/>
      <c r="G1590" s="30"/>
      <c r="H1590" s="30"/>
      <c r="I1590" s="30"/>
      <c r="J1590" s="30"/>
      <c r="K1590" s="30"/>
    </row>
    <row r="1591" spans="1:11" ht="15">
      <c r="A1591" s="30"/>
      <c r="B1591" s="30"/>
      <c r="C1591" s="30"/>
      <c r="D1591" s="30"/>
      <c r="E1591" s="30"/>
      <c r="F1591" s="30"/>
      <c r="G1591" s="30"/>
      <c r="H1591" s="30"/>
      <c r="I1591" s="30"/>
      <c r="J1591" s="30"/>
      <c r="K1591" s="30"/>
    </row>
    <row r="1592" spans="1:11" ht="15">
      <c r="A1592" s="30"/>
      <c r="B1592" s="30"/>
      <c r="C1592" s="30"/>
      <c r="D1592" s="30"/>
      <c r="E1592" s="30"/>
      <c r="F1592" s="30"/>
      <c r="G1592" s="30"/>
      <c r="H1592" s="30"/>
      <c r="I1592" s="30"/>
      <c r="J1592" s="30"/>
      <c r="K1592" s="30"/>
    </row>
    <row r="1593" spans="1:11" ht="15">
      <c r="A1593" s="30"/>
      <c r="B1593" s="30"/>
      <c r="C1593" s="30"/>
      <c r="D1593" s="30"/>
      <c r="E1593" s="30"/>
      <c r="F1593" s="30"/>
      <c r="G1593" s="30"/>
      <c r="H1593" s="30"/>
      <c r="I1593" s="30"/>
      <c r="J1593" s="30"/>
      <c r="K1593" s="30"/>
    </row>
    <row r="1594" spans="1:11" ht="15">
      <c r="A1594" s="30"/>
      <c r="B1594" s="30"/>
      <c r="C1594" s="30"/>
      <c r="D1594" s="30"/>
      <c r="E1594" s="30"/>
      <c r="F1594" s="30"/>
      <c r="G1594" s="30"/>
      <c r="H1594" s="30"/>
      <c r="I1594" s="30"/>
      <c r="J1594" s="30"/>
      <c r="K1594" s="30"/>
    </row>
    <row r="1595" spans="1:11" ht="15">
      <c r="A1595" s="30"/>
      <c r="B1595" s="30"/>
      <c r="C1595" s="30"/>
      <c r="D1595" s="30"/>
      <c r="E1595" s="30"/>
      <c r="F1595" s="30"/>
      <c r="G1595" s="30"/>
      <c r="H1595" s="30"/>
      <c r="I1595" s="30"/>
      <c r="J1595" s="30"/>
      <c r="K1595" s="30"/>
    </row>
    <row r="1596" spans="1:11" ht="15">
      <c r="A1596" s="30"/>
      <c r="B1596" s="30"/>
      <c r="C1596" s="30"/>
      <c r="D1596" s="30"/>
      <c r="E1596" s="30"/>
      <c r="F1596" s="30"/>
      <c r="G1596" s="30"/>
      <c r="H1596" s="30"/>
      <c r="I1596" s="30"/>
      <c r="J1596" s="30"/>
      <c r="K1596" s="30"/>
    </row>
    <row r="1597" spans="1:11" ht="15">
      <c r="A1597" s="30"/>
      <c r="B1597" s="30"/>
      <c r="C1597" s="30"/>
      <c r="D1597" s="30"/>
      <c r="E1597" s="30"/>
      <c r="F1597" s="30"/>
      <c r="G1597" s="30"/>
      <c r="H1597" s="30"/>
      <c r="I1597" s="30"/>
      <c r="J1597" s="30"/>
      <c r="K1597" s="30"/>
    </row>
    <row r="1598" spans="1:11" ht="15">
      <c r="A1598" s="30"/>
      <c r="B1598" s="30"/>
      <c r="C1598" s="30"/>
      <c r="D1598" s="30"/>
      <c r="E1598" s="30"/>
      <c r="F1598" s="30"/>
      <c r="G1598" s="30"/>
      <c r="H1598" s="30"/>
      <c r="I1598" s="30"/>
      <c r="J1598" s="30"/>
      <c r="K1598" s="30"/>
    </row>
    <row r="1599" spans="1:11" ht="15">
      <c r="A1599" s="30"/>
      <c r="B1599" s="30"/>
      <c r="C1599" s="30"/>
      <c r="D1599" s="30"/>
      <c r="E1599" s="30"/>
      <c r="F1599" s="30"/>
      <c r="G1599" s="30"/>
      <c r="H1599" s="30"/>
      <c r="I1599" s="30"/>
      <c r="J1599" s="30"/>
      <c r="K1599" s="30"/>
    </row>
    <row r="1600" spans="1:11" ht="15">
      <c r="A1600" s="30"/>
      <c r="B1600" s="30"/>
      <c r="C1600" s="30"/>
      <c r="D1600" s="30"/>
      <c r="E1600" s="30"/>
      <c r="F1600" s="30"/>
      <c r="G1600" s="30"/>
      <c r="H1600" s="30"/>
      <c r="I1600" s="30"/>
      <c r="J1600" s="30"/>
      <c r="K1600" s="30"/>
    </row>
    <row r="1601" spans="1:11" ht="15">
      <c r="A1601" s="30"/>
      <c r="B1601" s="30"/>
      <c r="C1601" s="30"/>
      <c r="D1601" s="30"/>
      <c r="E1601" s="30"/>
      <c r="F1601" s="30"/>
      <c r="G1601" s="30"/>
      <c r="H1601" s="30"/>
      <c r="I1601" s="30"/>
      <c r="J1601" s="30"/>
      <c r="K1601" s="30"/>
    </row>
    <row r="1602" spans="1:11" ht="15">
      <c r="A1602" s="30"/>
      <c r="B1602" s="30"/>
      <c r="C1602" s="30"/>
      <c r="D1602" s="30"/>
      <c r="E1602" s="30"/>
      <c r="F1602" s="30"/>
      <c r="G1602" s="30"/>
      <c r="H1602" s="30"/>
      <c r="I1602" s="30"/>
      <c r="J1602" s="30"/>
      <c r="K1602" s="30"/>
    </row>
    <row r="1603" spans="1:11" ht="15">
      <c r="A1603" s="30"/>
      <c r="B1603" s="30"/>
      <c r="C1603" s="30"/>
      <c r="D1603" s="30"/>
      <c r="E1603" s="30"/>
      <c r="F1603" s="30"/>
      <c r="G1603" s="30"/>
      <c r="H1603" s="30"/>
      <c r="I1603" s="30"/>
      <c r="J1603" s="30"/>
      <c r="K1603" s="30"/>
    </row>
    <row r="1604" spans="1:11" ht="15">
      <c r="A1604" s="30"/>
      <c r="B1604" s="30"/>
      <c r="C1604" s="30"/>
      <c r="D1604" s="30"/>
      <c r="E1604" s="30"/>
      <c r="F1604" s="30"/>
      <c r="G1604" s="30"/>
      <c r="H1604" s="30"/>
      <c r="I1604" s="30"/>
      <c r="J1604" s="30"/>
      <c r="K1604" s="30"/>
    </row>
    <row r="1605" spans="1:11" ht="15">
      <c r="A1605" s="30"/>
      <c r="B1605" s="30"/>
      <c r="C1605" s="30"/>
      <c r="D1605" s="30"/>
      <c r="E1605" s="30"/>
      <c r="F1605" s="30"/>
      <c r="G1605" s="30"/>
      <c r="H1605" s="30"/>
      <c r="I1605" s="30"/>
      <c r="J1605" s="30"/>
      <c r="K1605" s="30"/>
    </row>
    <row r="1606" spans="1:11" ht="15">
      <c r="A1606" s="30"/>
      <c r="B1606" s="30"/>
      <c r="C1606" s="30"/>
      <c r="D1606" s="30"/>
      <c r="E1606" s="30"/>
      <c r="F1606" s="30"/>
      <c r="G1606" s="30"/>
      <c r="H1606" s="30"/>
      <c r="I1606" s="30"/>
      <c r="J1606" s="30"/>
      <c r="K1606" s="30"/>
    </row>
    <row r="1607" spans="1:11" ht="15">
      <c r="A1607" s="30"/>
      <c r="B1607" s="30"/>
      <c r="C1607" s="30"/>
      <c r="D1607" s="30"/>
      <c r="E1607" s="30"/>
      <c r="F1607" s="30"/>
      <c r="G1607" s="30"/>
      <c r="H1607" s="30"/>
      <c r="I1607" s="30"/>
      <c r="J1607" s="30"/>
      <c r="K1607" s="30"/>
    </row>
    <row r="1608" spans="1:11" ht="15">
      <c r="A1608" s="30"/>
      <c r="B1608" s="30"/>
      <c r="C1608" s="30"/>
      <c r="D1608" s="30"/>
      <c r="E1608" s="30"/>
      <c r="F1608" s="30"/>
      <c r="G1608" s="30"/>
      <c r="H1608" s="30"/>
      <c r="I1608" s="30"/>
      <c r="J1608" s="30"/>
      <c r="K1608" s="30"/>
    </row>
    <row r="1609" spans="1:11" ht="15">
      <c r="A1609" s="30"/>
      <c r="B1609" s="30"/>
      <c r="C1609" s="30"/>
      <c r="D1609" s="30"/>
      <c r="E1609" s="30"/>
      <c r="F1609" s="30"/>
      <c r="G1609" s="30"/>
      <c r="H1609" s="30"/>
      <c r="I1609" s="30"/>
      <c r="J1609" s="30"/>
      <c r="K1609" s="30"/>
    </row>
    <row r="1610" spans="1:11" ht="15">
      <c r="A1610" s="30"/>
      <c r="B1610" s="30"/>
      <c r="C1610" s="30"/>
      <c r="D1610" s="30"/>
      <c r="E1610" s="30"/>
      <c r="F1610" s="30"/>
      <c r="G1610" s="30"/>
      <c r="H1610" s="30"/>
      <c r="I1610" s="30"/>
      <c r="J1610" s="30"/>
      <c r="K1610" s="30"/>
    </row>
    <row r="1611" spans="1:11" ht="15">
      <c r="A1611" s="30"/>
      <c r="B1611" s="30"/>
      <c r="C1611" s="30"/>
      <c r="D1611" s="30"/>
      <c r="E1611" s="30"/>
      <c r="F1611" s="30"/>
      <c r="G1611" s="30"/>
      <c r="H1611" s="30"/>
      <c r="I1611" s="30"/>
      <c r="J1611" s="30"/>
      <c r="K1611" s="30"/>
    </row>
    <row r="1612" spans="1:11" ht="15">
      <c r="A1612" s="30"/>
      <c r="B1612" s="30"/>
      <c r="C1612" s="30"/>
      <c r="D1612" s="30"/>
      <c r="E1612" s="30"/>
      <c r="F1612" s="30"/>
      <c r="G1612" s="30"/>
      <c r="H1612" s="30"/>
      <c r="I1612" s="30"/>
      <c r="J1612" s="30"/>
      <c r="K1612" s="30"/>
    </row>
    <row r="1613" spans="1:11" ht="15">
      <c r="A1613" s="30"/>
      <c r="B1613" s="30"/>
      <c r="C1613" s="30"/>
      <c r="D1613" s="30"/>
      <c r="E1613" s="30"/>
      <c r="F1613" s="30"/>
      <c r="G1613" s="30"/>
      <c r="H1613" s="30"/>
      <c r="I1613" s="30"/>
      <c r="J1613" s="30"/>
      <c r="K1613" s="30"/>
    </row>
    <row r="1614" spans="1:11" ht="15">
      <c r="A1614" s="30"/>
      <c r="B1614" s="30"/>
      <c r="C1614" s="30"/>
      <c r="D1614" s="30"/>
      <c r="E1614" s="30"/>
      <c r="F1614" s="30"/>
      <c r="G1614" s="30"/>
      <c r="H1614" s="30"/>
      <c r="I1614" s="30"/>
      <c r="J1614" s="30"/>
      <c r="K1614" s="30"/>
    </row>
    <row r="1615" spans="1:11" ht="15">
      <c r="A1615" s="30"/>
      <c r="B1615" s="30"/>
      <c r="C1615" s="30"/>
      <c r="D1615" s="30"/>
      <c r="E1615" s="30"/>
      <c r="F1615" s="30"/>
      <c r="G1615" s="30"/>
      <c r="H1615" s="30"/>
      <c r="I1615" s="30"/>
      <c r="J1615" s="30"/>
      <c r="K1615" s="30"/>
    </row>
    <row r="1616" spans="1:11" ht="15">
      <c r="A1616" s="30"/>
      <c r="B1616" s="30"/>
      <c r="C1616" s="30"/>
      <c r="D1616" s="30"/>
      <c r="E1616" s="30"/>
      <c r="F1616" s="30"/>
      <c r="G1616" s="30"/>
      <c r="H1616" s="30"/>
      <c r="I1616" s="30"/>
      <c r="J1616" s="30"/>
      <c r="K1616" s="30"/>
    </row>
    <row r="1617" spans="1:11" ht="15">
      <c r="A1617" s="30"/>
      <c r="B1617" s="30"/>
      <c r="C1617" s="30"/>
      <c r="D1617" s="30"/>
      <c r="E1617" s="30"/>
      <c r="F1617" s="30"/>
      <c r="G1617" s="30"/>
      <c r="H1617" s="30"/>
      <c r="I1617" s="30"/>
      <c r="J1617" s="30"/>
      <c r="K1617" s="30"/>
    </row>
    <row r="1618" spans="1:11" ht="15">
      <c r="A1618" s="30"/>
      <c r="B1618" s="30"/>
      <c r="C1618" s="30"/>
      <c r="D1618" s="30"/>
      <c r="E1618" s="30"/>
      <c r="F1618" s="30"/>
      <c r="G1618" s="30"/>
      <c r="H1618" s="30"/>
      <c r="I1618" s="30"/>
      <c r="J1618" s="30"/>
      <c r="K1618" s="30"/>
    </row>
    <row r="1619" spans="1:11" ht="15">
      <c r="A1619" s="30"/>
      <c r="B1619" s="30"/>
      <c r="C1619" s="30"/>
      <c r="D1619" s="30"/>
      <c r="E1619" s="30"/>
      <c r="F1619" s="30"/>
      <c r="G1619" s="30"/>
      <c r="H1619" s="30"/>
      <c r="I1619" s="30"/>
      <c r="J1619" s="30"/>
      <c r="K1619" s="30"/>
    </row>
    <row r="1620" spans="1:11" ht="15">
      <c r="A1620" s="30"/>
      <c r="B1620" s="30"/>
      <c r="C1620" s="30"/>
      <c r="D1620" s="30"/>
      <c r="E1620" s="30"/>
      <c r="F1620" s="30"/>
      <c r="G1620" s="30"/>
      <c r="H1620" s="30"/>
      <c r="I1620" s="30"/>
      <c r="J1620" s="30"/>
      <c r="K1620" s="30"/>
    </row>
    <row r="1621" spans="1:11" ht="15">
      <c r="A1621" s="30"/>
      <c r="B1621" s="30"/>
      <c r="C1621" s="30"/>
      <c r="D1621" s="30"/>
      <c r="E1621" s="30"/>
      <c r="F1621" s="30"/>
      <c r="G1621" s="30"/>
      <c r="H1621" s="30"/>
      <c r="I1621" s="30"/>
      <c r="J1621" s="30"/>
      <c r="K1621" s="30"/>
    </row>
    <row r="1622" spans="1:11" ht="15">
      <c r="A1622" s="30"/>
      <c r="B1622" s="30"/>
      <c r="C1622" s="30"/>
      <c r="D1622" s="30"/>
      <c r="E1622" s="30"/>
      <c r="F1622" s="30"/>
      <c r="G1622" s="30"/>
      <c r="H1622" s="30"/>
      <c r="I1622" s="30"/>
      <c r="J1622" s="30"/>
      <c r="K1622" s="30"/>
    </row>
    <row r="1623" spans="1:11" ht="15">
      <c r="A1623" s="30"/>
      <c r="B1623" s="30"/>
      <c r="C1623" s="30"/>
      <c r="D1623" s="30"/>
      <c r="E1623" s="30"/>
      <c r="F1623" s="30"/>
      <c r="G1623" s="30"/>
      <c r="H1623" s="30"/>
      <c r="I1623" s="30"/>
      <c r="J1623" s="30"/>
      <c r="K1623" s="30"/>
    </row>
    <row r="1624" spans="1:11" ht="15">
      <c r="A1624" s="30"/>
      <c r="B1624" s="30"/>
      <c r="C1624" s="30"/>
      <c r="D1624" s="30"/>
      <c r="E1624" s="30"/>
      <c r="F1624" s="30"/>
      <c r="G1624" s="30"/>
      <c r="H1624" s="30"/>
      <c r="I1624" s="30"/>
      <c r="J1624" s="30"/>
      <c r="K1624" s="30"/>
    </row>
    <row r="1625" spans="1:11" ht="15">
      <c r="A1625" s="30"/>
      <c r="B1625" s="30"/>
      <c r="C1625" s="30"/>
      <c r="D1625" s="30"/>
      <c r="E1625" s="30"/>
      <c r="F1625" s="30"/>
      <c r="G1625" s="30"/>
      <c r="H1625" s="30"/>
      <c r="I1625" s="30"/>
      <c r="J1625" s="30"/>
      <c r="K1625" s="30"/>
    </row>
    <row r="1626" spans="1:11" ht="15">
      <c r="A1626" s="30"/>
      <c r="B1626" s="30"/>
      <c r="C1626" s="30"/>
      <c r="D1626" s="30"/>
      <c r="E1626" s="30"/>
      <c r="F1626" s="30"/>
      <c r="G1626" s="30"/>
      <c r="H1626" s="30"/>
      <c r="I1626" s="30"/>
      <c r="J1626" s="30"/>
      <c r="K1626" s="30"/>
    </row>
    <row r="1627" spans="1:11" ht="15">
      <c r="A1627" s="30"/>
      <c r="B1627" s="30"/>
      <c r="C1627" s="30"/>
      <c r="D1627" s="30"/>
      <c r="E1627" s="30"/>
      <c r="F1627" s="30"/>
      <c r="G1627" s="30"/>
      <c r="H1627" s="30"/>
      <c r="I1627" s="30"/>
      <c r="J1627" s="30"/>
      <c r="K1627" s="30"/>
    </row>
    <row r="1628" spans="1:11" ht="15">
      <c r="A1628" s="30"/>
      <c r="B1628" s="30"/>
      <c r="C1628" s="30"/>
      <c r="D1628" s="30"/>
      <c r="E1628" s="30"/>
      <c r="F1628" s="30"/>
      <c r="G1628" s="30"/>
      <c r="H1628" s="30"/>
      <c r="I1628" s="30"/>
      <c r="J1628" s="30"/>
      <c r="K1628" s="30"/>
    </row>
    <row r="1629" spans="1:11" ht="15">
      <c r="A1629" s="30"/>
      <c r="B1629" s="30"/>
      <c r="C1629" s="30"/>
      <c r="D1629" s="30"/>
      <c r="E1629" s="30"/>
      <c r="F1629" s="30"/>
      <c r="G1629" s="30"/>
      <c r="H1629" s="30"/>
      <c r="I1629" s="30"/>
      <c r="J1629" s="30"/>
      <c r="K1629" s="30"/>
    </row>
    <row r="1630" spans="1:11" ht="15">
      <c r="A1630" s="30"/>
      <c r="B1630" s="30"/>
      <c r="C1630" s="30"/>
      <c r="D1630" s="30"/>
      <c r="E1630" s="30"/>
      <c r="F1630" s="30"/>
      <c r="G1630" s="30"/>
      <c r="H1630" s="30"/>
      <c r="I1630" s="30"/>
      <c r="J1630" s="30"/>
      <c r="K1630" s="30"/>
    </row>
    <row r="1631" spans="1:11" ht="15">
      <c r="A1631" s="30"/>
      <c r="B1631" s="30"/>
      <c r="C1631" s="30"/>
      <c r="D1631" s="30"/>
      <c r="E1631" s="30"/>
      <c r="F1631" s="30"/>
      <c r="G1631" s="30"/>
      <c r="H1631" s="30"/>
      <c r="I1631" s="30"/>
      <c r="J1631" s="30"/>
      <c r="K1631" s="30"/>
    </row>
    <row r="1632" spans="1:11" ht="15">
      <c r="A1632" s="30"/>
      <c r="B1632" s="30"/>
      <c r="C1632" s="30"/>
      <c r="D1632" s="30"/>
      <c r="E1632" s="30"/>
      <c r="F1632" s="30"/>
      <c r="G1632" s="30"/>
      <c r="H1632" s="30"/>
      <c r="I1632" s="30"/>
      <c r="J1632" s="30"/>
      <c r="K1632" s="30"/>
    </row>
    <row r="1633" spans="1:11" ht="15">
      <c r="A1633" s="30"/>
      <c r="B1633" s="30"/>
      <c r="C1633" s="30"/>
      <c r="D1633" s="30"/>
      <c r="E1633" s="30"/>
      <c r="F1633" s="30"/>
      <c r="G1633" s="30"/>
      <c r="H1633" s="30"/>
      <c r="I1633" s="30"/>
      <c r="J1633" s="30"/>
      <c r="K1633" s="30"/>
    </row>
    <row r="1634" spans="1:11" ht="15">
      <c r="A1634" s="30"/>
      <c r="B1634" s="30"/>
      <c r="C1634" s="30"/>
      <c r="D1634" s="30"/>
      <c r="E1634" s="30"/>
      <c r="F1634" s="30"/>
      <c r="G1634" s="30"/>
      <c r="H1634" s="30"/>
      <c r="I1634" s="30"/>
      <c r="J1634" s="30"/>
      <c r="K1634" s="30"/>
    </row>
    <row r="1635" spans="1:11" ht="15">
      <c r="A1635" s="30"/>
      <c r="B1635" s="30"/>
      <c r="C1635" s="30"/>
      <c r="D1635" s="30"/>
      <c r="E1635" s="30"/>
      <c r="F1635" s="30"/>
      <c r="G1635" s="30"/>
      <c r="H1635" s="30"/>
      <c r="I1635" s="30"/>
      <c r="J1635" s="30"/>
      <c r="K1635" s="30"/>
    </row>
    <row r="1636" spans="1:11" ht="15">
      <c r="A1636" s="30"/>
      <c r="B1636" s="30"/>
      <c r="C1636" s="30"/>
      <c r="D1636" s="30"/>
      <c r="E1636" s="30"/>
      <c r="F1636" s="30"/>
      <c r="G1636" s="30"/>
      <c r="H1636" s="30"/>
      <c r="I1636" s="30"/>
      <c r="J1636" s="30"/>
      <c r="K1636" s="30"/>
    </row>
    <row r="1637" spans="1:11" ht="15">
      <c r="A1637" s="30"/>
      <c r="B1637" s="30"/>
      <c r="C1637" s="30"/>
      <c r="D1637" s="30"/>
      <c r="E1637" s="30"/>
      <c r="F1637" s="30"/>
      <c r="G1637" s="30"/>
      <c r="H1637" s="30"/>
      <c r="I1637" s="30"/>
      <c r="J1637" s="30"/>
      <c r="K1637" s="30"/>
    </row>
    <row r="1638" spans="1:11" ht="15">
      <c r="A1638" s="30"/>
      <c r="B1638" s="30"/>
      <c r="C1638" s="30"/>
      <c r="D1638" s="30"/>
      <c r="E1638" s="30"/>
      <c r="F1638" s="30"/>
      <c r="G1638" s="30"/>
      <c r="H1638" s="30"/>
      <c r="I1638" s="30"/>
      <c r="J1638" s="30"/>
      <c r="K1638" s="30"/>
    </row>
    <row r="1639" spans="1:11" ht="15">
      <c r="A1639" s="30"/>
      <c r="B1639" s="30"/>
      <c r="C1639" s="30"/>
      <c r="D1639" s="30"/>
      <c r="E1639" s="30"/>
      <c r="F1639" s="30"/>
      <c r="G1639" s="30"/>
      <c r="H1639" s="30"/>
      <c r="I1639" s="30"/>
      <c r="J1639" s="30"/>
      <c r="K1639" s="30"/>
    </row>
    <row r="1640" spans="1:11" ht="15">
      <c r="A1640" s="30"/>
      <c r="B1640" s="30"/>
      <c r="C1640" s="30"/>
      <c r="D1640" s="30"/>
      <c r="E1640" s="30"/>
      <c r="F1640" s="30"/>
      <c r="G1640" s="30"/>
      <c r="H1640" s="30"/>
      <c r="I1640" s="30"/>
      <c r="J1640" s="30"/>
      <c r="K1640" s="30"/>
    </row>
    <row r="1641" spans="1:11" ht="15">
      <c r="A1641" s="30"/>
      <c r="B1641" s="30"/>
      <c r="C1641" s="30"/>
      <c r="D1641" s="30"/>
      <c r="E1641" s="30"/>
      <c r="F1641" s="30"/>
      <c r="G1641" s="30"/>
      <c r="H1641" s="30"/>
      <c r="I1641" s="30"/>
      <c r="J1641" s="30"/>
      <c r="K1641" s="30"/>
    </row>
    <row r="1642" spans="1:11" ht="15">
      <c r="A1642" s="30"/>
      <c r="B1642" s="30"/>
      <c r="C1642" s="30"/>
      <c r="D1642" s="30"/>
      <c r="E1642" s="30"/>
      <c r="F1642" s="30"/>
      <c r="G1642" s="30"/>
      <c r="H1642" s="30"/>
      <c r="I1642" s="30"/>
      <c r="J1642" s="30"/>
      <c r="K1642" s="30"/>
    </row>
    <row r="1643" spans="1:11" ht="15">
      <c r="A1643" s="30"/>
      <c r="B1643" s="30"/>
      <c r="C1643" s="30"/>
      <c r="D1643" s="30"/>
      <c r="E1643" s="30"/>
      <c r="F1643" s="30"/>
      <c r="G1643" s="30"/>
      <c r="H1643" s="30"/>
      <c r="I1643" s="30"/>
      <c r="J1643" s="30"/>
      <c r="K1643" s="30"/>
    </row>
    <row r="1644" spans="1:11" ht="15">
      <c r="A1644" s="30"/>
      <c r="B1644" s="30"/>
      <c r="C1644" s="30"/>
      <c r="D1644" s="30"/>
      <c r="E1644" s="30"/>
      <c r="F1644" s="30"/>
      <c r="G1644" s="30"/>
      <c r="H1644" s="30"/>
      <c r="I1644" s="30"/>
      <c r="J1644" s="30"/>
      <c r="K1644" s="30"/>
    </row>
    <row r="1645" spans="1:11" ht="15">
      <c r="A1645" s="30"/>
      <c r="B1645" s="30"/>
      <c r="C1645" s="30"/>
      <c r="D1645" s="30"/>
      <c r="E1645" s="30"/>
      <c r="F1645" s="30"/>
      <c r="G1645" s="30"/>
      <c r="H1645" s="30"/>
      <c r="I1645" s="30"/>
      <c r="J1645" s="30"/>
      <c r="K1645" s="30"/>
    </row>
    <row r="1646" spans="1:11" ht="15">
      <c r="A1646" s="30"/>
      <c r="B1646" s="30"/>
      <c r="C1646" s="30"/>
      <c r="D1646" s="30"/>
      <c r="E1646" s="30"/>
      <c r="F1646" s="30"/>
      <c r="G1646" s="30"/>
      <c r="H1646" s="30"/>
      <c r="I1646" s="30"/>
      <c r="J1646" s="30"/>
      <c r="K1646" s="30"/>
    </row>
    <row r="1647" spans="1:11" ht="15">
      <c r="A1647" s="30"/>
      <c r="B1647" s="30"/>
      <c r="C1647" s="30"/>
      <c r="D1647" s="30"/>
      <c r="E1647" s="30"/>
      <c r="F1647" s="30"/>
      <c r="G1647" s="30"/>
      <c r="H1647" s="30"/>
      <c r="I1647" s="30"/>
      <c r="J1647" s="30"/>
      <c r="K1647" s="30"/>
    </row>
    <row r="1648" spans="1:11" ht="15">
      <c r="A1648" s="30"/>
      <c r="B1648" s="30"/>
      <c r="C1648" s="30"/>
      <c r="D1648" s="30"/>
      <c r="E1648" s="30"/>
      <c r="F1648" s="30"/>
      <c r="G1648" s="30"/>
      <c r="H1648" s="30"/>
      <c r="I1648" s="30"/>
      <c r="J1648" s="30"/>
      <c r="K1648" s="30"/>
    </row>
    <row r="1649" spans="1:11" ht="15">
      <c r="A1649" s="30"/>
      <c r="B1649" s="30"/>
      <c r="C1649" s="30"/>
      <c r="D1649" s="30"/>
      <c r="E1649" s="30"/>
      <c r="F1649" s="30"/>
      <c r="G1649" s="30"/>
      <c r="H1649" s="30"/>
      <c r="I1649" s="30"/>
      <c r="J1649" s="30"/>
      <c r="K1649" s="30"/>
    </row>
    <row r="1650" spans="1:11" ht="15">
      <c r="A1650" s="30"/>
      <c r="B1650" s="30"/>
      <c r="C1650" s="30"/>
      <c r="D1650" s="30"/>
      <c r="E1650" s="30"/>
      <c r="F1650" s="30"/>
      <c r="G1650" s="30"/>
      <c r="H1650" s="30"/>
      <c r="I1650" s="30"/>
      <c r="J1650" s="30"/>
      <c r="K1650" s="30"/>
    </row>
    <row r="1651" spans="1:11" ht="15">
      <c r="A1651" s="30"/>
      <c r="B1651" s="30"/>
      <c r="C1651" s="30"/>
      <c r="D1651" s="30"/>
      <c r="E1651" s="30"/>
      <c r="F1651" s="30"/>
      <c r="G1651" s="30"/>
      <c r="H1651" s="30"/>
      <c r="I1651" s="30"/>
      <c r="J1651" s="30"/>
      <c r="K1651" s="30"/>
    </row>
    <row r="1652" spans="1:11" ht="15">
      <c r="A1652" s="30"/>
      <c r="B1652" s="30"/>
      <c r="C1652" s="30"/>
      <c r="D1652" s="30"/>
      <c r="E1652" s="30"/>
      <c r="F1652" s="30"/>
      <c r="G1652" s="30"/>
      <c r="H1652" s="30"/>
      <c r="I1652" s="30"/>
      <c r="J1652" s="30"/>
      <c r="K1652" s="30"/>
    </row>
    <row r="1653" spans="1:11" ht="15">
      <c r="A1653" s="30"/>
      <c r="B1653" s="30"/>
      <c r="C1653" s="30"/>
      <c r="D1653" s="30"/>
      <c r="E1653" s="30"/>
      <c r="F1653" s="30"/>
      <c r="G1653" s="30"/>
      <c r="H1653" s="30"/>
      <c r="I1653" s="30"/>
      <c r="J1653" s="30"/>
      <c r="K1653" s="30"/>
    </row>
    <row r="1654" spans="1:11" ht="15">
      <c r="A1654" s="30"/>
      <c r="B1654" s="30"/>
      <c r="C1654" s="30"/>
      <c r="D1654" s="30"/>
      <c r="E1654" s="30"/>
      <c r="F1654" s="30"/>
      <c r="G1654" s="30"/>
      <c r="H1654" s="30"/>
      <c r="I1654" s="30"/>
      <c r="J1654" s="30"/>
      <c r="K1654" s="30"/>
    </row>
    <row r="1655" spans="1:11" ht="15">
      <c r="A1655" s="30"/>
      <c r="B1655" s="30"/>
      <c r="C1655" s="30"/>
      <c r="D1655" s="30"/>
      <c r="E1655" s="30"/>
      <c r="F1655" s="30"/>
      <c r="G1655" s="30"/>
      <c r="H1655" s="30"/>
      <c r="I1655" s="30"/>
      <c r="J1655" s="30"/>
      <c r="K1655" s="30"/>
    </row>
    <row r="1656" spans="1:11" ht="15">
      <c r="A1656" s="30"/>
      <c r="B1656" s="30"/>
      <c r="C1656" s="30"/>
      <c r="D1656" s="30"/>
      <c r="E1656" s="30"/>
      <c r="F1656" s="30"/>
      <c r="G1656" s="30"/>
      <c r="H1656" s="30"/>
      <c r="I1656" s="30"/>
      <c r="J1656" s="30"/>
      <c r="K1656" s="30"/>
    </row>
    <row r="1657" spans="1:11" ht="15">
      <c r="A1657" s="30"/>
      <c r="B1657" s="30"/>
      <c r="C1657" s="30"/>
      <c r="D1657" s="30"/>
      <c r="E1657" s="30"/>
      <c r="F1657" s="30"/>
      <c r="G1657" s="30"/>
      <c r="H1657" s="30"/>
      <c r="I1657" s="30"/>
      <c r="J1657" s="30"/>
      <c r="K1657" s="30"/>
    </row>
    <row r="1658" spans="1:11" ht="15">
      <c r="A1658" s="30"/>
      <c r="B1658" s="30"/>
      <c r="C1658" s="30"/>
      <c r="D1658" s="30"/>
      <c r="E1658" s="30"/>
      <c r="F1658" s="30"/>
      <c r="G1658" s="30"/>
      <c r="H1658" s="30"/>
      <c r="I1658" s="30"/>
      <c r="J1658" s="30"/>
      <c r="K1658" s="30"/>
    </row>
    <row r="1659" spans="1:11" ht="15">
      <c r="A1659" s="30"/>
      <c r="B1659" s="30"/>
      <c r="C1659" s="30"/>
      <c r="D1659" s="30"/>
      <c r="E1659" s="30"/>
      <c r="F1659" s="30"/>
      <c r="G1659" s="30"/>
      <c r="H1659" s="30"/>
      <c r="I1659" s="30"/>
      <c r="J1659" s="30"/>
      <c r="K1659" s="30"/>
    </row>
    <row r="1660" spans="1:11" ht="15">
      <c r="A1660" s="30"/>
      <c r="B1660" s="30"/>
      <c r="C1660" s="30"/>
      <c r="D1660" s="30"/>
      <c r="E1660" s="30"/>
      <c r="F1660" s="30"/>
      <c r="G1660" s="30"/>
      <c r="H1660" s="30"/>
      <c r="I1660" s="30"/>
      <c r="J1660" s="30"/>
      <c r="K1660" s="30"/>
    </row>
    <row r="1661" spans="1:11" ht="15">
      <c r="A1661" s="30"/>
      <c r="B1661" s="30"/>
      <c r="C1661" s="30"/>
      <c r="D1661" s="30"/>
      <c r="E1661" s="30"/>
      <c r="F1661" s="30"/>
      <c r="G1661" s="30"/>
      <c r="H1661" s="30"/>
      <c r="I1661" s="30"/>
      <c r="J1661" s="30"/>
      <c r="K1661" s="30"/>
    </row>
    <row r="1662" spans="1:11" ht="15">
      <c r="A1662" s="30"/>
      <c r="B1662" s="30"/>
      <c r="C1662" s="30"/>
      <c r="D1662" s="30"/>
      <c r="E1662" s="30"/>
      <c r="F1662" s="30"/>
      <c r="G1662" s="30"/>
      <c r="H1662" s="30"/>
      <c r="I1662" s="30"/>
      <c r="J1662" s="30"/>
      <c r="K1662" s="30"/>
    </row>
    <row r="1663" spans="1:11" ht="15">
      <c r="A1663" s="30"/>
      <c r="B1663" s="30"/>
      <c r="C1663" s="30"/>
      <c r="D1663" s="30"/>
      <c r="E1663" s="30"/>
      <c r="F1663" s="30"/>
      <c r="G1663" s="30"/>
      <c r="H1663" s="30"/>
      <c r="I1663" s="30"/>
      <c r="J1663" s="30"/>
      <c r="K1663" s="30"/>
    </row>
    <row r="1664" spans="1:11" ht="15">
      <c r="A1664" s="30"/>
      <c r="B1664" s="30"/>
      <c r="C1664" s="30"/>
      <c r="D1664" s="30"/>
      <c r="E1664" s="30"/>
      <c r="F1664" s="30"/>
      <c r="G1664" s="30"/>
      <c r="H1664" s="30"/>
      <c r="I1664" s="30"/>
      <c r="J1664" s="30"/>
      <c r="K1664" s="30"/>
    </row>
    <row r="1665" spans="1:11" ht="15">
      <c r="A1665" s="30"/>
      <c r="B1665" s="30"/>
      <c r="C1665" s="30"/>
      <c r="D1665" s="30"/>
      <c r="E1665" s="30"/>
      <c r="F1665" s="30"/>
      <c r="G1665" s="30"/>
      <c r="H1665" s="30"/>
      <c r="I1665" s="30"/>
      <c r="J1665" s="30"/>
      <c r="K1665" s="30"/>
    </row>
    <row r="1666" spans="1:11" ht="15">
      <c r="A1666" s="30"/>
      <c r="B1666" s="30"/>
      <c r="C1666" s="30"/>
      <c r="D1666" s="30"/>
      <c r="E1666" s="30"/>
      <c r="F1666" s="30"/>
      <c r="G1666" s="30"/>
      <c r="H1666" s="30"/>
      <c r="I1666" s="30"/>
      <c r="J1666" s="30"/>
      <c r="K1666" s="30"/>
    </row>
    <row r="1667" spans="1:11" ht="15">
      <c r="A1667" s="30"/>
      <c r="B1667" s="30"/>
      <c r="C1667" s="30"/>
      <c r="D1667" s="30"/>
      <c r="E1667" s="30"/>
      <c r="F1667" s="30"/>
      <c r="G1667" s="30"/>
      <c r="H1667" s="30"/>
      <c r="I1667" s="30"/>
      <c r="J1667" s="30"/>
      <c r="K1667" s="30"/>
    </row>
    <row r="1668" spans="1:11" ht="15">
      <c r="A1668" s="30"/>
      <c r="B1668" s="30"/>
      <c r="C1668" s="30"/>
      <c r="D1668" s="30"/>
      <c r="E1668" s="30"/>
      <c r="F1668" s="30"/>
      <c r="G1668" s="30"/>
      <c r="H1668" s="30"/>
      <c r="I1668" s="30"/>
      <c r="J1668" s="30"/>
      <c r="K1668" s="30"/>
    </row>
    <row r="1669" spans="1:11" ht="15">
      <c r="A1669" s="30"/>
      <c r="B1669" s="30"/>
      <c r="C1669" s="30"/>
      <c r="D1669" s="30"/>
      <c r="E1669" s="30"/>
      <c r="F1669" s="30"/>
      <c r="G1669" s="30"/>
      <c r="H1669" s="30"/>
      <c r="I1669" s="30"/>
      <c r="J1669" s="30"/>
      <c r="K1669" s="30"/>
    </row>
    <row r="1670" spans="1:11" ht="15">
      <c r="A1670" s="30"/>
      <c r="B1670" s="30"/>
      <c r="C1670" s="30"/>
      <c r="D1670" s="30"/>
      <c r="E1670" s="30"/>
      <c r="F1670" s="30"/>
      <c r="G1670" s="30"/>
      <c r="H1670" s="30"/>
      <c r="I1670" s="30"/>
      <c r="J1670" s="30"/>
      <c r="K1670" s="30"/>
    </row>
    <row r="1671" spans="1:11" ht="15">
      <c r="A1671" s="30"/>
      <c r="B1671" s="30"/>
      <c r="C1671" s="30"/>
      <c r="D1671" s="30"/>
      <c r="E1671" s="30"/>
      <c r="F1671" s="30"/>
      <c r="G1671" s="30"/>
      <c r="H1671" s="30"/>
      <c r="I1671" s="30"/>
      <c r="J1671" s="30"/>
      <c r="K1671" s="30"/>
    </row>
    <row r="1672" spans="1:11" ht="15">
      <c r="A1672" s="30"/>
      <c r="B1672" s="30"/>
      <c r="C1672" s="30"/>
      <c r="D1672" s="30"/>
      <c r="E1672" s="30"/>
      <c r="F1672" s="30"/>
      <c r="G1672" s="30"/>
      <c r="H1672" s="30"/>
      <c r="I1672" s="30"/>
      <c r="J1672" s="30"/>
      <c r="K1672" s="30"/>
    </row>
    <row r="1673" spans="1:11" ht="15">
      <c r="A1673" s="30"/>
      <c r="B1673" s="30"/>
      <c r="C1673" s="30"/>
      <c r="D1673" s="30"/>
      <c r="E1673" s="30"/>
      <c r="F1673" s="30"/>
      <c r="G1673" s="30"/>
      <c r="H1673" s="30"/>
      <c r="I1673" s="30"/>
      <c r="J1673" s="30"/>
      <c r="K1673" s="30"/>
    </row>
    <row r="1674" spans="1:11" ht="15">
      <c r="A1674" s="30"/>
      <c r="B1674" s="30"/>
      <c r="C1674" s="30"/>
      <c r="D1674" s="30"/>
      <c r="E1674" s="30"/>
      <c r="F1674" s="30"/>
      <c r="G1674" s="30"/>
      <c r="H1674" s="30"/>
      <c r="I1674" s="30"/>
      <c r="J1674" s="30"/>
      <c r="K1674" s="30"/>
    </row>
    <row r="1675" spans="1:11" ht="15">
      <c r="A1675" s="30"/>
      <c r="B1675" s="30"/>
      <c r="C1675" s="30"/>
      <c r="D1675" s="30"/>
      <c r="E1675" s="30"/>
      <c r="F1675" s="30"/>
      <c r="G1675" s="30"/>
      <c r="H1675" s="30"/>
      <c r="I1675" s="30"/>
      <c r="J1675" s="30"/>
      <c r="K1675" s="30"/>
    </row>
    <row r="1676" spans="1:11" ht="15">
      <c r="A1676" s="30"/>
      <c r="B1676" s="30"/>
      <c r="C1676" s="30"/>
      <c r="D1676" s="30"/>
      <c r="E1676" s="30"/>
      <c r="F1676" s="30"/>
      <c r="G1676" s="30"/>
      <c r="H1676" s="30"/>
      <c r="I1676" s="30"/>
      <c r="J1676" s="30"/>
      <c r="K1676" s="30"/>
    </row>
    <row r="1677" spans="1:11" ht="15">
      <c r="A1677" s="30"/>
      <c r="B1677" s="30"/>
      <c r="C1677" s="30"/>
      <c r="D1677" s="30"/>
      <c r="E1677" s="30"/>
      <c r="F1677" s="30"/>
      <c r="G1677" s="30"/>
      <c r="H1677" s="30"/>
      <c r="I1677" s="30"/>
      <c r="J1677" s="30"/>
      <c r="K1677" s="30"/>
    </row>
    <row r="1678" spans="1:11" ht="15">
      <c r="A1678" s="30"/>
      <c r="B1678" s="30"/>
      <c r="C1678" s="30"/>
      <c r="D1678" s="30"/>
      <c r="E1678" s="30"/>
      <c r="F1678" s="30"/>
      <c r="G1678" s="30"/>
      <c r="H1678" s="30"/>
      <c r="I1678" s="30"/>
      <c r="J1678" s="30"/>
      <c r="K1678" s="30"/>
    </row>
    <row r="1679" spans="1:11" ht="15">
      <c r="A1679" s="30"/>
      <c r="B1679" s="30"/>
      <c r="C1679" s="30"/>
      <c r="D1679" s="30"/>
      <c r="E1679" s="30"/>
      <c r="F1679" s="30"/>
      <c r="G1679" s="30"/>
      <c r="H1679" s="30"/>
      <c r="I1679" s="30"/>
      <c r="J1679" s="30"/>
      <c r="K1679" s="30"/>
    </row>
    <row r="1680" spans="1:11" ht="15">
      <c r="A1680" s="30"/>
      <c r="B1680" s="30"/>
      <c r="C1680" s="30"/>
      <c r="D1680" s="30"/>
      <c r="E1680" s="30"/>
      <c r="F1680" s="30"/>
      <c r="G1680" s="30"/>
      <c r="H1680" s="30"/>
      <c r="I1680" s="30"/>
      <c r="J1680" s="30"/>
      <c r="K1680" s="30"/>
    </row>
    <row r="1681" spans="1:11" ht="15">
      <c r="A1681" s="30"/>
      <c r="B1681" s="30"/>
      <c r="C1681" s="30"/>
      <c r="D1681" s="30"/>
      <c r="E1681" s="30"/>
      <c r="F1681" s="30"/>
      <c r="G1681" s="30"/>
      <c r="H1681" s="30"/>
      <c r="I1681" s="30"/>
      <c r="J1681" s="30"/>
      <c r="K1681" s="30"/>
    </row>
    <row r="1682" spans="1:11" ht="15">
      <c r="A1682" s="30"/>
      <c r="B1682" s="30"/>
      <c r="C1682" s="30"/>
      <c r="D1682" s="30"/>
      <c r="E1682" s="30"/>
      <c r="F1682" s="30"/>
      <c r="G1682" s="30"/>
      <c r="H1682" s="30"/>
      <c r="I1682" s="30"/>
      <c r="J1682" s="30"/>
      <c r="K1682" s="30"/>
    </row>
    <row r="1683" spans="1:11" ht="15">
      <c r="A1683" s="30"/>
      <c r="B1683" s="30"/>
      <c r="C1683" s="30"/>
      <c r="D1683" s="30"/>
      <c r="E1683" s="30"/>
      <c r="F1683" s="30"/>
      <c r="G1683" s="30"/>
      <c r="H1683" s="30"/>
      <c r="I1683" s="30"/>
      <c r="J1683" s="30"/>
      <c r="K1683" s="30"/>
    </row>
    <row r="1684" spans="1:11" ht="15">
      <c r="A1684" s="30"/>
      <c r="B1684" s="30"/>
      <c r="C1684" s="30"/>
      <c r="D1684" s="30"/>
      <c r="E1684" s="30"/>
      <c r="F1684" s="30"/>
      <c r="G1684" s="30"/>
      <c r="H1684" s="30"/>
      <c r="I1684" s="30"/>
      <c r="J1684" s="30"/>
      <c r="K1684" s="30"/>
    </row>
    <row r="1685" spans="1:11" ht="15">
      <c r="A1685" s="30"/>
      <c r="B1685" s="30"/>
      <c r="C1685" s="30"/>
      <c r="D1685" s="30"/>
      <c r="E1685" s="30"/>
      <c r="F1685" s="30"/>
      <c r="G1685" s="30"/>
      <c r="H1685" s="30"/>
      <c r="I1685" s="30"/>
      <c r="J1685" s="30"/>
      <c r="K1685" s="30"/>
    </row>
    <row r="1686" spans="1:11" ht="15">
      <c r="A1686" s="30"/>
      <c r="B1686" s="30"/>
      <c r="C1686" s="30"/>
      <c r="D1686" s="30"/>
      <c r="E1686" s="30"/>
      <c r="F1686" s="30"/>
      <c r="G1686" s="30"/>
      <c r="H1686" s="30"/>
      <c r="I1686" s="30"/>
      <c r="J1686" s="30"/>
      <c r="K1686" s="30"/>
    </row>
    <row r="1687" spans="1:11" ht="15">
      <c r="A1687" s="30"/>
      <c r="B1687" s="30"/>
      <c r="C1687" s="30"/>
      <c r="D1687" s="30"/>
      <c r="E1687" s="30"/>
      <c r="F1687" s="30"/>
      <c r="G1687" s="30"/>
      <c r="H1687" s="30"/>
      <c r="I1687" s="30"/>
      <c r="J1687" s="30"/>
      <c r="K1687" s="30"/>
    </row>
    <row r="1688" spans="1:11" ht="15">
      <c r="A1688" s="30"/>
      <c r="B1688" s="30"/>
      <c r="C1688" s="30"/>
      <c r="D1688" s="30"/>
      <c r="E1688" s="30"/>
      <c r="F1688" s="30"/>
      <c r="G1688" s="30"/>
      <c r="H1688" s="30"/>
      <c r="I1688" s="30"/>
      <c r="J1688" s="30"/>
      <c r="K1688" s="30"/>
    </row>
    <row r="1689" spans="1:11" ht="15">
      <c r="A1689" s="30"/>
      <c r="B1689" s="30"/>
      <c r="C1689" s="30"/>
      <c r="D1689" s="30"/>
      <c r="E1689" s="30"/>
      <c r="F1689" s="30"/>
      <c r="G1689" s="30"/>
      <c r="H1689" s="30"/>
      <c r="I1689" s="30"/>
      <c r="J1689" s="30"/>
      <c r="K1689" s="30"/>
    </row>
    <row r="1690" spans="1:11" ht="15">
      <c r="A1690" s="30"/>
      <c r="B1690" s="30"/>
      <c r="C1690" s="30"/>
      <c r="D1690" s="30"/>
      <c r="E1690" s="30"/>
      <c r="F1690" s="30"/>
      <c r="G1690" s="30"/>
      <c r="H1690" s="30"/>
      <c r="I1690" s="30"/>
      <c r="J1690" s="30"/>
      <c r="K1690" s="30"/>
    </row>
    <row r="1691" spans="1:11" ht="15">
      <c r="A1691" s="30"/>
      <c r="B1691" s="30"/>
      <c r="C1691" s="30"/>
      <c r="D1691" s="30"/>
      <c r="E1691" s="30"/>
      <c r="F1691" s="30"/>
      <c r="G1691" s="30"/>
      <c r="H1691" s="30"/>
      <c r="I1691" s="30"/>
      <c r="J1691" s="30"/>
      <c r="K1691" s="30"/>
    </row>
    <row r="1692" spans="1:11" ht="15">
      <c r="A1692" s="30"/>
      <c r="B1692" s="30"/>
      <c r="C1692" s="30"/>
      <c r="D1692" s="30"/>
      <c r="E1692" s="30"/>
      <c r="F1692" s="30"/>
      <c r="G1692" s="30"/>
      <c r="H1692" s="30"/>
      <c r="I1692" s="30"/>
      <c r="J1692" s="30"/>
      <c r="K1692" s="30"/>
    </row>
    <row r="1693" spans="1:11" ht="15">
      <c r="A1693" s="30"/>
      <c r="B1693" s="30"/>
      <c r="C1693" s="30"/>
      <c r="D1693" s="30"/>
      <c r="E1693" s="30"/>
      <c r="F1693" s="30"/>
      <c r="G1693" s="30"/>
      <c r="H1693" s="30"/>
      <c r="I1693" s="30"/>
      <c r="J1693" s="30"/>
      <c r="K1693" s="30"/>
    </row>
    <row r="1694" spans="1:11" ht="15">
      <c r="A1694" s="30"/>
      <c r="B1694" s="30"/>
      <c r="C1694" s="30"/>
      <c r="D1694" s="30"/>
      <c r="E1694" s="30"/>
      <c r="F1694" s="30"/>
      <c r="G1694" s="30"/>
      <c r="H1694" s="30"/>
      <c r="I1694" s="30"/>
      <c r="J1694" s="30"/>
      <c r="K1694" s="30"/>
    </row>
    <row r="1695" spans="1:11" ht="15">
      <c r="A1695" s="30"/>
      <c r="B1695" s="30"/>
      <c r="C1695" s="30"/>
      <c r="D1695" s="30"/>
      <c r="E1695" s="30"/>
      <c r="F1695" s="30"/>
      <c r="G1695" s="30"/>
      <c r="H1695" s="30"/>
      <c r="I1695" s="30"/>
      <c r="J1695" s="30"/>
      <c r="K1695" s="30"/>
    </row>
    <row r="1696" spans="1:11" ht="15">
      <c r="A1696" s="30"/>
      <c r="B1696" s="30"/>
      <c r="C1696" s="30"/>
      <c r="D1696" s="30"/>
      <c r="E1696" s="30"/>
      <c r="F1696" s="30"/>
      <c r="G1696" s="30"/>
      <c r="H1696" s="30"/>
      <c r="I1696" s="30"/>
      <c r="J1696" s="30"/>
      <c r="K1696" s="30"/>
    </row>
    <row r="1697" spans="1:11" ht="15">
      <c r="A1697" s="30"/>
      <c r="B1697" s="30"/>
      <c r="C1697" s="30"/>
      <c r="D1697" s="30"/>
      <c r="E1697" s="30"/>
      <c r="F1697" s="30"/>
      <c r="G1697" s="30"/>
      <c r="H1697" s="30"/>
      <c r="I1697" s="30"/>
      <c r="J1697" s="30"/>
      <c r="K1697" s="30"/>
    </row>
    <row r="1698" spans="1:11" ht="15">
      <c r="A1698" s="30"/>
      <c r="B1698" s="30"/>
      <c r="C1698" s="30"/>
      <c r="D1698" s="30"/>
      <c r="E1698" s="30"/>
      <c r="F1698" s="30"/>
      <c r="G1698" s="30"/>
      <c r="H1698" s="30"/>
      <c r="I1698" s="30"/>
      <c r="J1698" s="30"/>
      <c r="K1698" s="30"/>
    </row>
    <row r="1699" spans="1:11" ht="15">
      <c r="A1699" s="30"/>
      <c r="B1699" s="30"/>
      <c r="C1699" s="30"/>
      <c r="D1699" s="30"/>
      <c r="E1699" s="30"/>
      <c r="F1699" s="30"/>
      <c r="G1699" s="30"/>
      <c r="H1699" s="30"/>
      <c r="I1699" s="30"/>
      <c r="J1699" s="30"/>
      <c r="K1699" s="30"/>
    </row>
    <row r="1700" spans="1:11" ht="15">
      <c r="A1700" s="30"/>
      <c r="B1700" s="30"/>
      <c r="C1700" s="30"/>
      <c r="D1700" s="30"/>
      <c r="E1700" s="30"/>
      <c r="F1700" s="30"/>
      <c r="G1700" s="30"/>
      <c r="H1700" s="30"/>
      <c r="I1700" s="30"/>
      <c r="J1700" s="30"/>
      <c r="K1700" s="30"/>
    </row>
    <row r="1701" spans="1:11" ht="15">
      <c r="A1701" s="30"/>
      <c r="B1701" s="30"/>
      <c r="C1701" s="30"/>
      <c r="D1701" s="30"/>
      <c r="E1701" s="30"/>
      <c r="F1701" s="30"/>
      <c r="G1701" s="30"/>
      <c r="H1701" s="30"/>
      <c r="I1701" s="30"/>
      <c r="J1701" s="30"/>
      <c r="K1701" s="30"/>
    </row>
    <row r="1702" spans="1:11" ht="15">
      <c r="A1702" s="30"/>
      <c r="B1702" s="30"/>
      <c r="C1702" s="30"/>
      <c r="D1702" s="30"/>
      <c r="E1702" s="30"/>
      <c r="F1702" s="30"/>
      <c r="G1702" s="30"/>
      <c r="H1702" s="30"/>
      <c r="I1702" s="30"/>
      <c r="J1702" s="30"/>
      <c r="K1702" s="30"/>
    </row>
    <row r="1703" spans="1:11" ht="15">
      <c r="A1703" s="30"/>
      <c r="B1703" s="30"/>
      <c r="C1703" s="30"/>
      <c r="D1703" s="30"/>
      <c r="E1703" s="30"/>
      <c r="F1703" s="30"/>
      <c r="G1703" s="30"/>
      <c r="H1703" s="30"/>
      <c r="I1703" s="30"/>
      <c r="J1703" s="30"/>
      <c r="K1703" s="30"/>
    </row>
    <row r="1704" spans="1:11" ht="15">
      <c r="A1704" s="30"/>
      <c r="B1704" s="30"/>
      <c r="C1704" s="30"/>
      <c r="D1704" s="30"/>
      <c r="E1704" s="30"/>
      <c r="F1704" s="30"/>
      <c r="G1704" s="30"/>
      <c r="H1704" s="30"/>
      <c r="I1704" s="30"/>
      <c r="J1704" s="30"/>
      <c r="K1704" s="30"/>
    </row>
    <row r="1705" spans="1:11" ht="15">
      <c r="A1705" s="30"/>
      <c r="B1705" s="30"/>
      <c r="C1705" s="30"/>
      <c r="D1705" s="30"/>
      <c r="E1705" s="30"/>
      <c r="F1705" s="30"/>
      <c r="G1705" s="30"/>
      <c r="H1705" s="30"/>
      <c r="I1705" s="30"/>
      <c r="J1705" s="30"/>
      <c r="K1705" s="30"/>
    </row>
    <row r="1706" spans="1:11" ht="15">
      <c r="A1706" s="30"/>
      <c r="B1706" s="30"/>
      <c r="C1706" s="30"/>
      <c r="D1706" s="30"/>
      <c r="E1706" s="30"/>
      <c r="F1706" s="30"/>
      <c r="G1706" s="30"/>
      <c r="H1706" s="30"/>
      <c r="I1706" s="30"/>
      <c r="J1706" s="30"/>
      <c r="K1706" s="30"/>
    </row>
    <row r="1707" spans="1:11" ht="15">
      <c r="A1707" s="30"/>
      <c r="B1707" s="30"/>
      <c r="C1707" s="30"/>
      <c r="D1707" s="30"/>
      <c r="E1707" s="30"/>
      <c r="F1707" s="30"/>
      <c r="G1707" s="30"/>
      <c r="H1707" s="30"/>
      <c r="I1707" s="30"/>
      <c r="J1707" s="30"/>
      <c r="K1707" s="30"/>
    </row>
    <row r="1708" spans="1:11" ht="15">
      <c r="A1708" s="30"/>
      <c r="B1708" s="30"/>
      <c r="C1708" s="30"/>
      <c r="D1708" s="30"/>
      <c r="E1708" s="30"/>
      <c r="F1708" s="30"/>
      <c r="G1708" s="30"/>
      <c r="H1708" s="30"/>
      <c r="I1708" s="30"/>
      <c r="J1708" s="30"/>
      <c r="K1708" s="30"/>
    </row>
    <row r="1709" spans="1:11" ht="15">
      <c r="A1709" s="30"/>
      <c r="B1709" s="30"/>
      <c r="C1709" s="30"/>
      <c r="D1709" s="30"/>
      <c r="E1709" s="30"/>
      <c r="F1709" s="30"/>
      <c r="G1709" s="30"/>
      <c r="H1709" s="30"/>
      <c r="I1709" s="30"/>
      <c r="J1709" s="30"/>
      <c r="K1709" s="30"/>
    </row>
    <row r="1710" spans="1:11" ht="15">
      <c r="A1710" s="30"/>
      <c r="B1710" s="30"/>
      <c r="C1710" s="30"/>
      <c r="D1710" s="30"/>
      <c r="E1710" s="30"/>
      <c r="F1710" s="30"/>
      <c r="G1710" s="30"/>
      <c r="H1710" s="30"/>
      <c r="I1710" s="30"/>
      <c r="J1710" s="30"/>
      <c r="K1710" s="30"/>
    </row>
    <row r="1711" spans="1:11" ht="15">
      <c r="A1711" s="30"/>
      <c r="B1711" s="30"/>
      <c r="C1711" s="30"/>
      <c r="D1711" s="30"/>
      <c r="E1711" s="30"/>
      <c r="F1711" s="30"/>
      <c r="G1711" s="30"/>
      <c r="H1711" s="30"/>
      <c r="I1711" s="30"/>
      <c r="J1711" s="30"/>
      <c r="K1711" s="30"/>
    </row>
    <row r="1712" spans="1:11" ht="15">
      <c r="A1712" s="30"/>
      <c r="B1712" s="30"/>
      <c r="C1712" s="30"/>
      <c r="D1712" s="30"/>
      <c r="E1712" s="30"/>
      <c r="F1712" s="30"/>
      <c r="G1712" s="30"/>
      <c r="H1712" s="30"/>
      <c r="I1712" s="30"/>
      <c r="J1712" s="30"/>
      <c r="K1712" s="30"/>
    </row>
    <row r="1713" spans="1:11" ht="15">
      <c r="A1713" s="30"/>
      <c r="B1713" s="30"/>
      <c r="C1713" s="30"/>
      <c r="D1713" s="30"/>
      <c r="E1713" s="30"/>
      <c r="F1713" s="30"/>
      <c r="G1713" s="30"/>
      <c r="H1713" s="30"/>
      <c r="I1713" s="30"/>
      <c r="J1713" s="30"/>
      <c r="K1713" s="30"/>
    </row>
    <row r="1714" spans="1:11" ht="15">
      <c r="A1714" s="30"/>
      <c r="B1714" s="30"/>
      <c r="C1714" s="30"/>
      <c r="D1714" s="30"/>
      <c r="E1714" s="30"/>
      <c r="F1714" s="30"/>
      <c r="G1714" s="30"/>
      <c r="H1714" s="30"/>
      <c r="I1714" s="30"/>
      <c r="J1714" s="30"/>
      <c r="K1714" s="30"/>
    </row>
    <row r="1715" spans="1:11" ht="15">
      <c r="A1715" s="30"/>
      <c r="B1715" s="30"/>
      <c r="C1715" s="30"/>
      <c r="D1715" s="30"/>
      <c r="E1715" s="30"/>
      <c r="F1715" s="30"/>
      <c r="G1715" s="30"/>
      <c r="H1715" s="30"/>
      <c r="I1715" s="30"/>
      <c r="J1715" s="30"/>
      <c r="K1715" s="30"/>
    </row>
    <row r="1716" spans="1:11" ht="15">
      <c r="A1716" s="30"/>
      <c r="B1716" s="30"/>
      <c r="C1716" s="30"/>
      <c r="D1716" s="30"/>
      <c r="E1716" s="30"/>
      <c r="F1716" s="30"/>
      <c r="G1716" s="30"/>
      <c r="H1716" s="30"/>
      <c r="I1716" s="30"/>
      <c r="J1716" s="30"/>
      <c r="K1716" s="30"/>
    </row>
    <row r="1717" spans="1:11" ht="15">
      <c r="A1717" s="30"/>
      <c r="B1717" s="30"/>
      <c r="C1717" s="30"/>
      <c r="D1717" s="30"/>
      <c r="E1717" s="30"/>
      <c r="F1717" s="30"/>
      <c r="G1717" s="30"/>
      <c r="H1717" s="30"/>
      <c r="I1717" s="30"/>
      <c r="J1717" s="30"/>
      <c r="K1717" s="30"/>
    </row>
    <row r="1718" spans="1:11" ht="15">
      <c r="A1718" s="30"/>
      <c r="B1718" s="30"/>
      <c r="C1718" s="30"/>
      <c r="D1718" s="30"/>
      <c r="E1718" s="30"/>
      <c r="F1718" s="30"/>
      <c r="G1718" s="30"/>
      <c r="H1718" s="30"/>
      <c r="I1718" s="30"/>
      <c r="J1718" s="30"/>
      <c r="K1718" s="30"/>
    </row>
    <row r="1719" spans="1:11" ht="15">
      <c r="A1719" s="30"/>
      <c r="B1719" s="30"/>
      <c r="C1719" s="30"/>
      <c r="D1719" s="30"/>
      <c r="E1719" s="30"/>
      <c r="F1719" s="30"/>
      <c r="G1719" s="30"/>
      <c r="H1719" s="30"/>
      <c r="I1719" s="30"/>
      <c r="J1719" s="30"/>
      <c r="K1719" s="30"/>
    </row>
    <row r="1720" spans="1:11" ht="15">
      <c r="A1720" s="30"/>
      <c r="B1720" s="30"/>
      <c r="C1720" s="30"/>
      <c r="D1720" s="30"/>
      <c r="E1720" s="30"/>
      <c r="F1720" s="30"/>
      <c r="G1720" s="30"/>
      <c r="H1720" s="30"/>
      <c r="I1720" s="30"/>
      <c r="J1720" s="30"/>
      <c r="K1720" s="30"/>
    </row>
    <row r="1721" spans="1:11" ht="15">
      <c r="A1721" s="30"/>
      <c r="B1721" s="30"/>
      <c r="C1721" s="30"/>
      <c r="D1721" s="30"/>
      <c r="E1721" s="30"/>
      <c r="F1721" s="30"/>
      <c r="G1721" s="30"/>
      <c r="H1721" s="30"/>
      <c r="I1721" s="30"/>
      <c r="J1721" s="30"/>
      <c r="K1721" s="30"/>
    </row>
    <row r="1722" spans="1:11" ht="15">
      <c r="A1722" s="30"/>
      <c r="B1722" s="30"/>
      <c r="C1722" s="30"/>
      <c r="D1722" s="30"/>
      <c r="E1722" s="30"/>
      <c r="F1722" s="30"/>
      <c r="G1722" s="30"/>
      <c r="H1722" s="30"/>
      <c r="I1722" s="30"/>
      <c r="J1722" s="30"/>
      <c r="K1722" s="30"/>
    </row>
    <row r="1723" spans="1:11" ht="15">
      <c r="A1723" s="30"/>
      <c r="B1723" s="30"/>
      <c r="C1723" s="30"/>
      <c r="D1723" s="30"/>
      <c r="E1723" s="30"/>
      <c r="F1723" s="30"/>
      <c r="G1723" s="30"/>
      <c r="H1723" s="30"/>
      <c r="I1723" s="30"/>
      <c r="J1723" s="30"/>
      <c r="K1723" s="30"/>
    </row>
    <row r="1724" spans="1:11" ht="15">
      <c r="A1724" s="30"/>
      <c r="B1724" s="30"/>
      <c r="C1724" s="30"/>
      <c r="D1724" s="30"/>
      <c r="E1724" s="30"/>
      <c r="F1724" s="30"/>
      <c r="G1724" s="30"/>
      <c r="H1724" s="30"/>
      <c r="I1724" s="30"/>
      <c r="J1724" s="30"/>
      <c r="K1724" s="30"/>
    </row>
    <row r="1725" spans="1:11" ht="15">
      <c r="A1725" s="30"/>
      <c r="B1725" s="30"/>
      <c r="C1725" s="30"/>
      <c r="D1725" s="30"/>
      <c r="E1725" s="30"/>
      <c r="F1725" s="30"/>
      <c r="G1725" s="30"/>
      <c r="H1725" s="30"/>
      <c r="I1725" s="30"/>
      <c r="J1725" s="30"/>
      <c r="K1725" s="30"/>
    </row>
    <row r="1726" spans="1:11" ht="15">
      <c r="A1726" s="30"/>
      <c r="B1726" s="30"/>
      <c r="C1726" s="30"/>
      <c r="D1726" s="30"/>
      <c r="E1726" s="30"/>
      <c r="F1726" s="30"/>
      <c r="G1726" s="30"/>
      <c r="H1726" s="30"/>
      <c r="I1726" s="30"/>
      <c r="J1726" s="30"/>
      <c r="K1726" s="30"/>
    </row>
    <row r="1727" spans="1:11" ht="15">
      <c r="A1727" s="30"/>
      <c r="B1727" s="30"/>
      <c r="C1727" s="30"/>
      <c r="D1727" s="30"/>
      <c r="E1727" s="30"/>
      <c r="F1727" s="30"/>
      <c r="G1727" s="30"/>
      <c r="H1727" s="30"/>
      <c r="I1727" s="30"/>
      <c r="J1727" s="30"/>
      <c r="K1727" s="30"/>
    </row>
    <row r="1728" spans="1:11" ht="15">
      <c r="A1728" s="30"/>
      <c r="B1728" s="30"/>
      <c r="C1728" s="30"/>
      <c r="D1728" s="30"/>
      <c r="E1728" s="30"/>
      <c r="F1728" s="30"/>
      <c r="G1728" s="30"/>
      <c r="H1728" s="30"/>
      <c r="I1728" s="30"/>
      <c r="J1728" s="30"/>
      <c r="K1728" s="30"/>
    </row>
    <row r="1729" spans="1:11" ht="15">
      <c r="A1729" s="30"/>
      <c r="B1729" s="30"/>
      <c r="C1729" s="30"/>
      <c r="D1729" s="30"/>
      <c r="E1729" s="30"/>
      <c r="F1729" s="30"/>
      <c r="G1729" s="30"/>
      <c r="H1729" s="30"/>
      <c r="I1729" s="30"/>
      <c r="J1729" s="30"/>
      <c r="K1729" s="30"/>
    </row>
    <row r="1730" spans="1:11" ht="15">
      <c r="A1730" s="30"/>
      <c r="B1730" s="30"/>
      <c r="C1730" s="30"/>
      <c r="D1730" s="30"/>
      <c r="E1730" s="30"/>
      <c r="F1730" s="30"/>
      <c r="G1730" s="30"/>
      <c r="H1730" s="30"/>
      <c r="I1730" s="30"/>
      <c r="J1730" s="30"/>
      <c r="K1730" s="30"/>
    </row>
    <row r="1731" spans="1:11" ht="15">
      <c r="A1731" s="30"/>
      <c r="B1731" s="30"/>
      <c r="C1731" s="30"/>
      <c r="D1731" s="30"/>
      <c r="E1731" s="30"/>
      <c r="F1731" s="30"/>
      <c r="G1731" s="30"/>
      <c r="H1731" s="30"/>
      <c r="I1731" s="30"/>
      <c r="J1731" s="30"/>
      <c r="K1731" s="30"/>
    </row>
    <row r="1732" spans="1:11" ht="15">
      <c r="A1732" s="30"/>
      <c r="B1732" s="30"/>
      <c r="C1732" s="30"/>
      <c r="D1732" s="30"/>
      <c r="E1732" s="30"/>
      <c r="F1732" s="30"/>
      <c r="G1732" s="30"/>
      <c r="H1732" s="30"/>
      <c r="I1732" s="30"/>
      <c r="J1732" s="30"/>
      <c r="K1732" s="30"/>
    </row>
    <row r="1733" spans="1:11" ht="15">
      <c r="A1733" s="30"/>
      <c r="B1733" s="30"/>
      <c r="C1733" s="30"/>
      <c r="D1733" s="30"/>
      <c r="E1733" s="30"/>
      <c r="F1733" s="30"/>
      <c r="G1733" s="30"/>
      <c r="H1733" s="30"/>
      <c r="I1733" s="30"/>
      <c r="J1733" s="30"/>
      <c r="K1733" s="30"/>
    </row>
    <row r="1734" spans="1:11" ht="15">
      <c r="A1734" s="30"/>
      <c r="B1734" s="30"/>
      <c r="C1734" s="30"/>
      <c r="D1734" s="30"/>
      <c r="E1734" s="30"/>
      <c r="F1734" s="30"/>
      <c r="G1734" s="30"/>
      <c r="H1734" s="30"/>
      <c r="I1734" s="30"/>
      <c r="J1734" s="30"/>
      <c r="K1734" s="30"/>
    </row>
    <row r="1735" spans="1:11" ht="15">
      <c r="A1735" s="30"/>
      <c r="B1735" s="30"/>
      <c r="C1735" s="30"/>
      <c r="D1735" s="30"/>
      <c r="E1735" s="30"/>
      <c r="F1735" s="30"/>
      <c r="G1735" s="30"/>
      <c r="H1735" s="30"/>
      <c r="I1735" s="30"/>
      <c r="J1735" s="30"/>
      <c r="K1735" s="30"/>
    </row>
    <row r="1736" spans="1:11" ht="15">
      <c r="A1736" s="30"/>
      <c r="B1736" s="30"/>
      <c r="C1736" s="30"/>
      <c r="D1736" s="30"/>
      <c r="E1736" s="30"/>
      <c r="F1736" s="30"/>
      <c r="G1736" s="30"/>
      <c r="H1736" s="30"/>
      <c r="I1736" s="30"/>
      <c r="J1736" s="30"/>
      <c r="K1736" s="30"/>
    </row>
    <row r="1737" spans="1:11" ht="15">
      <c r="A1737" s="30"/>
      <c r="B1737" s="30"/>
      <c r="C1737" s="30"/>
      <c r="D1737" s="30"/>
      <c r="E1737" s="30"/>
      <c r="F1737" s="30"/>
      <c r="G1737" s="30"/>
      <c r="H1737" s="30"/>
      <c r="I1737" s="30"/>
      <c r="J1737" s="30"/>
      <c r="K1737" s="30"/>
    </row>
    <row r="1738" spans="1:11" ht="15">
      <c r="A1738" s="30"/>
      <c r="B1738" s="30"/>
      <c r="C1738" s="30"/>
      <c r="D1738" s="30"/>
      <c r="E1738" s="30"/>
      <c r="F1738" s="30"/>
      <c r="G1738" s="30"/>
      <c r="H1738" s="30"/>
      <c r="I1738" s="30"/>
      <c r="J1738" s="30"/>
      <c r="K1738" s="30"/>
    </row>
    <row r="1739" spans="1:11" ht="15">
      <c r="A1739" s="30"/>
      <c r="B1739" s="30"/>
      <c r="C1739" s="30"/>
      <c r="D1739" s="30"/>
      <c r="E1739" s="30"/>
      <c r="F1739" s="30"/>
      <c r="G1739" s="30"/>
      <c r="H1739" s="30"/>
      <c r="I1739" s="30"/>
      <c r="J1739" s="30"/>
      <c r="K1739" s="30"/>
    </row>
    <row r="1740" spans="1:11" ht="15">
      <c r="A1740" s="30"/>
      <c r="B1740" s="30"/>
      <c r="C1740" s="30"/>
      <c r="D1740" s="30"/>
      <c r="E1740" s="30"/>
      <c r="F1740" s="30"/>
      <c r="G1740" s="30"/>
      <c r="H1740" s="30"/>
      <c r="I1740" s="30"/>
      <c r="J1740" s="30"/>
      <c r="K1740" s="30"/>
    </row>
    <row r="1741" spans="1:11" ht="15">
      <c r="A1741" s="30"/>
      <c r="B1741" s="30"/>
      <c r="C1741" s="30"/>
      <c r="D1741" s="30"/>
      <c r="E1741" s="30"/>
      <c r="F1741" s="30"/>
      <c r="G1741" s="30"/>
      <c r="H1741" s="30"/>
      <c r="I1741" s="30"/>
      <c r="J1741" s="30"/>
      <c r="K1741" s="30"/>
    </row>
    <row r="1742" spans="1:11" ht="15">
      <c r="A1742" s="30"/>
      <c r="B1742" s="30"/>
      <c r="C1742" s="30"/>
      <c r="D1742" s="30"/>
      <c r="E1742" s="30"/>
      <c r="F1742" s="30"/>
      <c r="G1742" s="30"/>
      <c r="H1742" s="30"/>
      <c r="I1742" s="30"/>
      <c r="J1742" s="30"/>
      <c r="K1742" s="30"/>
    </row>
    <row r="1743" spans="1:11" ht="15">
      <c r="A1743" s="30"/>
      <c r="B1743" s="30"/>
      <c r="C1743" s="30"/>
      <c r="D1743" s="30"/>
      <c r="E1743" s="30"/>
      <c r="F1743" s="30"/>
      <c r="G1743" s="30"/>
      <c r="H1743" s="30"/>
      <c r="I1743" s="30"/>
      <c r="J1743" s="30"/>
      <c r="K1743" s="30"/>
    </row>
    <row r="1744" spans="1:11" ht="15">
      <c r="A1744" s="30"/>
      <c r="B1744" s="30"/>
      <c r="C1744" s="30"/>
      <c r="D1744" s="30"/>
      <c r="E1744" s="30"/>
      <c r="F1744" s="30"/>
      <c r="G1744" s="30"/>
      <c r="H1744" s="30"/>
      <c r="I1744" s="30"/>
      <c r="J1744" s="30"/>
      <c r="K1744" s="30"/>
    </row>
    <row r="1745" spans="1:11" ht="15">
      <c r="A1745" s="30"/>
      <c r="B1745" s="30"/>
      <c r="C1745" s="30"/>
      <c r="D1745" s="30"/>
      <c r="E1745" s="30"/>
      <c r="F1745" s="30"/>
      <c r="G1745" s="30"/>
      <c r="H1745" s="30"/>
      <c r="I1745" s="30"/>
      <c r="J1745" s="30"/>
      <c r="K1745" s="30"/>
    </row>
    <row r="1746" spans="1:11" ht="15">
      <c r="A1746" s="30"/>
      <c r="B1746" s="30"/>
      <c r="C1746" s="30"/>
      <c r="D1746" s="30"/>
      <c r="E1746" s="30"/>
      <c r="F1746" s="30"/>
      <c r="G1746" s="30"/>
      <c r="H1746" s="30"/>
      <c r="I1746" s="30"/>
      <c r="J1746" s="30"/>
      <c r="K1746" s="30"/>
    </row>
    <row r="1747" spans="1:11" ht="15">
      <c r="A1747" s="30"/>
      <c r="B1747" s="30"/>
      <c r="C1747" s="30"/>
      <c r="D1747" s="30"/>
      <c r="E1747" s="30"/>
      <c r="F1747" s="30"/>
      <c r="G1747" s="30"/>
      <c r="H1747" s="30"/>
      <c r="I1747" s="30"/>
      <c r="J1747" s="30"/>
      <c r="K1747" s="30"/>
    </row>
    <row r="1748" spans="1:11" ht="15">
      <c r="A1748" s="30"/>
      <c r="B1748" s="30"/>
      <c r="C1748" s="30"/>
      <c r="D1748" s="30"/>
      <c r="E1748" s="30"/>
      <c r="F1748" s="30"/>
      <c r="G1748" s="30"/>
      <c r="H1748" s="30"/>
      <c r="I1748" s="30"/>
      <c r="J1748" s="30"/>
      <c r="K1748" s="30"/>
    </row>
    <row r="1749" spans="1:11" ht="15">
      <c r="A1749" s="30"/>
      <c r="B1749" s="30"/>
      <c r="C1749" s="30"/>
      <c r="D1749" s="30"/>
      <c r="E1749" s="30"/>
      <c r="F1749" s="30"/>
      <c r="G1749" s="30"/>
      <c r="H1749" s="30"/>
      <c r="I1749" s="30"/>
      <c r="J1749" s="30"/>
      <c r="K1749" s="30"/>
    </row>
    <row r="1750" spans="1:11" ht="15">
      <c r="A1750" s="30"/>
      <c r="B1750" s="30"/>
      <c r="C1750" s="30"/>
      <c r="D1750" s="30"/>
      <c r="E1750" s="30"/>
      <c r="F1750" s="30"/>
      <c r="G1750" s="30"/>
      <c r="H1750" s="30"/>
      <c r="I1750" s="30"/>
      <c r="J1750" s="30"/>
      <c r="K1750" s="30"/>
    </row>
    <row r="1751" spans="1:11" ht="15">
      <c r="A1751" s="30"/>
      <c r="B1751" s="30"/>
      <c r="C1751" s="30"/>
      <c r="D1751" s="30"/>
      <c r="E1751" s="30"/>
      <c r="F1751" s="30"/>
      <c r="G1751" s="30"/>
      <c r="H1751" s="30"/>
      <c r="I1751" s="30"/>
      <c r="J1751" s="30"/>
      <c r="K1751" s="30"/>
    </row>
    <row r="1752" spans="1:11" ht="15">
      <c r="A1752" s="30"/>
      <c r="B1752" s="30"/>
      <c r="C1752" s="30"/>
      <c r="D1752" s="30"/>
      <c r="E1752" s="30"/>
      <c r="F1752" s="30"/>
      <c r="G1752" s="30"/>
      <c r="H1752" s="30"/>
      <c r="I1752" s="30"/>
      <c r="J1752" s="30"/>
      <c r="K1752" s="30"/>
    </row>
    <row r="1753" spans="1:11" ht="15">
      <c r="A1753" s="30"/>
      <c r="B1753" s="30"/>
      <c r="C1753" s="30"/>
      <c r="D1753" s="30"/>
      <c r="E1753" s="30"/>
      <c r="F1753" s="30"/>
      <c r="G1753" s="30"/>
      <c r="H1753" s="30"/>
      <c r="I1753" s="30"/>
      <c r="J1753" s="30"/>
      <c r="K1753" s="30"/>
    </row>
    <row r="1754" spans="1:11" ht="15">
      <c r="A1754" s="30"/>
      <c r="B1754" s="30"/>
      <c r="C1754" s="30"/>
      <c r="D1754" s="30"/>
      <c r="E1754" s="30"/>
      <c r="F1754" s="30"/>
      <c r="G1754" s="30"/>
      <c r="H1754" s="30"/>
      <c r="I1754" s="30"/>
      <c r="J1754" s="30"/>
      <c r="K1754" s="30"/>
    </row>
    <row r="1755" spans="1:11" ht="15">
      <c r="A1755" s="30"/>
      <c r="B1755" s="30"/>
      <c r="C1755" s="30"/>
      <c r="D1755" s="30"/>
      <c r="E1755" s="30"/>
      <c r="F1755" s="30"/>
      <c r="G1755" s="30"/>
      <c r="H1755" s="30"/>
      <c r="I1755" s="30"/>
      <c r="J1755" s="30"/>
      <c r="K1755" s="30"/>
    </row>
    <row r="1756" spans="1:11" ht="15">
      <c r="A1756" s="30"/>
      <c r="B1756" s="30"/>
      <c r="C1756" s="30"/>
      <c r="D1756" s="30"/>
      <c r="E1756" s="30"/>
      <c r="F1756" s="30"/>
      <c r="G1756" s="30"/>
      <c r="H1756" s="30"/>
      <c r="I1756" s="30"/>
      <c r="J1756" s="30"/>
      <c r="K1756" s="30"/>
    </row>
    <row r="1757" spans="1:11" ht="15">
      <c r="A1757" s="30"/>
      <c r="B1757" s="30"/>
      <c r="C1757" s="30"/>
      <c r="D1757" s="30"/>
      <c r="E1757" s="30"/>
      <c r="F1757" s="30"/>
      <c r="G1757" s="30"/>
      <c r="H1757" s="30"/>
      <c r="I1757" s="30"/>
      <c r="J1757" s="30"/>
      <c r="K1757" s="30"/>
    </row>
    <row r="1758" spans="1:11" ht="15">
      <c r="A1758" s="30"/>
      <c r="B1758" s="30"/>
      <c r="C1758" s="30"/>
      <c r="D1758" s="30"/>
      <c r="E1758" s="30"/>
      <c r="F1758" s="30"/>
      <c r="G1758" s="30"/>
      <c r="H1758" s="30"/>
      <c r="I1758" s="30"/>
      <c r="J1758" s="30"/>
      <c r="K1758" s="30"/>
    </row>
    <row r="1759" spans="1:11" ht="15">
      <c r="A1759" s="30"/>
      <c r="B1759" s="30"/>
      <c r="C1759" s="30"/>
      <c r="D1759" s="30"/>
      <c r="E1759" s="30"/>
      <c r="F1759" s="30"/>
      <c r="G1759" s="30"/>
      <c r="H1759" s="30"/>
      <c r="I1759" s="30"/>
      <c r="J1759" s="30"/>
      <c r="K1759" s="30"/>
    </row>
    <row r="1760" spans="1:11" ht="15">
      <c r="A1760" s="30"/>
      <c r="B1760" s="30"/>
      <c r="C1760" s="30"/>
      <c r="D1760" s="30"/>
      <c r="E1760" s="30"/>
      <c r="F1760" s="30"/>
      <c r="G1760" s="30"/>
      <c r="H1760" s="30"/>
      <c r="I1760" s="30"/>
      <c r="J1760" s="30"/>
      <c r="K1760" s="30"/>
    </row>
    <row r="1761" spans="1:11" ht="15">
      <c r="A1761" s="30"/>
      <c r="B1761" s="30"/>
      <c r="C1761" s="30"/>
      <c r="D1761" s="30"/>
      <c r="E1761" s="30"/>
      <c r="F1761" s="30"/>
      <c r="G1761" s="30"/>
      <c r="H1761" s="30"/>
      <c r="I1761" s="30"/>
      <c r="J1761" s="30"/>
      <c r="K1761" s="30"/>
    </row>
    <row r="1762" spans="1:11" ht="15">
      <c r="A1762" s="30"/>
      <c r="B1762" s="30"/>
      <c r="C1762" s="30"/>
      <c r="D1762" s="30"/>
      <c r="E1762" s="30"/>
      <c r="F1762" s="30"/>
      <c r="G1762" s="30"/>
      <c r="H1762" s="30"/>
      <c r="I1762" s="30"/>
      <c r="J1762" s="30"/>
      <c r="K1762" s="30"/>
    </row>
    <row r="1763" spans="1:11" ht="15">
      <c r="A1763" s="30"/>
      <c r="B1763" s="30"/>
      <c r="C1763" s="30"/>
      <c r="D1763" s="30"/>
      <c r="E1763" s="30"/>
      <c r="F1763" s="30"/>
      <c r="G1763" s="30"/>
      <c r="H1763" s="30"/>
      <c r="I1763" s="30"/>
      <c r="J1763" s="30"/>
      <c r="K1763" s="30"/>
    </row>
    <row r="1764" spans="1:11" ht="15">
      <c r="A1764" s="30"/>
      <c r="B1764" s="30"/>
      <c r="C1764" s="30"/>
      <c r="D1764" s="30"/>
      <c r="E1764" s="30"/>
      <c r="F1764" s="30"/>
      <c r="G1764" s="30"/>
      <c r="H1764" s="30"/>
      <c r="I1764" s="30"/>
      <c r="J1764" s="30"/>
      <c r="K1764" s="30"/>
    </row>
    <row r="1765" spans="1:11" ht="15">
      <c r="A1765" s="30"/>
      <c r="B1765" s="30"/>
      <c r="C1765" s="30"/>
      <c r="D1765" s="30"/>
      <c r="E1765" s="30"/>
      <c r="F1765" s="30"/>
      <c r="G1765" s="30"/>
      <c r="H1765" s="30"/>
      <c r="I1765" s="30"/>
      <c r="J1765" s="30"/>
      <c r="K1765" s="30"/>
    </row>
    <row r="1766" spans="1:11" ht="15">
      <c r="A1766" s="30"/>
      <c r="B1766" s="30"/>
      <c r="C1766" s="30"/>
      <c r="D1766" s="30"/>
      <c r="E1766" s="30"/>
      <c r="F1766" s="30"/>
      <c r="G1766" s="30"/>
      <c r="H1766" s="30"/>
      <c r="I1766" s="30"/>
      <c r="J1766" s="30"/>
      <c r="K1766" s="30"/>
    </row>
    <row r="1767" spans="1:11" ht="15">
      <c r="A1767" s="30"/>
      <c r="B1767" s="30"/>
      <c r="C1767" s="30"/>
      <c r="D1767" s="30"/>
      <c r="E1767" s="30"/>
      <c r="F1767" s="30"/>
      <c r="G1767" s="30"/>
      <c r="H1767" s="30"/>
      <c r="I1767" s="30"/>
      <c r="J1767" s="30"/>
      <c r="K1767" s="30"/>
    </row>
    <row r="1768" spans="1:11" ht="15">
      <c r="A1768" s="30"/>
      <c r="B1768" s="30"/>
      <c r="C1768" s="30"/>
      <c r="D1768" s="30"/>
      <c r="E1768" s="30"/>
      <c r="F1768" s="30"/>
      <c r="G1768" s="30"/>
      <c r="H1768" s="30"/>
      <c r="I1768" s="30"/>
      <c r="J1768" s="30"/>
      <c r="K1768" s="30"/>
    </row>
    <row r="1769" spans="1:11" ht="15">
      <c r="A1769" s="30"/>
      <c r="B1769" s="30"/>
      <c r="C1769" s="30"/>
      <c r="D1769" s="30"/>
      <c r="E1769" s="30"/>
      <c r="F1769" s="30"/>
      <c r="G1769" s="30"/>
      <c r="H1769" s="30"/>
      <c r="I1769" s="30"/>
      <c r="J1769" s="30"/>
      <c r="K1769" s="30"/>
    </row>
    <row r="1770" spans="1:11" ht="15">
      <c r="A1770" s="30"/>
      <c r="B1770" s="30"/>
      <c r="C1770" s="30"/>
      <c r="D1770" s="30"/>
      <c r="E1770" s="30"/>
      <c r="F1770" s="30"/>
      <c r="G1770" s="30"/>
      <c r="H1770" s="30"/>
      <c r="I1770" s="30"/>
      <c r="J1770" s="30"/>
      <c r="K1770" s="30"/>
    </row>
    <row r="1771" spans="1:11" ht="15">
      <c r="A1771" s="30"/>
      <c r="B1771" s="30"/>
      <c r="C1771" s="30"/>
      <c r="D1771" s="30"/>
      <c r="E1771" s="30"/>
      <c r="F1771" s="30"/>
      <c r="G1771" s="30"/>
      <c r="H1771" s="30"/>
      <c r="I1771" s="30"/>
      <c r="J1771" s="30"/>
      <c r="K1771" s="30"/>
    </row>
    <row r="1772" spans="1:11" ht="15">
      <c r="A1772" s="30"/>
      <c r="B1772" s="30"/>
      <c r="C1772" s="30"/>
      <c r="D1772" s="30"/>
      <c r="E1772" s="30"/>
      <c r="F1772" s="30"/>
      <c r="G1772" s="30"/>
      <c r="H1772" s="30"/>
      <c r="I1772" s="30"/>
      <c r="J1772" s="30"/>
      <c r="K1772" s="30"/>
    </row>
    <row r="1773" spans="1:11" ht="15">
      <c r="A1773" s="30"/>
      <c r="B1773" s="30"/>
      <c r="C1773" s="30"/>
      <c r="D1773" s="30"/>
      <c r="E1773" s="30"/>
      <c r="F1773" s="30"/>
      <c r="G1773" s="30"/>
      <c r="H1773" s="30"/>
      <c r="I1773" s="30"/>
      <c r="J1773" s="30"/>
      <c r="K1773" s="30"/>
    </row>
    <row r="1774" spans="1:11" ht="15">
      <c r="A1774" s="30"/>
      <c r="B1774" s="30"/>
      <c r="C1774" s="30"/>
      <c r="D1774" s="30"/>
      <c r="E1774" s="30"/>
      <c r="F1774" s="30"/>
      <c r="G1774" s="30"/>
      <c r="H1774" s="30"/>
      <c r="I1774" s="30"/>
      <c r="J1774" s="30"/>
      <c r="K1774" s="30"/>
    </row>
    <row r="1775" spans="1:11" ht="15">
      <c r="A1775" s="30"/>
      <c r="B1775" s="30"/>
      <c r="C1775" s="30"/>
      <c r="D1775" s="30"/>
      <c r="E1775" s="30"/>
      <c r="F1775" s="30"/>
      <c r="G1775" s="30"/>
      <c r="H1775" s="30"/>
      <c r="I1775" s="30"/>
      <c r="J1775" s="30"/>
      <c r="K1775" s="30"/>
    </row>
    <row r="1776" spans="1:11" ht="15">
      <c r="A1776" s="30"/>
      <c r="B1776" s="30"/>
      <c r="C1776" s="30"/>
      <c r="D1776" s="30"/>
      <c r="E1776" s="30"/>
      <c r="F1776" s="30"/>
      <c r="G1776" s="30"/>
      <c r="H1776" s="30"/>
      <c r="I1776" s="30"/>
      <c r="J1776" s="30"/>
      <c r="K1776" s="30"/>
    </row>
    <row r="1777" spans="1:11" ht="15">
      <c r="A1777" s="30"/>
      <c r="B1777" s="30"/>
      <c r="C1777" s="30"/>
      <c r="D1777" s="30"/>
      <c r="E1777" s="30"/>
      <c r="F1777" s="30"/>
      <c r="G1777" s="30"/>
      <c r="H1777" s="30"/>
      <c r="I1777" s="30"/>
      <c r="J1777" s="30"/>
      <c r="K1777" s="30"/>
    </row>
    <row r="1778" spans="1:11" ht="15">
      <c r="A1778" s="30"/>
      <c r="B1778" s="30"/>
      <c r="C1778" s="30"/>
      <c r="D1778" s="30"/>
      <c r="E1778" s="30"/>
      <c r="F1778" s="30"/>
      <c r="G1778" s="30"/>
      <c r="H1778" s="30"/>
      <c r="I1778" s="30"/>
      <c r="J1778" s="30"/>
      <c r="K1778" s="30"/>
    </row>
    <row r="1779" spans="1:11" ht="15">
      <c r="A1779" s="30"/>
      <c r="B1779" s="30"/>
      <c r="C1779" s="30"/>
      <c r="D1779" s="30"/>
      <c r="E1779" s="30"/>
      <c r="F1779" s="30"/>
      <c r="G1779" s="30"/>
      <c r="H1779" s="30"/>
      <c r="I1779" s="30"/>
      <c r="J1779" s="30"/>
      <c r="K1779" s="30"/>
    </row>
    <row r="1780" spans="1:11" ht="15">
      <c r="A1780" s="30"/>
      <c r="B1780" s="30"/>
      <c r="C1780" s="30"/>
      <c r="D1780" s="30"/>
      <c r="E1780" s="30"/>
      <c r="F1780" s="30"/>
      <c r="G1780" s="30"/>
      <c r="H1780" s="30"/>
      <c r="I1780" s="30"/>
      <c r="J1780" s="30"/>
      <c r="K1780" s="30"/>
    </row>
    <row r="1781" spans="1:11" ht="15">
      <c r="A1781" s="30"/>
      <c r="B1781" s="30"/>
      <c r="C1781" s="30"/>
      <c r="D1781" s="30"/>
      <c r="E1781" s="30"/>
      <c r="F1781" s="30"/>
      <c r="G1781" s="30"/>
      <c r="H1781" s="30"/>
      <c r="I1781" s="30"/>
      <c r="J1781" s="30"/>
      <c r="K1781" s="30"/>
    </row>
    <row r="1782" spans="1:11" ht="15">
      <c r="A1782" s="30"/>
      <c r="B1782" s="30"/>
      <c r="C1782" s="30"/>
      <c r="D1782" s="30"/>
      <c r="E1782" s="30"/>
      <c r="F1782" s="30"/>
      <c r="G1782" s="30"/>
      <c r="H1782" s="30"/>
      <c r="I1782" s="30"/>
      <c r="J1782" s="30"/>
      <c r="K1782" s="30"/>
    </row>
    <row r="1783" spans="1:11" ht="15">
      <c r="A1783" s="30"/>
      <c r="B1783" s="30"/>
      <c r="C1783" s="30"/>
      <c r="D1783" s="30"/>
      <c r="E1783" s="30"/>
      <c r="F1783" s="30"/>
      <c r="G1783" s="30"/>
      <c r="H1783" s="30"/>
      <c r="I1783" s="30"/>
      <c r="J1783" s="30"/>
      <c r="K1783" s="30"/>
    </row>
    <row r="1784" spans="1:11" ht="15">
      <c r="A1784" s="30"/>
      <c r="B1784" s="30"/>
      <c r="C1784" s="30"/>
      <c r="D1784" s="30"/>
      <c r="E1784" s="30"/>
      <c r="F1784" s="30"/>
      <c r="G1784" s="30"/>
      <c r="H1784" s="30"/>
      <c r="I1784" s="30"/>
      <c r="J1784" s="30"/>
      <c r="K1784" s="30"/>
    </row>
    <row r="1785" spans="1:11" ht="15">
      <c r="A1785" s="30"/>
      <c r="B1785" s="30"/>
      <c r="C1785" s="30"/>
      <c r="D1785" s="30"/>
      <c r="E1785" s="30"/>
      <c r="F1785" s="30"/>
      <c r="G1785" s="30"/>
      <c r="H1785" s="30"/>
      <c r="I1785" s="30"/>
      <c r="J1785" s="30"/>
      <c r="K1785" s="30"/>
    </row>
    <row r="1786" spans="1:11" ht="15">
      <c r="A1786" s="30"/>
      <c r="B1786" s="30"/>
      <c r="C1786" s="30"/>
      <c r="D1786" s="30"/>
      <c r="E1786" s="30"/>
      <c r="F1786" s="30"/>
      <c r="G1786" s="30"/>
      <c r="H1786" s="30"/>
      <c r="I1786" s="30"/>
      <c r="J1786" s="30"/>
      <c r="K1786" s="30"/>
    </row>
    <row r="1787" spans="1:11" ht="15">
      <c r="A1787" s="30"/>
      <c r="B1787" s="30"/>
      <c r="C1787" s="30"/>
      <c r="D1787" s="30"/>
      <c r="E1787" s="30"/>
      <c r="F1787" s="30"/>
      <c r="G1787" s="30"/>
      <c r="H1787" s="30"/>
      <c r="I1787" s="30"/>
      <c r="J1787" s="30"/>
      <c r="K1787" s="30"/>
    </row>
    <row r="1788" spans="1:11" ht="15">
      <c r="A1788" s="30"/>
      <c r="B1788" s="30"/>
      <c r="C1788" s="30"/>
      <c r="D1788" s="30"/>
      <c r="E1788" s="30"/>
      <c r="F1788" s="30"/>
      <c r="G1788" s="30"/>
      <c r="H1788" s="30"/>
      <c r="I1788" s="30"/>
      <c r="J1788" s="30"/>
      <c r="K1788" s="30"/>
    </row>
    <row r="1789" spans="1:11" ht="15">
      <c r="A1789" s="30"/>
      <c r="B1789" s="30"/>
      <c r="C1789" s="30"/>
      <c r="D1789" s="30"/>
      <c r="E1789" s="30"/>
      <c r="F1789" s="30"/>
      <c r="G1789" s="30"/>
      <c r="H1789" s="30"/>
      <c r="I1789" s="30"/>
      <c r="J1789" s="30"/>
      <c r="K1789" s="30"/>
    </row>
    <row r="1790" spans="1:11" ht="15">
      <c r="A1790" s="30"/>
      <c r="B1790" s="30"/>
      <c r="C1790" s="30"/>
      <c r="D1790" s="30"/>
      <c r="E1790" s="30"/>
      <c r="F1790" s="30"/>
      <c r="G1790" s="30"/>
      <c r="H1790" s="30"/>
      <c r="I1790" s="30"/>
      <c r="J1790" s="30"/>
      <c r="K1790" s="30"/>
    </row>
    <row r="1791" spans="1:11" ht="15">
      <c r="A1791" s="30"/>
      <c r="B1791" s="30"/>
      <c r="C1791" s="30"/>
      <c r="D1791" s="30"/>
      <c r="E1791" s="30"/>
      <c r="F1791" s="30"/>
      <c r="G1791" s="30"/>
      <c r="H1791" s="30"/>
      <c r="I1791" s="30"/>
      <c r="J1791" s="30"/>
      <c r="K1791" s="30"/>
    </row>
    <row r="1792" spans="1:11" ht="15">
      <c r="A1792" s="30"/>
      <c r="B1792" s="30"/>
      <c r="C1792" s="30"/>
      <c r="D1792" s="30"/>
      <c r="E1792" s="30"/>
      <c r="F1792" s="30"/>
      <c r="G1792" s="30"/>
      <c r="H1792" s="30"/>
      <c r="I1792" s="30"/>
      <c r="J1792" s="30"/>
      <c r="K1792" s="30"/>
    </row>
    <row r="1793" spans="1:11" ht="15">
      <c r="A1793" s="30"/>
      <c r="B1793" s="30"/>
      <c r="C1793" s="30"/>
      <c r="D1793" s="30"/>
      <c r="E1793" s="30"/>
      <c r="F1793" s="30"/>
      <c r="G1793" s="30"/>
      <c r="H1793" s="30"/>
      <c r="I1793" s="30"/>
      <c r="J1793" s="30"/>
      <c r="K1793" s="30"/>
    </row>
    <row r="1794" spans="1:11" ht="15">
      <c r="A1794" s="30"/>
      <c r="B1794" s="30"/>
      <c r="C1794" s="30"/>
      <c r="D1794" s="30"/>
      <c r="E1794" s="30"/>
      <c r="F1794" s="30"/>
      <c r="G1794" s="30"/>
      <c r="H1794" s="30"/>
      <c r="I1794" s="30"/>
      <c r="J1794" s="30"/>
      <c r="K1794" s="30"/>
    </row>
    <row r="1795" spans="1:11" ht="15">
      <c r="A1795" s="30"/>
      <c r="B1795" s="30"/>
      <c r="C1795" s="30"/>
      <c r="D1795" s="30"/>
      <c r="E1795" s="30"/>
      <c r="F1795" s="30"/>
      <c r="G1795" s="30"/>
      <c r="H1795" s="30"/>
      <c r="I1795" s="30"/>
      <c r="J1795" s="30"/>
      <c r="K1795" s="30"/>
    </row>
    <row r="1796" spans="1:11" ht="15">
      <c r="A1796" s="30"/>
      <c r="B1796" s="30"/>
      <c r="C1796" s="30"/>
      <c r="D1796" s="30"/>
      <c r="E1796" s="30"/>
      <c r="F1796" s="30"/>
      <c r="G1796" s="30"/>
      <c r="H1796" s="30"/>
      <c r="I1796" s="30"/>
      <c r="J1796" s="30"/>
      <c r="K1796" s="30"/>
    </row>
    <row r="1797" spans="1:11" ht="15">
      <c r="A1797" s="30"/>
      <c r="B1797" s="30"/>
      <c r="C1797" s="30"/>
      <c r="D1797" s="30"/>
      <c r="E1797" s="30"/>
      <c r="F1797" s="30"/>
      <c r="G1797" s="30"/>
      <c r="H1797" s="30"/>
      <c r="I1797" s="30"/>
      <c r="J1797" s="30"/>
      <c r="K1797" s="30"/>
    </row>
    <row r="1798" spans="1:11" ht="15">
      <c r="A1798" s="30"/>
      <c r="B1798" s="30"/>
      <c r="C1798" s="30"/>
      <c r="D1798" s="30"/>
      <c r="E1798" s="30"/>
      <c r="F1798" s="30"/>
      <c r="G1798" s="30"/>
      <c r="H1798" s="30"/>
      <c r="I1798" s="30"/>
      <c r="J1798" s="30"/>
      <c r="K1798" s="30"/>
    </row>
    <row r="1799" spans="1:11" ht="15">
      <c r="A1799" s="30"/>
      <c r="B1799" s="30"/>
      <c r="C1799" s="30"/>
      <c r="D1799" s="30"/>
      <c r="E1799" s="30"/>
      <c r="F1799" s="30"/>
      <c r="G1799" s="30"/>
      <c r="H1799" s="30"/>
      <c r="I1799" s="30"/>
      <c r="J1799" s="30"/>
      <c r="K1799" s="30"/>
    </row>
    <row r="1800" spans="1:11" ht="15">
      <c r="A1800" s="30"/>
      <c r="B1800" s="30"/>
      <c r="C1800" s="30"/>
      <c r="D1800" s="30"/>
      <c r="E1800" s="30"/>
      <c r="F1800" s="30"/>
      <c r="G1800" s="30"/>
      <c r="H1800" s="30"/>
      <c r="I1800" s="30"/>
      <c r="J1800" s="30"/>
      <c r="K1800" s="30"/>
    </row>
    <row r="1801" spans="1:11" ht="15">
      <c r="A1801" s="30"/>
      <c r="B1801" s="30"/>
      <c r="C1801" s="30"/>
      <c r="D1801" s="30"/>
      <c r="E1801" s="30"/>
      <c r="F1801" s="30"/>
      <c r="G1801" s="30"/>
      <c r="H1801" s="30"/>
      <c r="I1801" s="30"/>
      <c r="J1801" s="30"/>
      <c r="K1801" s="30"/>
    </row>
    <row r="1802" spans="1:11" ht="15">
      <c r="A1802" s="30"/>
      <c r="B1802" s="30"/>
      <c r="C1802" s="30"/>
      <c r="D1802" s="30"/>
      <c r="E1802" s="30"/>
      <c r="F1802" s="30"/>
      <c r="G1802" s="30"/>
      <c r="H1802" s="30"/>
      <c r="I1802" s="30"/>
      <c r="J1802" s="30"/>
      <c r="K1802" s="30"/>
    </row>
    <row r="1803" spans="1:11" ht="15">
      <c r="A1803" s="30"/>
      <c r="B1803" s="30"/>
      <c r="C1803" s="30"/>
      <c r="D1803" s="30"/>
      <c r="E1803" s="30"/>
      <c r="F1803" s="30"/>
      <c r="G1803" s="30"/>
      <c r="H1803" s="30"/>
      <c r="I1803" s="30"/>
      <c r="J1803" s="30"/>
      <c r="K1803" s="30"/>
    </row>
    <row r="1804" spans="1:11" ht="15">
      <c r="A1804" s="30"/>
      <c r="B1804" s="30"/>
      <c r="C1804" s="30"/>
      <c r="D1804" s="30"/>
      <c r="E1804" s="30"/>
      <c r="F1804" s="30"/>
      <c r="G1804" s="30"/>
      <c r="H1804" s="30"/>
      <c r="I1804" s="30"/>
      <c r="J1804" s="30"/>
      <c r="K1804" s="30"/>
    </row>
    <row r="1805" spans="1:11" ht="15">
      <c r="A1805" s="30"/>
      <c r="B1805" s="30"/>
      <c r="C1805" s="30"/>
      <c r="D1805" s="30"/>
      <c r="E1805" s="30"/>
      <c r="F1805" s="30"/>
      <c r="G1805" s="30"/>
      <c r="H1805" s="30"/>
      <c r="I1805" s="30"/>
      <c r="J1805" s="30"/>
      <c r="K1805" s="30"/>
    </row>
    <row r="1806" spans="1:11" ht="15">
      <c r="A1806" s="30"/>
      <c r="B1806" s="30"/>
      <c r="C1806" s="30"/>
      <c r="D1806" s="30"/>
      <c r="E1806" s="30"/>
      <c r="F1806" s="30"/>
      <c r="G1806" s="30"/>
      <c r="H1806" s="30"/>
      <c r="I1806" s="30"/>
      <c r="J1806" s="30"/>
      <c r="K1806" s="30"/>
    </row>
    <row r="1807" spans="1:11" ht="15">
      <c r="A1807" s="30"/>
      <c r="B1807" s="30"/>
      <c r="C1807" s="30"/>
      <c r="D1807" s="30"/>
      <c r="E1807" s="30"/>
      <c r="F1807" s="30"/>
      <c r="G1807" s="30"/>
      <c r="H1807" s="30"/>
      <c r="I1807" s="30"/>
      <c r="J1807" s="30"/>
      <c r="K1807" s="30"/>
    </row>
    <row r="1808" spans="1:11" ht="15">
      <c r="A1808" s="30"/>
      <c r="B1808" s="30"/>
      <c r="C1808" s="30"/>
      <c r="D1808" s="30"/>
      <c r="E1808" s="30"/>
      <c r="F1808" s="30"/>
      <c r="G1808" s="30"/>
      <c r="H1808" s="30"/>
      <c r="I1808" s="30"/>
      <c r="J1808" s="30"/>
      <c r="K1808" s="30"/>
    </row>
    <row r="1809" spans="1:11" ht="15">
      <c r="A1809" s="30"/>
      <c r="B1809" s="30"/>
      <c r="C1809" s="30"/>
      <c r="D1809" s="30"/>
      <c r="E1809" s="30"/>
      <c r="F1809" s="30"/>
      <c r="G1809" s="30"/>
      <c r="H1809" s="30"/>
      <c r="I1809" s="30"/>
      <c r="J1809" s="30"/>
      <c r="K1809" s="30"/>
    </row>
    <row r="1810" spans="1:11" ht="15">
      <c r="A1810" s="30"/>
      <c r="B1810" s="30"/>
      <c r="C1810" s="30"/>
      <c r="D1810" s="30"/>
      <c r="E1810" s="30"/>
      <c r="F1810" s="30"/>
      <c r="G1810" s="30"/>
      <c r="H1810" s="30"/>
      <c r="I1810" s="30"/>
      <c r="J1810" s="30"/>
      <c r="K1810" s="30"/>
    </row>
    <row r="1811" spans="1:11" ht="15">
      <c r="A1811" s="30"/>
      <c r="B1811" s="30"/>
      <c r="C1811" s="30"/>
      <c r="D1811" s="30"/>
      <c r="E1811" s="30"/>
      <c r="F1811" s="30"/>
      <c r="G1811" s="30"/>
      <c r="H1811" s="30"/>
      <c r="I1811" s="30"/>
      <c r="J1811" s="30"/>
      <c r="K1811" s="30"/>
    </row>
    <row r="1812" spans="1:11" ht="15">
      <c r="A1812" s="30"/>
      <c r="B1812" s="30"/>
      <c r="C1812" s="30"/>
      <c r="D1812" s="30"/>
      <c r="E1812" s="30"/>
      <c r="F1812" s="30"/>
      <c r="G1812" s="30"/>
      <c r="H1812" s="30"/>
      <c r="I1812" s="30"/>
      <c r="J1812" s="30"/>
      <c r="K1812" s="30"/>
    </row>
    <row r="1813" spans="1:11" ht="15">
      <c r="A1813" s="30"/>
      <c r="B1813" s="30"/>
      <c r="C1813" s="30"/>
      <c r="D1813" s="30"/>
      <c r="E1813" s="30"/>
      <c r="F1813" s="30"/>
      <c r="G1813" s="30"/>
      <c r="H1813" s="30"/>
      <c r="I1813" s="30"/>
      <c r="J1813" s="30"/>
      <c r="K1813" s="30"/>
    </row>
    <row r="1814" spans="1:11" ht="15">
      <c r="A1814" s="30"/>
      <c r="B1814" s="30"/>
      <c r="C1814" s="30"/>
      <c r="D1814" s="30"/>
      <c r="E1814" s="30"/>
      <c r="F1814" s="30"/>
      <c r="G1814" s="30"/>
      <c r="H1814" s="30"/>
      <c r="I1814" s="30"/>
      <c r="J1814" s="30"/>
      <c r="K1814" s="30"/>
    </row>
    <row r="1815" spans="1:11" ht="15">
      <c r="A1815" s="30"/>
      <c r="B1815" s="30"/>
      <c r="C1815" s="30"/>
      <c r="D1815" s="30"/>
      <c r="E1815" s="30"/>
      <c r="F1815" s="30"/>
      <c r="G1815" s="30"/>
      <c r="H1815" s="30"/>
      <c r="I1815" s="30"/>
      <c r="J1815" s="30"/>
      <c r="K1815" s="30"/>
    </row>
    <row r="1816" spans="1:11" ht="15">
      <c r="A1816" s="30"/>
      <c r="B1816" s="30"/>
      <c r="C1816" s="30"/>
      <c r="D1816" s="30"/>
      <c r="E1816" s="30"/>
      <c r="F1816" s="30"/>
      <c r="G1816" s="30"/>
      <c r="H1816" s="30"/>
      <c r="I1816" s="30"/>
      <c r="J1816" s="30"/>
      <c r="K1816" s="30"/>
    </row>
    <row r="1817" spans="1:11" ht="15">
      <c r="A1817" s="30"/>
      <c r="B1817" s="30"/>
      <c r="C1817" s="30"/>
      <c r="D1817" s="30"/>
      <c r="E1817" s="30"/>
      <c r="F1817" s="30"/>
      <c r="G1817" s="30"/>
      <c r="H1817" s="30"/>
      <c r="I1817" s="30"/>
      <c r="J1817" s="30"/>
      <c r="K1817" s="30"/>
    </row>
    <row r="1818" spans="1:11" ht="15">
      <c r="A1818" s="30"/>
      <c r="B1818" s="30"/>
      <c r="C1818" s="30"/>
      <c r="D1818" s="30"/>
      <c r="E1818" s="30"/>
      <c r="F1818" s="30"/>
      <c r="G1818" s="30"/>
      <c r="H1818" s="30"/>
      <c r="I1818" s="30"/>
      <c r="J1818" s="30"/>
      <c r="K1818" s="30"/>
    </row>
    <row r="1819" spans="1:11" ht="15">
      <c r="A1819" s="30"/>
      <c r="B1819" s="30"/>
      <c r="C1819" s="30"/>
      <c r="D1819" s="30"/>
      <c r="E1819" s="30"/>
      <c r="F1819" s="30"/>
      <c r="G1819" s="30"/>
      <c r="H1819" s="30"/>
      <c r="I1819" s="30"/>
      <c r="J1819" s="30"/>
      <c r="K1819" s="30"/>
    </row>
    <row r="1820" spans="1:11" ht="15">
      <c r="A1820" s="30"/>
      <c r="B1820" s="30"/>
      <c r="C1820" s="30"/>
      <c r="D1820" s="30"/>
      <c r="E1820" s="30"/>
      <c r="F1820" s="30"/>
      <c r="G1820" s="30"/>
      <c r="H1820" s="30"/>
      <c r="I1820" s="30"/>
      <c r="J1820" s="30"/>
      <c r="K1820" s="30"/>
    </row>
    <row r="1821" spans="1:11" ht="15">
      <c r="A1821" s="30"/>
      <c r="B1821" s="30"/>
      <c r="C1821" s="30"/>
      <c r="D1821" s="30"/>
      <c r="E1821" s="30"/>
      <c r="F1821" s="30"/>
      <c r="G1821" s="30"/>
      <c r="H1821" s="30"/>
      <c r="I1821" s="30"/>
      <c r="J1821" s="30"/>
      <c r="K1821" s="30"/>
    </row>
    <row r="1822" spans="1:11" ht="15">
      <c r="A1822" s="30"/>
      <c r="B1822" s="30"/>
      <c r="C1822" s="30"/>
      <c r="D1822" s="30"/>
      <c r="E1822" s="30"/>
      <c r="F1822" s="30"/>
      <c r="G1822" s="30"/>
      <c r="H1822" s="30"/>
      <c r="I1822" s="30"/>
      <c r="J1822" s="30"/>
      <c r="K1822" s="30"/>
    </row>
    <row r="1823" spans="1:11" ht="15">
      <c r="A1823" s="30"/>
      <c r="B1823" s="30"/>
      <c r="C1823" s="30"/>
      <c r="D1823" s="30"/>
      <c r="E1823" s="30"/>
      <c r="F1823" s="30"/>
      <c r="G1823" s="30"/>
      <c r="H1823" s="30"/>
      <c r="I1823" s="30"/>
      <c r="J1823" s="30"/>
      <c r="K1823" s="30"/>
    </row>
    <row r="1824" spans="1:11" ht="15">
      <c r="A1824" s="30"/>
      <c r="B1824" s="30"/>
      <c r="C1824" s="30"/>
      <c r="D1824" s="30"/>
      <c r="E1824" s="30"/>
      <c r="F1824" s="30"/>
      <c r="G1824" s="30"/>
      <c r="H1824" s="30"/>
      <c r="I1824" s="30"/>
      <c r="J1824" s="30"/>
      <c r="K1824" s="30"/>
    </row>
    <row r="1825" spans="1:11" ht="15">
      <c r="A1825" s="30"/>
      <c r="B1825" s="30"/>
      <c r="C1825" s="30"/>
      <c r="D1825" s="30"/>
      <c r="E1825" s="30"/>
      <c r="F1825" s="30"/>
      <c r="G1825" s="30"/>
      <c r="H1825" s="30"/>
      <c r="I1825" s="30"/>
      <c r="J1825" s="30"/>
      <c r="K1825" s="30"/>
    </row>
    <row r="1826" spans="1:11" ht="15">
      <c r="A1826" s="30"/>
      <c r="B1826" s="30"/>
      <c r="C1826" s="30"/>
      <c r="D1826" s="30"/>
      <c r="E1826" s="30"/>
      <c r="F1826" s="30"/>
      <c r="G1826" s="30"/>
      <c r="H1826" s="30"/>
      <c r="I1826" s="30"/>
      <c r="J1826" s="30"/>
      <c r="K1826" s="30"/>
    </row>
    <row r="1827" spans="1:11" ht="15">
      <c r="A1827" s="30"/>
      <c r="B1827" s="30"/>
      <c r="C1827" s="30"/>
      <c r="D1827" s="30"/>
      <c r="E1827" s="30"/>
      <c r="F1827" s="30"/>
      <c r="G1827" s="30"/>
      <c r="H1827" s="30"/>
      <c r="I1827" s="30"/>
      <c r="J1827" s="30"/>
      <c r="K1827" s="30"/>
    </row>
    <row r="1828" spans="1:11" ht="15">
      <c r="A1828" s="30"/>
      <c r="B1828" s="30"/>
      <c r="C1828" s="30"/>
      <c r="D1828" s="30"/>
      <c r="E1828" s="30"/>
      <c r="F1828" s="30"/>
      <c r="G1828" s="30"/>
      <c r="H1828" s="30"/>
      <c r="I1828" s="30"/>
      <c r="J1828" s="30"/>
      <c r="K1828" s="30"/>
    </row>
    <row r="1829" spans="1:11" ht="15">
      <c r="A1829" s="30"/>
      <c r="B1829" s="30"/>
      <c r="C1829" s="30"/>
      <c r="D1829" s="30"/>
      <c r="E1829" s="30"/>
      <c r="F1829" s="30"/>
      <c r="G1829" s="30"/>
      <c r="H1829" s="30"/>
      <c r="I1829" s="30"/>
      <c r="J1829" s="30"/>
      <c r="K1829" s="30"/>
    </row>
    <row r="1830" spans="1:11" ht="15">
      <c r="A1830" s="30"/>
      <c r="B1830" s="30"/>
      <c r="C1830" s="30"/>
      <c r="D1830" s="30"/>
      <c r="E1830" s="30"/>
      <c r="F1830" s="30"/>
      <c r="G1830" s="30"/>
      <c r="H1830" s="30"/>
      <c r="I1830" s="30"/>
      <c r="J1830" s="30"/>
      <c r="K1830" s="30"/>
    </row>
    <row r="1831" spans="1:11" ht="15">
      <c r="A1831" s="30"/>
      <c r="B1831" s="30"/>
      <c r="C1831" s="30"/>
      <c r="D1831" s="30"/>
      <c r="E1831" s="30"/>
      <c r="F1831" s="30"/>
      <c r="G1831" s="30"/>
      <c r="H1831" s="30"/>
      <c r="I1831" s="30"/>
      <c r="J1831" s="30"/>
      <c r="K1831" s="30"/>
    </row>
    <row r="1832" spans="1:11" ht="15">
      <c r="A1832" s="30"/>
      <c r="B1832" s="30"/>
      <c r="C1832" s="30"/>
      <c r="D1832" s="30"/>
      <c r="E1832" s="30"/>
      <c r="F1832" s="30"/>
      <c r="G1832" s="30"/>
      <c r="H1832" s="30"/>
      <c r="I1832" s="30"/>
      <c r="J1832" s="30"/>
      <c r="K1832" s="30"/>
    </row>
    <row r="1833" spans="1:11" ht="15">
      <c r="A1833" s="30"/>
      <c r="B1833" s="30"/>
      <c r="C1833" s="30"/>
      <c r="D1833" s="30"/>
      <c r="E1833" s="30"/>
      <c r="F1833" s="30"/>
      <c r="G1833" s="30"/>
      <c r="H1833" s="30"/>
      <c r="I1833" s="30"/>
      <c r="J1833" s="30"/>
      <c r="K1833" s="30"/>
    </row>
    <row r="1834" spans="1:11" ht="15">
      <c r="A1834" s="30"/>
      <c r="B1834" s="30"/>
      <c r="C1834" s="30"/>
      <c r="D1834" s="30"/>
      <c r="E1834" s="30"/>
      <c r="F1834" s="30"/>
      <c r="G1834" s="30"/>
      <c r="H1834" s="30"/>
      <c r="I1834" s="30"/>
      <c r="J1834" s="30"/>
      <c r="K1834" s="30"/>
    </row>
    <row r="1835" spans="1:11" ht="15">
      <c r="A1835" s="30"/>
      <c r="B1835" s="30"/>
      <c r="C1835" s="30"/>
      <c r="D1835" s="30"/>
      <c r="E1835" s="30"/>
      <c r="F1835" s="30"/>
      <c r="G1835" s="30"/>
      <c r="H1835" s="30"/>
      <c r="I1835" s="30"/>
      <c r="J1835" s="30"/>
      <c r="K1835" s="30"/>
    </row>
    <row r="1836" spans="1:11" ht="15">
      <c r="A1836" s="30"/>
      <c r="B1836" s="30"/>
      <c r="C1836" s="30"/>
      <c r="D1836" s="30"/>
      <c r="E1836" s="30"/>
      <c r="F1836" s="30"/>
      <c r="G1836" s="30"/>
      <c r="H1836" s="30"/>
      <c r="I1836" s="30"/>
      <c r="J1836" s="30"/>
      <c r="K1836" s="30"/>
    </row>
    <row r="1837" spans="1:11" ht="15">
      <c r="A1837" s="30"/>
      <c r="B1837" s="30"/>
      <c r="C1837" s="30"/>
      <c r="D1837" s="30"/>
      <c r="E1837" s="30"/>
      <c r="F1837" s="30"/>
      <c r="G1837" s="30"/>
      <c r="H1837" s="30"/>
      <c r="I1837" s="30"/>
      <c r="J1837" s="30"/>
      <c r="K1837" s="30"/>
    </row>
    <row r="1838" spans="1:11" ht="15">
      <c r="A1838" s="30"/>
      <c r="B1838" s="30"/>
      <c r="C1838" s="30"/>
      <c r="D1838" s="30"/>
      <c r="E1838" s="30"/>
      <c r="F1838" s="30"/>
      <c r="G1838" s="30"/>
      <c r="H1838" s="30"/>
      <c r="I1838" s="30"/>
      <c r="J1838" s="30"/>
      <c r="K1838" s="30"/>
    </row>
    <row r="1839" spans="1:11" ht="15">
      <c r="A1839" s="30"/>
      <c r="B1839" s="30"/>
      <c r="C1839" s="30"/>
      <c r="D1839" s="30"/>
      <c r="E1839" s="30"/>
      <c r="F1839" s="30"/>
      <c r="G1839" s="30"/>
      <c r="H1839" s="30"/>
      <c r="I1839" s="30"/>
      <c r="J1839" s="30"/>
      <c r="K1839" s="30"/>
    </row>
    <row r="1840" spans="1:11" ht="15">
      <c r="A1840" s="30"/>
      <c r="B1840" s="30"/>
      <c r="C1840" s="30"/>
      <c r="D1840" s="30"/>
      <c r="E1840" s="30"/>
      <c r="F1840" s="30"/>
      <c r="G1840" s="30"/>
      <c r="H1840" s="30"/>
      <c r="I1840" s="30"/>
      <c r="J1840" s="30"/>
      <c r="K1840" s="30"/>
    </row>
    <row r="1841" spans="1:11" ht="15">
      <c r="A1841" s="30"/>
      <c r="B1841" s="30"/>
      <c r="C1841" s="30"/>
      <c r="D1841" s="30"/>
      <c r="E1841" s="30"/>
      <c r="F1841" s="30"/>
      <c r="G1841" s="30"/>
      <c r="H1841" s="30"/>
      <c r="I1841" s="30"/>
      <c r="J1841" s="30"/>
      <c r="K1841" s="30"/>
    </row>
    <row r="1842" spans="1:11" ht="15">
      <c r="A1842" s="30"/>
      <c r="B1842" s="30"/>
      <c r="C1842" s="30"/>
      <c r="D1842" s="30"/>
      <c r="E1842" s="30"/>
      <c r="F1842" s="30"/>
      <c r="G1842" s="30"/>
      <c r="H1842" s="30"/>
      <c r="I1842" s="30"/>
      <c r="J1842" s="30"/>
      <c r="K1842" s="30"/>
    </row>
    <row r="1843" spans="1:11" ht="15">
      <c r="A1843" s="30"/>
      <c r="B1843" s="30"/>
      <c r="C1843" s="30"/>
      <c r="D1843" s="30"/>
      <c r="E1843" s="30"/>
      <c r="F1843" s="30"/>
      <c r="G1843" s="30"/>
      <c r="H1843" s="30"/>
      <c r="I1843" s="30"/>
      <c r="J1843" s="30"/>
      <c r="K1843" s="30"/>
    </row>
    <row r="1844" spans="1:11" ht="15">
      <c r="A1844" s="30"/>
      <c r="B1844" s="30"/>
      <c r="C1844" s="30"/>
      <c r="D1844" s="30"/>
      <c r="E1844" s="30"/>
      <c r="F1844" s="30"/>
      <c r="G1844" s="30"/>
      <c r="H1844" s="30"/>
      <c r="I1844" s="30"/>
      <c r="J1844" s="30"/>
      <c r="K1844" s="30"/>
    </row>
    <row r="1845" spans="1:11" ht="15">
      <c r="A1845" s="30"/>
      <c r="B1845" s="30"/>
      <c r="C1845" s="30"/>
      <c r="D1845" s="30"/>
      <c r="E1845" s="30"/>
      <c r="F1845" s="30"/>
      <c r="G1845" s="30"/>
      <c r="H1845" s="30"/>
      <c r="I1845" s="30"/>
      <c r="J1845" s="30"/>
      <c r="K1845" s="30"/>
    </row>
    <row r="1846" spans="1:11" ht="15">
      <c r="A1846" s="30"/>
      <c r="B1846" s="30"/>
      <c r="C1846" s="30"/>
      <c r="D1846" s="30"/>
      <c r="E1846" s="30"/>
      <c r="F1846" s="30"/>
      <c r="G1846" s="30"/>
      <c r="H1846" s="30"/>
      <c r="I1846" s="30"/>
      <c r="J1846" s="30"/>
      <c r="K1846" s="30"/>
    </row>
    <row r="1847" spans="1:11" ht="15">
      <c r="A1847" s="30"/>
      <c r="B1847" s="30"/>
      <c r="C1847" s="30"/>
      <c r="D1847" s="30"/>
      <c r="E1847" s="30"/>
      <c r="F1847" s="30"/>
      <c r="G1847" s="30"/>
      <c r="H1847" s="30"/>
      <c r="I1847" s="30"/>
      <c r="J1847" s="30"/>
      <c r="K1847" s="30"/>
    </row>
    <row r="1848" spans="1:11" ht="15">
      <c r="A1848" s="30"/>
      <c r="B1848" s="30"/>
      <c r="C1848" s="30"/>
      <c r="D1848" s="30"/>
      <c r="E1848" s="30"/>
      <c r="F1848" s="30"/>
      <c r="G1848" s="30"/>
      <c r="H1848" s="30"/>
      <c r="I1848" s="30"/>
      <c r="J1848" s="30"/>
      <c r="K1848" s="30"/>
    </row>
    <row r="1849" spans="1:11" ht="15">
      <c r="A1849" s="30"/>
      <c r="B1849" s="30"/>
      <c r="C1849" s="30"/>
      <c r="D1849" s="30"/>
      <c r="E1849" s="30"/>
      <c r="F1849" s="30"/>
      <c r="G1849" s="30"/>
      <c r="H1849" s="30"/>
      <c r="I1849" s="30"/>
      <c r="J1849" s="30"/>
      <c r="K1849" s="30"/>
    </row>
    <row r="1850" spans="1:11" ht="15">
      <c r="A1850" s="30"/>
      <c r="B1850" s="30"/>
      <c r="C1850" s="30"/>
      <c r="D1850" s="30"/>
      <c r="E1850" s="30"/>
      <c r="F1850" s="30"/>
      <c r="G1850" s="30"/>
      <c r="H1850" s="30"/>
      <c r="I1850" s="30"/>
      <c r="J1850" s="30"/>
      <c r="K1850" s="30"/>
    </row>
    <row r="1851" spans="1:11" ht="15">
      <c r="A1851" s="30"/>
      <c r="B1851" s="30"/>
      <c r="C1851" s="30"/>
      <c r="D1851" s="30"/>
      <c r="E1851" s="30"/>
      <c r="F1851" s="30"/>
      <c r="G1851" s="30"/>
      <c r="H1851" s="30"/>
      <c r="I1851" s="30"/>
      <c r="J1851" s="30"/>
      <c r="K1851" s="30"/>
    </row>
    <row r="1852" spans="1:11" ht="15">
      <c r="A1852" s="30"/>
      <c r="B1852" s="30"/>
      <c r="C1852" s="30"/>
      <c r="D1852" s="30"/>
      <c r="E1852" s="30"/>
      <c r="F1852" s="30"/>
      <c r="G1852" s="30"/>
      <c r="H1852" s="30"/>
      <c r="I1852" s="30"/>
      <c r="J1852" s="30"/>
      <c r="K1852" s="30"/>
    </row>
    <row r="1853" spans="1:11" ht="15">
      <c r="A1853" s="30"/>
      <c r="B1853" s="30"/>
      <c r="C1853" s="30"/>
      <c r="D1853" s="30"/>
      <c r="E1853" s="30"/>
      <c r="F1853" s="30"/>
      <c r="G1853" s="30"/>
      <c r="H1853" s="30"/>
      <c r="I1853" s="30"/>
      <c r="J1853" s="30"/>
      <c r="K1853" s="30"/>
    </row>
    <row r="1854" spans="1:11" ht="15">
      <c r="A1854" s="30"/>
      <c r="B1854" s="30"/>
      <c r="C1854" s="30"/>
      <c r="D1854" s="30"/>
      <c r="E1854" s="30"/>
      <c r="F1854" s="30"/>
      <c r="G1854" s="30"/>
      <c r="H1854" s="30"/>
      <c r="I1854" s="30"/>
      <c r="J1854" s="30"/>
      <c r="K1854" s="30"/>
    </row>
    <row r="1855" spans="1:11" ht="15">
      <c r="A1855" s="30"/>
      <c r="B1855" s="30"/>
      <c r="C1855" s="30"/>
      <c r="D1855" s="30"/>
      <c r="E1855" s="30"/>
      <c r="F1855" s="30"/>
      <c r="G1855" s="30"/>
      <c r="H1855" s="30"/>
      <c r="I1855" s="30"/>
      <c r="J1855" s="30"/>
      <c r="K1855" s="30"/>
    </row>
    <row r="1856" spans="1:11" ht="15">
      <c r="A1856" s="30"/>
      <c r="B1856" s="30"/>
      <c r="C1856" s="30"/>
      <c r="D1856" s="30"/>
      <c r="E1856" s="30"/>
      <c r="F1856" s="30"/>
      <c r="G1856" s="30"/>
      <c r="H1856" s="30"/>
      <c r="I1856" s="30"/>
      <c r="J1856" s="30"/>
      <c r="K1856" s="30"/>
    </row>
    <row r="1857" spans="1:11" ht="15">
      <c r="A1857" s="30"/>
      <c r="B1857" s="30"/>
      <c r="C1857" s="30"/>
      <c r="D1857" s="30"/>
      <c r="E1857" s="30"/>
      <c r="F1857" s="30"/>
      <c r="G1857" s="30"/>
      <c r="H1857" s="30"/>
      <c r="I1857" s="30"/>
      <c r="J1857" s="30"/>
      <c r="K1857" s="30"/>
    </row>
    <row r="1858" spans="1:11" ht="15">
      <c r="A1858" s="30"/>
      <c r="B1858" s="30"/>
      <c r="C1858" s="30"/>
      <c r="D1858" s="30"/>
      <c r="E1858" s="30"/>
      <c r="F1858" s="30"/>
      <c r="G1858" s="30"/>
      <c r="H1858" s="30"/>
      <c r="I1858" s="30"/>
      <c r="J1858" s="30"/>
      <c r="K1858" s="30"/>
    </row>
    <row r="1859" spans="1:11" ht="15">
      <c r="A1859" s="30"/>
      <c r="B1859" s="30"/>
      <c r="C1859" s="30"/>
      <c r="D1859" s="30"/>
      <c r="E1859" s="30"/>
      <c r="F1859" s="30"/>
      <c r="G1859" s="30"/>
      <c r="H1859" s="30"/>
      <c r="I1859" s="30"/>
      <c r="J1859" s="30"/>
      <c r="K1859" s="30"/>
    </row>
    <row r="1860" spans="1:11" ht="15">
      <c r="A1860" s="30"/>
      <c r="B1860" s="30"/>
      <c r="C1860" s="30"/>
      <c r="D1860" s="30"/>
      <c r="E1860" s="30"/>
      <c r="F1860" s="30"/>
      <c r="G1860" s="30"/>
      <c r="H1860" s="30"/>
      <c r="I1860" s="30"/>
      <c r="J1860" s="30"/>
      <c r="K1860" s="30"/>
    </row>
    <row r="1861" spans="1:11" ht="15">
      <c r="A1861" s="30"/>
      <c r="B1861" s="30"/>
      <c r="C1861" s="30"/>
      <c r="D1861" s="30"/>
      <c r="E1861" s="30"/>
      <c r="F1861" s="30"/>
      <c r="G1861" s="30"/>
      <c r="H1861" s="30"/>
      <c r="I1861" s="30"/>
      <c r="J1861" s="30"/>
      <c r="K1861" s="30"/>
    </row>
    <row r="1862" spans="1:11" ht="15">
      <c r="A1862" s="30"/>
      <c r="B1862" s="30"/>
      <c r="C1862" s="30"/>
      <c r="D1862" s="30"/>
      <c r="E1862" s="30"/>
      <c r="F1862" s="30"/>
      <c r="G1862" s="30"/>
      <c r="H1862" s="30"/>
      <c r="I1862" s="30"/>
      <c r="J1862" s="30"/>
      <c r="K1862" s="30"/>
    </row>
    <row r="1863" spans="1:11" ht="15">
      <c r="A1863" s="30"/>
      <c r="B1863" s="30"/>
      <c r="C1863" s="30"/>
      <c r="D1863" s="30"/>
      <c r="E1863" s="30"/>
      <c r="F1863" s="30"/>
      <c r="G1863" s="30"/>
      <c r="H1863" s="30"/>
      <c r="I1863" s="30"/>
      <c r="J1863" s="30"/>
      <c r="K1863" s="30"/>
    </row>
    <row r="1864" spans="1:11" ht="15">
      <c r="A1864" s="30"/>
      <c r="B1864" s="30"/>
      <c r="C1864" s="30"/>
      <c r="D1864" s="30"/>
      <c r="E1864" s="30"/>
      <c r="F1864" s="30"/>
      <c r="G1864" s="30"/>
      <c r="H1864" s="30"/>
      <c r="I1864" s="30"/>
      <c r="J1864" s="30"/>
      <c r="K1864" s="30"/>
    </row>
    <row r="1865" spans="1:11" ht="15">
      <c r="A1865" s="30"/>
      <c r="B1865" s="30"/>
      <c r="C1865" s="30"/>
      <c r="D1865" s="30"/>
      <c r="E1865" s="30"/>
      <c r="F1865" s="30"/>
      <c r="G1865" s="30"/>
      <c r="H1865" s="30"/>
      <c r="I1865" s="30"/>
      <c r="J1865" s="30"/>
      <c r="K1865" s="30"/>
    </row>
    <row r="1866" spans="1:11" ht="15">
      <c r="A1866" s="30"/>
      <c r="B1866" s="30"/>
      <c r="C1866" s="30"/>
      <c r="D1866" s="30"/>
      <c r="E1866" s="30"/>
      <c r="F1866" s="30"/>
      <c r="G1866" s="30"/>
      <c r="H1866" s="30"/>
      <c r="I1866" s="30"/>
      <c r="J1866" s="30"/>
      <c r="K1866" s="30"/>
    </row>
    <row r="1867" spans="1:11" ht="15">
      <c r="A1867" s="30"/>
      <c r="B1867" s="30"/>
      <c r="C1867" s="30"/>
      <c r="D1867" s="30"/>
      <c r="E1867" s="30"/>
      <c r="F1867" s="30"/>
      <c r="G1867" s="30"/>
      <c r="H1867" s="30"/>
      <c r="I1867" s="30"/>
      <c r="J1867" s="30"/>
      <c r="K1867" s="30"/>
    </row>
    <row r="1868" spans="1:11" ht="15">
      <c r="A1868" s="30"/>
      <c r="B1868" s="30"/>
      <c r="C1868" s="30"/>
      <c r="D1868" s="30"/>
      <c r="E1868" s="30"/>
      <c r="F1868" s="30"/>
      <c r="G1868" s="30"/>
      <c r="H1868" s="30"/>
      <c r="I1868" s="30"/>
      <c r="J1868" s="30"/>
      <c r="K1868" s="30"/>
    </row>
    <row r="1869" spans="1:11" ht="15">
      <c r="A1869" s="30"/>
      <c r="B1869" s="30"/>
      <c r="C1869" s="30"/>
      <c r="D1869" s="30"/>
      <c r="E1869" s="30"/>
      <c r="F1869" s="30"/>
      <c r="G1869" s="30"/>
      <c r="H1869" s="30"/>
      <c r="I1869" s="30"/>
      <c r="J1869" s="30"/>
      <c r="K1869" s="30"/>
    </row>
    <row r="1870" spans="1:11" ht="15">
      <c r="A1870" s="30"/>
      <c r="B1870" s="30"/>
      <c r="C1870" s="30"/>
      <c r="D1870" s="30"/>
      <c r="E1870" s="30"/>
      <c r="F1870" s="30"/>
      <c r="G1870" s="30"/>
      <c r="H1870" s="30"/>
      <c r="I1870" s="30"/>
      <c r="J1870" s="30"/>
      <c r="K1870" s="30"/>
    </row>
    <row r="1871" spans="1:11" ht="15">
      <c r="A1871" s="30"/>
      <c r="B1871" s="30"/>
      <c r="C1871" s="30"/>
      <c r="D1871" s="30"/>
      <c r="E1871" s="30"/>
      <c r="F1871" s="30"/>
      <c r="G1871" s="30"/>
      <c r="H1871" s="30"/>
      <c r="I1871" s="30"/>
      <c r="J1871" s="30"/>
      <c r="K1871" s="30"/>
    </row>
    <row r="1872" spans="1:11" ht="15">
      <c r="A1872" s="30"/>
      <c r="B1872" s="30"/>
      <c r="C1872" s="30"/>
      <c r="D1872" s="30"/>
      <c r="E1872" s="30"/>
      <c r="F1872" s="30"/>
      <c r="G1872" s="30"/>
      <c r="H1872" s="30"/>
      <c r="I1872" s="30"/>
      <c r="J1872" s="30"/>
      <c r="K1872" s="30"/>
    </row>
    <row r="1873" spans="1:11" ht="15">
      <c r="A1873" s="30"/>
      <c r="B1873" s="30"/>
      <c r="C1873" s="30"/>
      <c r="D1873" s="30"/>
      <c r="E1873" s="30"/>
      <c r="F1873" s="30"/>
      <c r="G1873" s="30"/>
      <c r="H1873" s="30"/>
      <c r="I1873" s="30"/>
      <c r="J1873" s="30"/>
      <c r="K1873" s="30"/>
    </row>
    <row r="1874" spans="1:11" ht="15">
      <c r="A1874" s="30"/>
      <c r="B1874" s="30"/>
      <c r="C1874" s="30"/>
      <c r="D1874" s="30"/>
      <c r="E1874" s="30"/>
      <c r="F1874" s="30"/>
      <c r="G1874" s="30"/>
      <c r="H1874" s="30"/>
      <c r="I1874" s="30"/>
      <c r="J1874" s="30"/>
      <c r="K1874" s="30"/>
    </row>
    <row r="1875" spans="1:11" ht="15">
      <c r="A1875" s="30"/>
      <c r="B1875" s="30"/>
      <c r="C1875" s="30"/>
      <c r="D1875" s="30"/>
      <c r="E1875" s="30"/>
      <c r="F1875" s="30"/>
      <c r="G1875" s="30"/>
      <c r="H1875" s="30"/>
      <c r="I1875" s="30"/>
      <c r="J1875" s="30"/>
      <c r="K1875" s="30"/>
    </row>
    <row r="1876" spans="1:11" ht="15">
      <c r="A1876" s="30"/>
      <c r="B1876" s="30"/>
      <c r="C1876" s="30"/>
      <c r="D1876" s="30"/>
      <c r="E1876" s="30"/>
      <c r="F1876" s="30"/>
      <c r="G1876" s="30"/>
      <c r="H1876" s="30"/>
      <c r="I1876" s="30"/>
      <c r="J1876" s="30"/>
      <c r="K1876" s="30"/>
    </row>
    <row r="1877" spans="1:11" ht="15">
      <c r="A1877" s="30"/>
      <c r="B1877" s="30"/>
      <c r="C1877" s="30"/>
      <c r="D1877" s="30"/>
      <c r="E1877" s="30"/>
      <c r="F1877" s="30"/>
      <c r="G1877" s="30"/>
      <c r="H1877" s="30"/>
      <c r="I1877" s="30"/>
      <c r="J1877" s="30"/>
      <c r="K1877" s="30"/>
    </row>
    <row r="1878" spans="1:11" ht="15">
      <c r="A1878" s="30"/>
      <c r="B1878" s="30"/>
      <c r="C1878" s="30"/>
      <c r="D1878" s="30"/>
      <c r="E1878" s="30"/>
      <c r="F1878" s="30"/>
      <c r="G1878" s="30"/>
      <c r="H1878" s="30"/>
      <c r="I1878" s="30"/>
      <c r="J1878" s="30"/>
      <c r="K1878" s="30"/>
    </row>
    <row r="1879" spans="1:11" ht="15">
      <c r="A1879" s="30"/>
      <c r="B1879" s="30"/>
      <c r="C1879" s="30"/>
      <c r="D1879" s="30"/>
      <c r="E1879" s="30"/>
      <c r="F1879" s="30"/>
      <c r="G1879" s="30"/>
      <c r="H1879" s="30"/>
      <c r="I1879" s="30"/>
      <c r="J1879" s="30"/>
      <c r="K1879" s="30"/>
    </row>
    <row r="1880" spans="1:11" ht="15">
      <c r="A1880" s="30"/>
      <c r="B1880" s="30"/>
      <c r="C1880" s="30"/>
      <c r="D1880" s="30"/>
      <c r="E1880" s="30"/>
      <c r="F1880" s="30"/>
      <c r="G1880" s="30"/>
      <c r="H1880" s="30"/>
      <c r="I1880" s="30"/>
      <c r="J1880" s="30"/>
      <c r="K1880" s="30"/>
    </row>
    <row r="1881" spans="1:11" ht="15">
      <c r="A1881" s="30"/>
      <c r="B1881" s="30"/>
      <c r="C1881" s="30"/>
      <c r="D1881" s="30"/>
      <c r="E1881" s="30"/>
      <c r="F1881" s="30"/>
      <c r="G1881" s="30"/>
      <c r="H1881" s="30"/>
      <c r="I1881" s="30"/>
      <c r="J1881" s="30"/>
      <c r="K1881" s="30"/>
    </row>
    <row r="1882" spans="1:11" ht="15">
      <c r="A1882" s="30"/>
      <c r="B1882" s="30"/>
      <c r="C1882" s="30"/>
      <c r="D1882" s="30"/>
      <c r="E1882" s="30"/>
      <c r="F1882" s="30"/>
      <c r="G1882" s="30"/>
      <c r="H1882" s="30"/>
      <c r="I1882" s="30"/>
      <c r="J1882" s="30"/>
      <c r="K1882" s="30"/>
    </row>
    <row r="1883" spans="1:11" ht="15">
      <c r="A1883" s="30"/>
      <c r="B1883" s="30"/>
      <c r="C1883" s="30"/>
      <c r="D1883" s="30"/>
      <c r="E1883" s="30"/>
      <c r="F1883" s="30"/>
      <c r="G1883" s="30"/>
      <c r="H1883" s="30"/>
      <c r="I1883" s="30"/>
      <c r="J1883" s="30"/>
      <c r="K1883" s="30"/>
    </row>
    <row r="1884" spans="1:11" ht="15">
      <c r="A1884" s="30"/>
      <c r="B1884" s="30"/>
      <c r="C1884" s="30"/>
      <c r="D1884" s="30"/>
      <c r="E1884" s="30"/>
      <c r="F1884" s="30"/>
      <c r="G1884" s="30"/>
      <c r="H1884" s="30"/>
      <c r="I1884" s="30"/>
      <c r="J1884" s="30"/>
      <c r="K1884" s="30"/>
    </row>
    <row r="1885" spans="1:11" ht="15">
      <c r="A1885" s="30"/>
      <c r="B1885" s="30"/>
      <c r="C1885" s="30"/>
      <c r="D1885" s="30"/>
      <c r="E1885" s="30"/>
      <c r="F1885" s="30"/>
      <c r="G1885" s="30"/>
      <c r="H1885" s="30"/>
      <c r="I1885" s="30"/>
      <c r="J1885" s="30"/>
      <c r="K1885" s="30"/>
    </row>
    <row r="1886" spans="1:11" ht="15">
      <c r="A1886" s="30"/>
      <c r="B1886" s="30"/>
      <c r="C1886" s="30"/>
      <c r="D1886" s="30"/>
      <c r="E1886" s="30"/>
      <c r="F1886" s="30"/>
      <c r="G1886" s="30"/>
      <c r="H1886" s="30"/>
      <c r="I1886" s="30"/>
      <c r="J1886" s="30"/>
      <c r="K1886" s="30"/>
    </row>
    <row r="1887" spans="1:11" ht="15">
      <c r="A1887" s="30"/>
      <c r="B1887" s="30"/>
      <c r="C1887" s="30"/>
      <c r="D1887" s="30"/>
      <c r="E1887" s="30"/>
      <c r="F1887" s="30"/>
      <c r="G1887" s="30"/>
      <c r="H1887" s="30"/>
      <c r="I1887" s="30"/>
      <c r="J1887" s="30"/>
      <c r="K1887" s="30"/>
    </row>
    <row r="1888" spans="1:11" ht="15">
      <c r="A1888" s="30"/>
      <c r="B1888" s="30"/>
      <c r="C1888" s="30"/>
      <c r="D1888" s="30"/>
      <c r="E1888" s="30"/>
      <c r="F1888" s="30"/>
      <c r="G1888" s="30"/>
      <c r="H1888" s="30"/>
      <c r="I1888" s="30"/>
      <c r="J1888" s="30"/>
      <c r="K1888" s="30"/>
    </row>
    <row r="1889" spans="1:11" ht="15">
      <c r="A1889" s="30"/>
      <c r="B1889" s="30"/>
      <c r="C1889" s="30"/>
      <c r="D1889" s="30"/>
      <c r="E1889" s="30"/>
      <c r="F1889" s="30"/>
      <c r="G1889" s="30"/>
      <c r="H1889" s="30"/>
      <c r="I1889" s="30"/>
      <c r="J1889" s="30"/>
      <c r="K1889" s="30"/>
    </row>
    <row r="1890" spans="1:11" ht="15">
      <c r="A1890" s="30"/>
      <c r="B1890" s="30"/>
      <c r="C1890" s="30"/>
      <c r="D1890" s="30"/>
      <c r="E1890" s="30"/>
      <c r="F1890" s="30"/>
      <c r="G1890" s="30"/>
      <c r="H1890" s="30"/>
      <c r="I1890" s="30"/>
      <c r="J1890" s="30"/>
      <c r="K1890" s="30"/>
    </row>
    <row r="1891" spans="1:11" ht="15">
      <c r="A1891" s="30"/>
      <c r="B1891" s="30"/>
      <c r="C1891" s="30"/>
      <c r="D1891" s="30"/>
      <c r="E1891" s="30"/>
      <c r="F1891" s="30"/>
      <c r="G1891" s="30"/>
      <c r="H1891" s="30"/>
      <c r="I1891" s="30"/>
      <c r="J1891" s="30"/>
      <c r="K1891" s="30"/>
    </row>
    <row r="1892" spans="1:11" ht="15">
      <c r="A1892" s="30"/>
      <c r="B1892" s="30"/>
      <c r="C1892" s="30"/>
      <c r="D1892" s="30"/>
      <c r="E1892" s="30"/>
      <c r="F1892" s="30"/>
      <c r="G1892" s="30"/>
      <c r="H1892" s="30"/>
      <c r="I1892" s="30"/>
      <c r="J1892" s="30"/>
      <c r="K1892" s="30"/>
    </row>
    <row r="1893" spans="1:11" ht="15">
      <c r="A1893" s="30"/>
      <c r="B1893" s="30"/>
      <c r="C1893" s="30"/>
      <c r="D1893" s="30"/>
      <c r="E1893" s="30"/>
      <c r="F1893" s="30"/>
      <c r="G1893" s="30"/>
      <c r="H1893" s="30"/>
      <c r="I1893" s="30"/>
      <c r="J1893" s="30"/>
      <c r="K1893" s="30"/>
    </row>
    <row r="1894" spans="1:11" ht="15">
      <c r="A1894" s="30"/>
      <c r="B1894" s="30"/>
      <c r="C1894" s="30"/>
      <c r="D1894" s="30"/>
      <c r="E1894" s="30"/>
      <c r="F1894" s="30"/>
      <c r="G1894" s="30"/>
      <c r="H1894" s="30"/>
      <c r="I1894" s="30"/>
      <c r="J1894" s="30"/>
      <c r="K1894" s="30"/>
    </row>
    <row r="1895" spans="1:11" ht="15">
      <c r="A1895" s="30"/>
      <c r="B1895" s="30"/>
      <c r="C1895" s="30"/>
      <c r="D1895" s="30"/>
      <c r="E1895" s="30"/>
      <c r="F1895" s="30"/>
      <c r="G1895" s="30"/>
      <c r="H1895" s="30"/>
      <c r="I1895" s="30"/>
      <c r="J1895" s="30"/>
      <c r="K1895" s="30"/>
    </row>
    <row r="1896" spans="1:11" ht="15">
      <c r="A1896" s="30"/>
      <c r="B1896" s="30"/>
      <c r="C1896" s="30"/>
      <c r="D1896" s="30"/>
      <c r="E1896" s="30"/>
      <c r="F1896" s="30"/>
      <c r="G1896" s="30"/>
      <c r="H1896" s="30"/>
      <c r="I1896" s="30"/>
      <c r="J1896" s="30"/>
      <c r="K1896" s="30"/>
    </row>
    <row r="1897" spans="1:11" ht="15">
      <c r="A1897" s="30"/>
      <c r="B1897" s="30"/>
      <c r="C1897" s="30"/>
      <c r="D1897" s="30"/>
      <c r="E1897" s="30"/>
      <c r="F1897" s="30"/>
      <c r="G1897" s="30"/>
      <c r="H1897" s="30"/>
      <c r="I1897" s="30"/>
      <c r="J1897" s="30"/>
      <c r="K1897" s="30"/>
    </row>
    <row r="1898" spans="1:11" ht="15">
      <c r="A1898" s="30"/>
      <c r="B1898" s="30"/>
      <c r="C1898" s="30"/>
      <c r="D1898" s="30"/>
      <c r="E1898" s="30"/>
      <c r="F1898" s="30"/>
      <c r="G1898" s="30"/>
      <c r="H1898" s="30"/>
      <c r="I1898" s="30"/>
      <c r="J1898" s="30"/>
      <c r="K1898" s="30"/>
    </row>
    <row r="1899" spans="1:11" ht="15">
      <c r="A1899" s="30"/>
      <c r="B1899" s="30"/>
      <c r="C1899" s="30"/>
      <c r="D1899" s="30"/>
      <c r="E1899" s="30"/>
      <c r="F1899" s="30"/>
      <c r="G1899" s="30"/>
      <c r="H1899" s="30"/>
      <c r="I1899" s="30"/>
      <c r="J1899" s="30"/>
      <c r="K1899" s="30"/>
    </row>
    <row r="1900" spans="1:11" ht="15">
      <c r="A1900" s="30"/>
      <c r="B1900" s="30"/>
      <c r="C1900" s="30"/>
      <c r="D1900" s="30"/>
      <c r="E1900" s="30"/>
      <c r="F1900" s="30"/>
      <c r="G1900" s="30"/>
      <c r="H1900" s="30"/>
      <c r="I1900" s="30"/>
      <c r="J1900" s="30"/>
      <c r="K1900" s="30"/>
    </row>
    <row r="1901" spans="1:11" ht="15">
      <c r="A1901" s="30"/>
      <c r="B1901" s="30"/>
      <c r="C1901" s="30"/>
      <c r="D1901" s="30"/>
      <c r="E1901" s="30"/>
      <c r="F1901" s="30"/>
      <c r="G1901" s="30"/>
      <c r="H1901" s="30"/>
      <c r="I1901" s="30"/>
      <c r="J1901" s="30"/>
      <c r="K1901" s="30"/>
    </row>
    <row r="1902" spans="1:11" ht="15">
      <c r="A1902" s="30"/>
      <c r="B1902" s="30"/>
      <c r="C1902" s="30"/>
      <c r="D1902" s="30"/>
      <c r="E1902" s="30"/>
      <c r="F1902" s="30"/>
      <c r="G1902" s="30"/>
      <c r="H1902" s="30"/>
      <c r="I1902" s="30"/>
      <c r="J1902" s="30"/>
      <c r="K1902" s="30"/>
    </row>
    <row r="1903" spans="1:11" ht="15">
      <c r="A1903" s="30"/>
      <c r="B1903" s="30"/>
      <c r="C1903" s="30"/>
      <c r="D1903" s="30"/>
      <c r="E1903" s="30"/>
      <c r="F1903" s="30"/>
      <c r="G1903" s="30"/>
      <c r="H1903" s="30"/>
      <c r="I1903" s="30"/>
      <c r="J1903" s="30"/>
      <c r="K1903" s="30"/>
    </row>
    <row r="1904" spans="1:11" ht="15">
      <c r="A1904" s="30"/>
      <c r="B1904" s="30"/>
      <c r="C1904" s="30"/>
      <c r="D1904" s="30"/>
      <c r="E1904" s="30"/>
      <c r="F1904" s="30"/>
      <c r="G1904" s="30"/>
      <c r="H1904" s="30"/>
      <c r="I1904" s="30"/>
      <c r="J1904" s="30"/>
      <c r="K1904" s="30"/>
    </row>
    <row r="1905" spans="1:11" ht="15">
      <c r="A1905" s="30"/>
      <c r="B1905" s="30"/>
      <c r="C1905" s="30"/>
      <c r="D1905" s="30"/>
      <c r="E1905" s="30"/>
      <c r="F1905" s="30"/>
      <c r="G1905" s="30"/>
      <c r="H1905" s="30"/>
      <c r="I1905" s="30"/>
      <c r="J1905" s="30"/>
      <c r="K1905" s="30"/>
    </row>
    <row r="1906" spans="1:11" ht="15">
      <c r="A1906" s="30"/>
      <c r="B1906" s="30"/>
      <c r="C1906" s="30"/>
      <c r="D1906" s="30"/>
      <c r="E1906" s="30"/>
      <c r="F1906" s="30"/>
      <c r="G1906" s="30"/>
      <c r="H1906" s="30"/>
      <c r="I1906" s="30"/>
      <c r="J1906" s="30"/>
      <c r="K1906" s="30"/>
    </row>
    <row r="1907" spans="1:11" ht="15">
      <c r="A1907" s="30"/>
      <c r="B1907" s="30"/>
      <c r="C1907" s="30"/>
      <c r="D1907" s="30"/>
      <c r="E1907" s="30"/>
      <c r="F1907" s="30"/>
      <c r="G1907" s="30"/>
      <c r="H1907" s="30"/>
      <c r="I1907" s="30"/>
      <c r="J1907" s="30"/>
      <c r="K1907" s="30"/>
    </row>
    <row r="1908" spans="1:11" ht="15">
      <c r="A1908" s="30"/>
      <c r="B1908" s="30"/>
      <c r="C1908" s="30"/>
      <c r="D1908" s="30"/>
      <c r="E1908" s="30"/>
      <c r="F1908" s="30"/>
      <c r="G1908" s="30"/>
      <c r="H1908" s="30"/>
      <c r="I1908" s="30"/>
      <c r="J1908" s="30"/>
      <c r="K1908" s="30"/>
    </row>
    <row r="1909" spans="1:11" ht="15">
      <c r="A1909" s="30"/>
      <c r="B1909" s="30"/>
      <c r="C1909" s="30"/>
      <c r="D1909" s="30"/>
      <c r="E1909" s="30"/>
      <c r="F1909" s="30"/>
      <c r="G1909" s="30"/>
      <c r="H1909" s="30"/>
      <c r="I1909" s="30"/>
      <c r="J1909" s="30"/>
      <c r="K1909" s="30"/>
    </row>
    <row r="1910" spans="1:11" ht="15">
      <c r="A1910" s="30"/>
      <c r="B1910" s="30"/>
      <c r="C1910" s="30"/>
      <c r="D1910" s="30"/>
      <c r="E1910" s="30"/>
      <c r="F1910" s="30"/>
      <c r="G1910" s="30"/>
      <c r="H1910" s="30"/>
      <c r="I1910" s="30"/>
      <c r="J1910" s="30"/>
      <c r="K1910" s="30"/>
    </row>
    <row r="1911" spans="1:11" ht="15">
      <c r="A1911" s="30"/>
      <c r="B1911" s="30"/>
      <c r="C1911" s="30"/>
      <c r="D1911" s="30"/>
      <c r="E1911" s="30"/>
      <c r="F1911" s="30"/>
      <c r="G1911" s="30"/>
      <c r="H1911" s="30"/>
      <c r="I1911" s="30"/>
      <c r="J1911" s="30"/>
      <c r="K1911" s="30"/>
    </row>
    <row r="1912" spans="1:11" ht="15">
      <c r="A1912" s="30"/>
      <c r="B1912" s="30"/>
      <c r="C1912" s="30"/>
      <c r="D1912" s="30"/>
      <c r="E1912" s="30"/>
      <c r="F1912" s="30"/>
      <c r="G1912" s="30"/>
      <c r="H1912" s="30"/>
      <c r="I1912" s="30"/>
      <c r="J1912" s="30"/>
      <c r="K1912" s="30"/>
    </row>
    <row r="1913" spans="1:11" ht="15">
      <c r="A1913" s="30"/>
      <c r="B1913" s="30"/>
      <c r="C1913" s="30"/>
      <c r="D1913" s="30"/>
      <c r="E1913" s="30"/>
      <c r="F1913" s="30"/>
      <c r="G1913" s="30"/>
      <c r="H1913" s="30"/>
      <c r="I1913" s="30"/>
      <c r="J1913" s="30"/>
      <c r="K1913" s="30"/>
    </row>
    <row r="1914" spans="1:11" ht="15">
      <c r="A1914" s="30"/>
      <c r="B1914" s="30"/>
      <c r="C1914" s="30"/>
      <c r="D1914" s="30"/>
      <c r="E1914" s="30"/>
      <c r="F1914" s="30"/>
      <c r="G1914" s="30"/>
      <c r="H1914" s="30"/>
      <c r="I1914" s="30"/>
      <c r="J1914" s="30"/>
      <c r="K1914" s="30"/>
    </row>
    <row r="1915" spans="1:11" ht="15">
      <c r="A1915" s="30"/>
      <c r="B1915" s="30"/>
      <c r="C1915" s="30"/>
      <c r="D1915" s="30"/>
      <c r="E1915" s="30"/>
      <c r="F1915" s="30"/>
      <c r="G1915" s="30"/>
      <c r="H1915" s="30"/>
      <c r="I1915" s="30"/>
      <c r="J1915" s="30"/>
      <c r="K1915" s="30"/>
    </row>
    <row r="1916" spans="1:11" ht="15">
      <c r="A1916" s="30"/>
      <c r="B1916" s="30"/>
      <c r="C1916" s="30"/>
      <c r="D1916" s="30"/>
      <c r="E1916" s="30"/>
      <c r="F1916" s="30"/>
      <c r="G1916" s="30"/>
      <c r="H1916" s="30"/>
      <c r="I1916" s="30"/>
      <c r="J1916" s="30"/>
      <c r="K1916" s="30"/>
    </row>
    <row r="1917" spans="1:11" ht="15">
      <c r="A1917" s="30"/>
      <c r="B1917" s="30"/>
      <c r="C1917" s="30"/>
      <c r="D1917" s="30"/>
      <c r="E1917" s="30"/>
      <c r="F1917" s="30"/>
      <c r="G1917" s="30"/>
      <c r="H1917" s="30"/>
      <c r="I1917" s="30"/>
      <c r="J1917" s="30"/>
      <c r="K1917" s="30"/>
    </row>
    <row r="1918" spans="1:11" ht="15">
      <c r="A1918" s="30"/>
      <c r="B1918" s="30"/>
      <c r="C1918" s="30"/>
      <c r="D1918" s="30"/>
      <c r="E1918" s="30"/>
      <c r="F1918" s="30"/>
      <c r="G1918" s="30"/>
      <c r="H1918" s="30"/>
      <c r="I1918" s="30"/>
      <c r="J1918" s="30"/>
      <c r="K1918" s="30"/>
    </row>
    <row r="1919" spans="1:11" ht="15">
      <c r="A1919" s="30"/>
      <c r="B1919" s="30"/>
      <c r="C1919" s="30"/>
      <c r="D1919" s="30"/>
      <c r="E1919" s="30"/>
      <c r="F1919" s="30"/>
      <c r="G1919" s="30"/>
      <c r="H1919" s="30"/>
      <c r="I1919" s="30"/>
      <c r="J1919" s="30"/>
      <c r="K1919" s="30"/>
    </row>
    <row r="1920" spans="1:11" ht="15">
      <c r="A1920" s="30"/>
      <c r="B1920" s="30"/>
      <c r="C1920" s="30"/>
      <c r="D1920" s="30"/>
      <c r="E1920" s="30"/>
      <c r="F1920" s="30"/>
      <c r="G1920" s="30"/>
      <c r="H1920" s="30"/>
      <c r="I1920" s="30"/>
      <c r="J1920" s="30"/>
      <c r="K1920" s="30"/>
    </row>
    <row r="1921" spans="1:11" ht="15">
      <c r="A1921" s="30"/>
      <c r="B1921" s="30"/>
      <c r="C1921" s="30"/>
      <c r="D1921" s="30"/>
      <c r="E1921" s="30"/>
      <c r="F1921" s="30"/>
      <c r="G1921" s="30"/>
      <c r="H1921" s="30"/>
      <c r="I1921" s="30"/>
      <c r="J1921" s="30"/>
      <c r="K1921" s="30"/>
    </row>
    <row r="1922" spans="1:11" ht="15">
      <c r="A1922" s="30"/>
      <c r="B1922" s="30"/>
      <c r="C1922" s="30"/>
      <c r="D1922" s="30"/>
      <c r="E1922" s="30"/>
      <c r="F1922" s="30"/>
      <c r="G1922" s="30"/>
      <c r="H1922" s="30"/>
      <c r="I1922" s="30"/>
      <c r="J1922" s="30"/>
      <c r="K1922" s="30"/>
    </row>
    <row r="1923" spans="1:11" ht="15">
      <c r="A1923" s="30"/>
      <c r="B1923" s="30"/>
      <c r="C1923" s="30"/>
      <c r="D1923" s="30"/>
      <c r="E1923" s="30"/>
      <c r="F1923" s="30"/>
      <c r="G1923" s="30"/>
      <c r="H1923" s="30"/>
      <c r="I1923" s="30"/>
      <c r="J1923" s="30"/>
      <c r="K1923" s="30"/>
    </row>
    <row r="1924" spans="1:11" ht="15">
      <c r="A1924" s="30"/>
      <c r="B1924" s="30"/>
      <c r="C1924" s="30"/>
      <c r="D1924" s="30"/>
      <c r="E1924" s="30"/>
      <c r="F1924" s="30"/>
      <c r="G1924" s="30"/>
      <c r="H1924" s="30"/>
      <c r="I1924" s="30"/>
      <c r="J1924" s="30"/>
      <c r="K1924" s="30"/>
    </row>
    <row r="1925" spans="1:11" ht="15">
      <c r="A1925" s="30"/>
      <c r="B1925" s="30"/>
      <c r="C1925" s="30"/>
      <c r="D1925" s="30"/>
      <c r="E1925" s="30"/>
      <c r="F1925" s="30"/>
      <c r="G1925" s="30"/>
      <c r="H1925" s="30"/>
      <c r="I1925" s="30"/>
      <c r="J1925" s="30"/>
      <c r="K1925" s="30"/>
    </row>
    <row r="1926" spans="1:11" ht="15">
      <c r="A1926" s="30"/>
      <c r="B1926" s="30"/>
      <c r="C1926" s="30"/>
      <c r="D1926" s="30"/>
      <c r="E1926" s="30"/>
      <c r="F1926" s="30"/>
      <c r="G1926" s="30"/>
      <c r="H1926" s="30"/>
      <c r="I1926" s="30"/>
      <c r="J1926" s="30"/>
      <c r="K1926" s="30"/>
    </row>
    <row r="1927" spans="1:11" ht="15">
      <c r="A1927" s="30"/>
      <c r="B1927" s="30"/>
      <c r="C1927" s="30"/>
      <c r="D1927" s="30"/>
      <c r="E1927" s="30"/>
      <c r="F1927" s="30"/>
      <c r="G1927" s="30"/>
      <c r="H1927" s="30"/>
      <c r="I1927" s="30"/>
      <c r="J1927" s="30"/>
      <c r="K1927" s="30"/>
    </row>
    <row r="1928" spans="1:11" ht="15">
      <c r="A1928" s="30"/>
      <c r="B1928" s="30"/>
      <c r="C1928" s="30"/>
      <c r="D1928" s="30"/>
      <c r="E1928" s="30"/>
      <c r="F1928" s="30"/>
      <c r="G1928" s="30"/>
      <c r="H1928" s="30"/>
      <c r="I1928" s="30"/>
      <c r="J1928" s="30"/>
      <c r="K1928" s="30"/>
    </row>
    <row r="1929" spans="1:11" ht="15">
      <c r="A1929" s="30"/>
      <c r="B1929" s="30"/>
      <c r="C1929" s="30"/>
      <c r="D1929" s="30"/>
      <c r="E1929" s="30"/>
      <c r="F1929" s="30"/>
      <c r="G1929" s="30"/>
      <c r="H1929" s="30"/>
      <c r="I1929" s="30"/>
      <c r="J1929" s="30"/>
      <c r="K1929" s="30"/>
    </row>
    <row r="1930" spans="1:11" ht="15">
      <c r="A1930" s="30"/>
      <c r="B1930" s="30"/>
      <c r="C1930" s="30"/>
      <c r="D1930" s="30"/>
      <c r="E1930" s="30"/>
      <c r="F1930" s="30"/>
      <c r="G1930" s="30"/>
      <c r="H1930" s="30"/>
      <c r="I1930" s="30"/>
      <c r="J1930" s="30"/>
      <c r="K1930" s="30"/>
    </row>
    <row r="1931" spans="1:11" ht="15">
      <c r="A1931" s="30"/>
      <c r="B1931" s="30"/>
      <c r="C1931" s="30"/>
      <c r="D1931" s="30"/>
      <c r="E1931" s="30"/>
      <c r="F1931" s="30"/>
      <c r="G1931" s="30"/>
      <c r="H1931" s="30"/>
      <c r="I1931" s="30"/>
      <c r="J1931" s="30"/>
      <c r="K1931" s="30"/>
    </row>
    <row r="1932" spans="1:11" ht="15">
      <c r="A1932" s="30"/>
      <c r="B1932" s="30"/>
      <c r="C1932" s="30"/>
      <c r="D1932" s="30"/>
      <c r="E1932" s="30"/>
      <c r="F1932" s="30"/>
      <c r="G1932" s="30"/>
      <c r="H1932" s="30"/>
      <c r="I1932" s="30"/>
      <c r="J1932" s="30"/>
      <c r="K1932" s="30"/>
    </row>
    <row r="1933" spans="1:11" ht="15">
      <c r="A1933" s="30"/>
      <c r="B1933" s="30"/>
      <c r="C1933" s="30"/>
      <c r="D1933" s="30"/>
      <c r="E1933" s="30"/>
      <c r="F1933" s="30"/>
      <c r="G1933" s="30"/>
      <c r="H1933" s="30"/>
      <c r="I1933" s="30"/>
      <c r="J1933" s="30"/>
      <c r="K1933" s="30"/>
    </row>
    <row r="1934" spans="1:11" ht="15">
      <c r="A1934" s="30"/>
      <c r="B1934" s="30"/>
      <c r="C1934" s="30"/>
      <c r="D1934" s="30"/>
      <c r="E1934" s="30"/>
      <c r="F1934" s="30"/>
      <c r="G1934" s="30"/>
      <c r="H1934" s="30"/>
      <c r="I1934" s="30"/>
      <c r="J1934" s="30"/>
      <c r="K1934" s="30"/>
    </row>
    <row r="1935" spans="1:11" ht="15">
      <c r="A1935" s="30"/>
      <c r="B1935" s="30"/>
      <c r="C1935" s="30"/>
      <c r="D1935" s="30"/>
      <c r="E1935" s="30"/>
      <c r="F1935" s="30"/>
      <c r="G1935" s="30"/>
      <c r="H1935" s="30"/>
      <c r="I1935" s="30"/>
      <c r="J1935" s="30"/>
      <c r="K1935" s="30"/>
    </row>
    <row r="1936" spans="1:11" ht="15">
      <c r="A1936" s="30"/>
      <c r="B1936" s="30"/>
      <c r="C1936" s="30"/>
      <c r="D1936" s="30"/>
      <c r="E1936" s="30"/>
      <c r="F1936" s="30"/>
      <c r="G1936" s="30"/>
      <c r="H1936" s="30"/>
      <c r="I1936" s="30"/>
      <c r="J1936" s="30"/>
      <c r="K1936" s="30"/>
    </row>
    <row r="1937" spans="1:11" ht="15">
      <c r="A1937" s="30"/>
      <c r="B1937" s="30"/>
      <c r="C1937" s="30"/>
      <c r="D1937" s="30"/>
      <c r="E1937" s="30"/>
      <c r="F1937" s="30"/>
      <c r="G1937" s="30"/>
      <c r="H1937" s="30"/>
      <c r="I1937" s="30"/>
      <c r="J1937" s="30"/>
      <c r="K1937" s="30"/>
    </row>
    <row r="1938" spans="1:11" ht="15">
      <c r="A1938" s="30"/>
      <c r="B1938" s="30"/>
      <c r="C1938" s="30"/>
      <c r="D1938" s="30"/>
      <c r="E1938" s="30"/>
      <c r="F1938" s="30"/>
      <c r="G1938" s="30"/>
      <c r="H1938" s="30"/>
      <c r="I1938" s="30"/>
      <c r="J1938" s="30"/>
      <c r="K1938" s="30"/>
    </row>
    <row r="1939" spans="1:11" ht="15">
      <c r="A1939" s="30"/>
      <c r="B1939" s="30"/>
      <c r="C1939" s="30"/>
      <c r="D1939" s="30"/>
      <c r="E1939" s="30"/>
      <c r="F1939" s="30"/>
      <c r="G1939" s="30"/>
      <c r="H1939" s="30"/>
      <c r="I1939" s="30"/>
      <c r="J1939" s="30"/>
      <c r="K1939" s="30"/>
    </row>
    <row r="1940" spans="1:11" ht="15">
      <c r="A1940" s="30"/>
      <c r="B1940" s="30"/>
      <c r="C1940" s="30"/>
      <c r="D1940" s="30"/>
      <c r="E1940" s="30"/>
      <c r="F1940" s="30"/>
      <c r="G1940" s="30"/>
      <c r="H1940" s="30"/>
      <c r="I1940" s="30"/>
      <c r="J1940" s="30"/>
      <c r="K1940" s="30"/>
    </row>
    <row r="1941" spans="1:11" ht="15">
      <c r="A1941" s="30"/>
      <c r="B1941" s="30"/>
      <c r="C1941" s="30"/>
      <c r="D1941" s="30"/>
      <c r="E1941" s="30"/>
      <c r="F1941" s="30"/>
      <c r="G1941" s="30"/>
      <c r="H1941" s="30"/>
      <c r="I1941" s="30"/>
      <c r="J1941" s="30"/>
      <c r="K1941" s="30"/>
    </row>
    <row r="1942" spans="1:11" ht="15">
      <c r="A1942" s="30"/>
      <c r="B1942" s="30"/>
      <c r="C1942" s="30"/>
      <c r="D1942" s="30"/>
      <c r="E1942" s="30"/>
      <c r="F1942" s="30"/>
      <c r="G1942" s="30"/>
      <c r="H1942" s="30"/>
      <c r="I1942" s="30"/>
      <c r="J1942" s="30"/>
      <c r="K1942" s="30"/>
    </row>
    <row r="1943" spans="1:11" ht="15">
      <c r="A1943" s="30"/>
      <c r="B1943" s="30"/>
      <c r="C1943" s="30"/>
      <c r="D1943" s="30"/>
      <c r="E1943" s="30"/>
      <c r="F1943" s="30"/>
      <c r="G1943" s="30"/>
      <c r="H1943" s="30"/>
      <c r="I1943" s="30"/>
      <c r="J1943" s="30"/>
      <c r="K1943" s="30"/>
    </row>
    <row r="1944" spans="1:11" ht="15">
      <c r="A1944" s="30"/>
      <c r="B1944" s="30"/>
      <c r="C1944" s="30"/>
      <c r="D1944" s="30"/>
      <c r="E1944" s="30"/>
      <c r="F1944" s="30"/>
      <c r="G1944" s="30"/>
      <c r="H1944" s="30"/>
      <c r="I1944" s="30"/>
      <c r="J1944" s="30"/>
      <c r="K1944" s="30"/>
    </row>
    <row r="1945" spans="1:11" ht="15">
      <c r="A1945" s="30"/>
      <c r="B1945" s="30"/>
      <c r="C1945" s="30"/>
      <c r="D1945" s="30"/>
      <c r="E1945" s="30"/>
      <c r="F1945" s="30"/>
      <c r="G1945" s="30"/>
      <c r="H1945" s="30"/>
      <c r="I1945" s="30"/>
      <c r="J1945" s="30"/>
      <c r="K1945" s="30"/>
    </row>
    <row r="1946" spans="1:11" ht="15">
      <c r="A1946" s="30"/>
      <c r="B1946" s="30"/>
      <c r="C1946" s="30"/>
      <c r="D1946" s="30"/>
      <c r="E1946" s="30"/>
      <c r="F1946" s="30"/>
      <c r="G1946" s="30"/>
      <c r="H1946" s="30"/>
      <c r="I1946" s="30"/>
      <c r="J1946" s="30"/>
      <c r="K1946" s="30"/>
    </row>
    <row r="1947" spans="1:11" ht="15">
      <c r="A1947" s="30"/>
      <c r="B1947" s="30"/>
      <c r="C1947" s="30"/>
      <c r="D1947" s="30"/>
      <c r="E1947" s="30"/>
      <c r="F1947" s="30"/>
      <c r="G1947" s="30"/>
      <c r="H1947" s="30"/>
      <c r="I1947" s="30"/>
      <c r="J1947" s="30"/>
      <c r="K1947" s="30"/>
    </row>
    <row r="1948" spans="1:11" ht="15">
      <c r="A1948" s="30"/>
      <c r="B1948" s="30"/>
      <c r="C1948" s="30"/>
      <c r="D1948" s="30"/>
      <c r="E1948" s="30"/>
      <c r="F1948" s="30"/>
      <c r="G1948" s="30"/>
      <c r="H1948" s="30"/>
      <c r="I1948" s="30"/>
      <c r="J1948" s="30"/>
      <c r="K1948" s="30"/>
    </row>
    <row r="1949" spans="1:11" ht="15">
      <c r="A1949" s="30"/>
      <c r="B1949" s="30"/>
      <c r="C1949" s="30"/>
      <c r="D1949" s="30"/>
      <c r="E1949" s="30"/>
      <c r="F1949" s="30"/>
      <c r="G1949" s="30"/>
      <c r="H1949" s="30"/>
      <c r="I1949" s="30"/>
      <c r="J1949" s="30"/>
      <c r="K1949" s="30"/>
    </row>
    <row r="1950" spans="1:11" ht="15">
      <c r="A1950" s="30"/>
      <c r="B1950" s="30"/>
      <c r="C1950" s="30"/>
      <c r="D1950" s="30"/>
      <c r="E1950" s="30"/>
      <c r="F1950" s="30"/>
      <c r="G1950" s="30"/>
      <c r="H1950" s="30"/>
      <c r="I1950" s="30"/>
      <c r="J1950" s="30"/>
      <c r="K1950" s="30"/>
    </row>
    <row r="1951" spans="1:11" ht="15">
      <c r="A1951" s="30"/>
      <c r="B1951" s="30"/>
      <c r="C1951" s="30"/>
      <c r="D1951" s="30"/>
      <c r="E1951" s="30"/>
      <c r="F1951" s="30"/>
      <c r="G1951" s="30"/>
      <c r="H1951" s="30"/>
      <c r="I1951" s="30"/>
      <c r="J1951" s="30"/>
      <c r="K1951" s="30"/>
    </row>
    <row r="1952" spans="1:11" ht="15">
      <c r="A1952" s="30"/>
      <c r="B1952" s="30"/>
      <c r="C1952" s="30"/>
      <c r="D1952" s="30"/>
      <c r="E1952" s="30"/>
      <c r="F1952" s="30"/>
      <c r="G1952" s="30"/>
      <c r="H1952" s="30"/>
      <c r="I1952" s="30"/>
      <c r="J1952" s="30"/>
      <c r="K1952" s="30"/>
    </row>
    <row r="1953" spans="1:11" ht="15">
      <c r="A1953" s="30"/>
      <c r="B1953" s="30"/>
      <c r="C1953" s="30"/>
      <c r="D1953" s="30"/>
      <c r="E1953" s="30"/>
      <c r="F1953" s="30"/>
      <c r="G1953" s="30"/>
      <c r="H1953" s="30"/>
      <c r="I1953" s="30"/>
      <c r="J1953" s="30"/>
      <c r="K1953" s="30"/>
    </row>
    <row r="1954" spans="1:11" ht="15">
      <c r="A1954" s="30"/>
      <c r="B1954" s="30"/>
      <c r="C1954" s="30"/>
      <c r="D1954" s="30"/>
      <c r="E1954" s="30"/>
      <c r="F1954" s="30"/>
      <c r="G1954" s="30"/>
      <c r="H1954" s="30"/>
      <c r="I1954" s="30"/>
      <c r="J1954" s="30"/>
      <c r="K1954" s="30"/>
    </row>
    <row r="1955" spans="1:11" ht="15">
      <c r="A1955" s="30"/>
      <c r="B1955" s="30"/>
      <c r="C1955" s="30"/>
      <c r="D1955" s="30"/>
      <c r="E1955" s="30"/>
      <c r="F1955" s="30"/>
      <c r="G1955" s="30"/>
      <c r="H1955" s="30"/>
      <c r="I1955" s="30"/>
      <c r="J1955" s="30"/>
      <c r="K1955" s="30"/>
    </row>
    <row r="1956" spans="1:11" ht="15">
      <c r="A1956" s="30"/>
      <c r="B1956" s="30"/>
      <c r="C1956" s="30"/>
      <c r="D1956" s="30"/>
      <c r="E1956" s="30"/>
      <c r="F1956" s="30"/>
      <c r="G1956" s="30"/>
      <c r="H1956" s="30"/>
      <c r="I1956" s="30"/>
      <c r="J1956" s="30"/>
      <c r="K1956" s="30"/>
    </row>
    <row r="1957" spans="1:11" ht="15">
      <c r="A1957" s="30"/>
      <c r="B1957" s="30"/>
      <c r="C1957" s="30"/>
      <c r="D1957" s="30"/>
      <c r="E1957" s="30"/>
      <c r="F1957" s="30"/>
      <c r="G1957" s="30"/>
      <c r="H1957" s="30"/>
      <c r="I1957" s="30"/>
      <c r="J1957" s="30"/>
      <c r="K1957" s="30"/>
    </row>
    <row r="1958" spans="1:11" ht="15">
      <c r="A1958" s="30"/>
      <c r="B1958" s="30"/>
      <c r="C1958" s="30"/>
      <c r="D1958" s="30"/>
      <c r="E1958" s="30"/>
      <c r="F1958" s="30"/>
      <c r="G1958" s="30"/>
      <c r="H1958" s="30"/>
      <c r="I1958" s="30"/>
      <c r="J1958" s="30"/>
      <c r="K1958" s="30"/>
    </row>
    <row r="1959" spans="1:11" ht="15">
      <c r="A1959" s="30"/>
      <c r="B1959" s="30"/>
      <c r="C1959" s="30"/>
      <c r="D1959" s="30"/>
      <c r="E1959" s="30"/>
      <c r="F1959" s="30"/>
      <c r="G1959" s="30"/>
      <c r="H1959" s="30"/>
      <c r="I1959" s="30"/>
      <c r="J1959" s="30"/>
      <c r="K1959" s="30"/>
    </row>
    <row r="1960" spans="1:11" ht="15">
      <c r="A1960" s="30"/>
      <c r="B1960" s="30"/>
      <c r="C1960" s="30"/>
      <c r="D1960" s="30"/>
      <c r="E1960" s="30"/>
      <c r="F1960" s="30"/>
      <c r="G1960" s="30"/>
      <c r="H1960" s="30"/>
      <c r="I1960" s="30"/>
      <c r="J1960" s="30"/>
      <c r="K1960" s="30"/>
    </row>
    <row r="1961" spans="1:11" ht="15">
      <c r="A1961" s="30"/>
      <c r="B1961" s="30"/>
      <c r="C1961" s="30"/>
      <c r="D1961" s="30"/>
      <c r="E1961" s="30"/>
      <c r="F1961" s="30"/>
      <c r="G1961" s="30"/>
      <c r="H1961" s="30"/>
      <c r="I1961" s="30"/>
      <c r="J1961" s="30"/>
      <c r="K1961" s="30"/>
    </row>
    <row r="1962" spans="1:11" ht="15">
      <c r="A1962" s="30"/>
      <c r="B1962" s="30"/>
      <c r="C1962" s="30"/>
      <c r="D1962" s="30"/>
      <c r="E1962" s="30"/>
      <c r="F1962" s="30"/>
      <c r="G1962" s="30"/>
      <c r="H1962" s="30"/>
      <c r="I1962" s="30"/>
      <c r="J1962" s="30"/>
      <c r="K1962" s="30"/>
    </row>
    <row r="1963" spans="1:11" ht="15">
      <c r="A1963" s="30"/>
      <c r="B1963" s="30"/>
      <c r="C1963" s="30"/>
      <c r="D1963" s="30"/>
      <c r="E1963" s="30"/>
      <c r="F1963" s="30"/>
      <c r="G1963" s="30"/>
      <c r="H1963" s="30"/>
      <c r="I1963" s="30"/>
      <c r="J1963" s="30"/>
      <c r="K1963" s="30"/>
    </row>
    <row r="1964" spans="1:11" ht="15">
      <c r="A1964" s="30"/>
      <c r="B1964" s="30"/>
      <c r="C1964" s="30"/>
      <c r="D1964" s="30"/>
      <c r="E1964" s="30"/>
      <c r="F1964" s="30"/>
      <c r="G1964" s="30"/>
      <c r="H1964" s="30"/>
      <c r="I1964" s="30"/>
      <c r="J1964" s="30"/>
      <c r="K1964" s="30"/>
    </row>
    <row r="1965" spans="1:11" ht="15">
      <c r="A1965" s="30"/>
      <c r="B1965" s="30"/>
      <c r="C1965" s="30"/>
      <c r="D1965" s="30"/>
      <c r="E1965" s="30"/>
      <c r="F1965" s="30"/>
      <c r="G1965" s="30"/>
      <c r="H1965" s="30"/>
      <c r="I1965" s="30"/>
      <c r="J1965" s="30"/>
      <c r="K1965" s="30"/>
    </row>
    <row r="1966" spans="1:11" ht="15">
      <c r="A1966" s="30"/>
      <c r="B1966" s="30"/>
      <c r="C1966" s="30"/>
      <c r="D1966" s="30"/>
      <c r="E1966" s="30"/>
      <c r="F1966" s="30"/>
      <c r="G1966" s="30"/>
      <c r="H1966" s="30"/>
      <c r="I1966" s="30"/>
      <c r="J1966" s="30"/>
      <c r="K1966" s="30"/>
    </row>
    <row r="1967" spans="1:11" ht="15">
      <c r="A1967" s="30"/>
      <c r="B1967" s="30"/>
      <c r="C1967" s="30"/>
      <c r="D1967" s="30"/>
      <c r="E1967" s="30"/>
      <c r="F1967" s="30"/>
      <c r="G1967" s="30"/>
      <c r="H1967" s="30"/>
      <c r="I1967" s="30"/>
      <c r="J1967" s="30"/>
      <c r="K1967" s="30"/>
    </row>
    <row r="1968" spans="1:11" ht="15">
      <c r="A1968" s="30"/>
      <c r="B1968" s="30"/>
      <c r="C1968" s="30"/>
      <c r="D1968" s="30"/>
      <c r="E1968" s="30"/>
      <c r="F1968" s="30"/>
      <c r="G1968" s="30"/>
      <c r="H1968" s="30"/>
      <c r="I1968" s="30"/>
      <c r="J1968" s="30"/>
      <c r="K1968" s="30"/>
    </row>
    <row r="1969" spans="1:11" ht="15">
      <c r="A1969" s="30"/>
      <c r="B1969" s="30"/>
      <c r="C1969" s="30"/>
      <c r="D1969" s="30"/>
      <c r="E1969" s="30"/>
      <c r="F1969" s="30"/>
      <c r="G1969" s="30"/>
      <c r="H1969" s="30"/>
      <c r="I1969" s="30"/>
      <c r="J1969" s="30"/>
      <c r="K1969" s="30"/>
    </row>
    <row r="1970" spans="1:11" ht="15">
      <c r="A1970" s="30"/>
      <c r="B1970" s="30"/>
      <c r="C1970" s="30"/>
      <c r="D1970" s="30"/>
      <c r="E1970" s="30"/>
      <c r="F1970" s="30"/>
      <c r="G1970" s="30"/>
      <c r="H1970" s="30"/>
      <c r="I1970" s="30"/>
      <c r="J1970" s="30"/>
      <c r="K1970" s="30"/>
    </row>
    <row r="1971" spans="1:11" ht="15">
      <c r="A1971" s="30"/>
      <c r="B1971" s="30"/>
      <c r="C1971" s="30"/>
      <c r="D1971" s="30"/>
      <c r="E1971" s="30"/>
      <c r="F1971" s="30"/>
      <c r="G1971" s="30"/>
      <c r="H1971" s="30"/>
      <c r="I1971" s="30"/>
      <c r="J1971" s="30"/>
      <c r="K1971" s="30"/>
    </row>
    <row r="1972" spans="1:11" ht="15">
      <c r="A1972" s="30"/>
      <c r="B1972" s="30"/>
      <c r="C1972" s="30"/>
      <c r="D1972" s="30"/>
      <c r="E1972" s="30"/>
      <c r="F1972" s="30"/>
      <c r="G1972" s="30"/>
      <c r="H1972" s="30"/>
      <c r="I1972" s="30"/>
      <c r="J1972" s="30"/>
      <c r="K1972" s="30"/>
    </row>
    <row r="1973" spans="1:11" ht="15">
      <c r="A1973" s="30"/>
      <c r="B1973" s="30"/>
      <c r="C1973" s="30"/>
      <c r="D1973" s="30"/>
      <c r="E1973" s="30"/>
      <c r="F1973" s="30"/>
      <c r="G1973" s="30"/>
      <c r="H1973" s="30"/>
      <c r="I1973" s="30"/>
      <c r="J1973" s="30"/>
      <c r="K1973" s="30"/>
    </row>
    <row r="1974" spans="1:11" ht="15">
      <c r="A1974" s="30"/>
      <c r="B1974" s="30"/>
      <c r="C1974" s="30"/>
      <c r="D1974" s="30"/>
      <c r="E1974" s="30"/>
      <c r="F1974" s="30"/>
      <c r="G1974" s="30"/>
      <c r="H1974" s="30"/>
      <c r="I1974" s="30"/>
      <c r="J1974" s="30"/>
      <c r="K1974" s="30"/>
    </row>
    <row r="1975" spans="1:11" ht="15">
      <c r="A1975" s="30"/>
      <c r="B1975" s="30"/>
      <c r="C1975" s="30"/>
      <c r="D1975" s="30"/>
      <c r="E1975" s="30"/>
      <c r="F1975" s="30"/>
      <c r="G1975" s="30"/>
      <c r="H1975" s="30"/>
      <c r="I1975" s="30"/>
      <c r="J1975" s="30"/>
      <c r="K1975" s="30"/>
    </row>
    <row r="1976" spans="1:11" ht="15">
      <c r="A1976" s="30"/>
      <c r="B1976" s="30"/>
      <c r="C1976" s="30"/>
      <c r="D1976" s="30"/>
      <c r="E1976" s="30"/>
      <c r="F1976" s="30"/>
      <c r="G1976" s="30"/>
      <c r="H1976" s="30"/>
      <c r="I1976" s="30"/>
      <c r="J1976" s="30"/>
      <c r="K1976" s="30"/>
    </row>
    <row r="1977" spans="1:11" ht="15">
      <c r="A1977" s="30"/>
      <c r="B1977" s="30"/>
      <c r="C1977" s="30"/>
      <c r="D1977" s="30"/>
      <c r="E1977" s="30"/>
      <c r="F1977" s="30"/>
      <c r="G1977" s="30"/>
      <c r="H1977" s="30"/>
      <c r="I1977" s="30"/>
      <c r="J1977" s="30"/>
      <c r="K1977" s="30"/>
    </row>
    <row r="1978" spans="1:11" ht="15">
      <c r="A1978" s="30"/>
      <c r="B1978" s="30"/>
      <c r="C1978" s="30"/>
      <c r="D1978" s="30"/>
      <c r="E1978" s="30"/>
      <c r="F1978" s="30"/>
      <c r="G1978" s="30"/>
      <c r="H1978" s="30"/>
      <c r="I1978" s="30"/>
      <c r="J1978" s="30"/>
      <c r="K1978" s="30"/>
    </row>
    <row r="1979" spans="1:11" ht="15">
      <c r="A1979" s="30"/>
      <c r="B1979" s="30"/>
      <c r="C1979" s="30"/>
      <c r="D1979" s="30"/>
      <c r="E1979" s="30"/>
      <c r="F1979" s="30"/>
      <c r="G1979" s="30"/>
      <c r="H1979" s="30"/>
      <c r="I1979" s="30"/>
      <c r="J1979" s="30"/>
      <c r="K1979" s="30"/>
    </row>
    <row r="1980" spans="1:11" ht="15">
      <c r="A1980" s="30"/>
      <c r="B1980" s="30"/>
      <c r="C1980" s="30"/>
      <c r="D1980" s="30"/>
      <c r="E1980" s="30"/>
      <c r="F1980" s="30"/>
      <c r="G1980" s="30"/>
      <c r="H1980" s="30"/>
      <c r="I1980" s="30"/>
      <c r="J1980" s="30"/>
      <c r="K1980" s="30"/>
    </row>
    <row r="1981" spans="1:11" ht="15">
      <c r="A1981" s="30"/>
      <c r="B1981" s="30"/>
      <c r="C1981" s="30"/>
      <c r="D1981" s="30"/>
      <c r="E1981" s="30"/>
      <c r="F1981" s="30"/>
      <c r="G1981" s="30"/>
      <c r="H1981" s="30"/>
      <c r="I1981" s="30"/>
      <c r="J1981" s="30"/>
      <c r="K1981" s="30"/>
    </row>
    <row r="1982" spans="1:11" ht="15">
      <c r="A1982" s="30"/>
      <c r="B1982" s="30"/>
      <c r="C1982" s="30"/>
      <c r="D1982" s="30"/>
      <c r="E1982" s="30"/>
      <c r="F1982" s="30"/>
      <c r="G1982" s="30"/>
      <c r="H1982" s="30"/>
      <c r="I1982" s="30"/>
      <c r="J1982" s="30"/>
      <c r="K1982" s="30"/>
    </row>
    <row r="1983" spans="1:11" ht="15">
      <c r="A1983" s="30"/>
      <c r="B1983" s="30"/>
      <c r="C1983" s="30"/>
      <c r="D1983" s="30"/>
      <c r="E1983" s="30"/>
      <c r="F1983" s="30"/>
      <c r="G1983" s="30"/>
      <c r="H1983" s="30"/>
      <c r="I1983" s="30"/>
      <c r="J1983" s="30"/>
      <c r="K1983" s="30"/>
    </row>
    <row r="1984" spans="1:11" ht="15">
      <c r="A1984" s="30"/>
      <c r="B1984" s="30"/>
      <c r="C1984" s="30"/>
      <c r="D1984" s="30"/>
      <c r="E1984" s="30"/>
      <c r="F1984" s="30"/>
      <c r="G1984" s="30"/>
      <c r="H1984" s="30"/>
      <c r="I1984" s="30"/>
      <c r="J1984" s="30"/>
      <c r="K1984" s="30"/>
    </row>
    <row r="1985" spans="1:11" ht="15">
      <c r="A1985" s="30"/>
      <c r="B1985" s="30"/>
      <c r="C1985" s="30"/>
      <c r="D1985" s="30"/>
      <c r="E1985" s="30"/>
      <c r="F1985" s="30"/>
      <c r="G1985" s="30"/>
      <c r="H1985" s="30"/>
      <c r="I1985" s="30"/>
      <c r="J1985" s="30"/>
      <c r="K1985" s="30"/>
    </row>
    <row r="1986" spans="1:11" ht="15">
      <c r="A1986" s="30"/>
      <c r="B1986" s="30"/>
      <c r="C1986" s="30"/>
      <c r="D1986" s="30"/>
      <c r="E1986" s="30"/>
      <c r="F1986" s="30"/>
      <c r="G1986" s="30"/>
      <c r="H1986" s="30"/>
      <c r="I1986" s="30"/>
      <c r="J1986" s="30"/>
      <c r="K1986" s="30"/>
    </row>
    <row r="1987" spans="1:11" ht="15">
      <c r="A1987" s="30"/>
      <c r="B1987" s="30"/>
      <c r="C1987" s="30"/>
      <c r="D1987" s="30"/>
      <c r="E1987" s="30"/>
      <c r="F1987" s="30"/>
      <c r="G1987" s="30"/>
      <c r="H1987" s="30"/>
      <c r="I1987" s="30"/>
      <c r="J1987" s="30"/>
      <c r="K1987" s="30"/>
    </row>
    <row r="1988" spans="1:11" ht="15">
      <c r="A1988" s="30"/>
      <c r="B1988" s="30"/>
      <c r="C1988" s="30"/>
      <c r="D1988" s="30"/>
      <c r="E1988" s="30"/>
      <c r="F1988" s="30"/>
      <c r="G1988" s="30"/>
      <c r="H1988" s="30"/>
      <c r="I1988" s="30"/>
      <c r="J1988" s="30"/>
      <c r="K1988" s="30"/>
    </row>
    <row r="1989" spans="1:11" ht="15">
      <c r="A1989" s="30"/>
      <c r="B1989" s="30"/>
      <c r="C1989" s="30"/>
      <c r="D1989" s="30"/>
      <c r="E1989" s="30"/>
      <c r="F1989" s="30"/>
      <c r="G1989" s="30"/>
      <c r="H1989" s="30"/>
      <c r="I1989" s="30"/>
      <c r="J1989" s="30"/>
      <c r="K1989" s="30"/>
    </row>
    <row r="1990" spans="1:11" ht="15">
      <c r="A1990" s="30"/>
      <c r="B1990" s="30"/>
      <c r="C1990" s="30"/>
      <c r="D1990" s="30"/>
      <c r="E1990" s="30"/>
      <c r="F1990" s="30"/>
      <c r="G1990" s="30"/>
      <c r="H1990" s="30"/>
      <c r="I1990" s="30"/>
      <c r="J1990" s="30"/>
      <c r="K1990" s="30"/>
    </row>
    <row r="1991" spans="1:11" ht="15">
      <c r="A1991" s="30"/>
      <c r="B1991" s="30"/>
      <c r="C1991" s="30"/>
      <c r="D1991" s="30"/>
      <c r="E1991" s="30"/>
      <c r="F1991" s="30"/>
      <c r="G1991" s="30"/>
      <c r="H1991" s="30"/>
      <c r="I1991" s="30"/>
      <c r="J1991" s="30"/>
      <c r="K1991" s="30"/>
    </row>
    <row r="1992" spans="1:11" ht="15">
      <c r="A1992" s="30"/>
      <c r="B1992" s="30"/>
      <c r="C1992" s="30"/>
      <c r="D1992" s="30"/>
      <c r="E1992" s="30"/>
      <c r="F1992" s="30"/>
      <c r="G1992" s="30"/>
      <c r="H1992" s="30"/>
      <c r="I1992" s="30"/>
      <c r="J1992" s="30"/>
      <c r="K1992" s="30"/>
    </row>
    <row r="1993" spans="1:11" ht="15">
      <c r="A1993" s="30"/>
      <c r="B1993" s="30"/>
      <c r="C1993" s="30"/>
      <c r="D1993" s="30"/>
      <c r="E1993" s="30"/>
      <c r="F1993" s="30"/>
      <c r="G1993" s="30"/>
      <c r="H1993" s="30"/>
      <c r="I1993" s="30"/>
      <c r="J1993" s="30"/>
      <c r="K1993" s="30"/>
    </row>
    <row r="1994" spans="1:11" ht="15">
      <c r="A1994" s="30"/>
      <c r="B1994" s="30"/>
      <c r="C1994" s="30"/>
      <c r="D1994" s="30"/>
      <c r="E1994" s="30"/>
      <c r="F1994" s="30"/>
      <c r="G1994" s="30"/>
      <c r="H1994" s="30"/>
      <c r="I1994" s="30"/>
      <c r="J1994" s="30"/>
      <c r="K1994" s="30"/>
    </row>
    <row r="1995" spans="1:11" ht="15">
      <c r="A1995" s="30"/>
      <c r="B1995" s="30"/>
      <c r="C1995" s="30"/>
      <c r="D1995" s="30"/>
      <c r="E1995" s="30"/>
      <c r="F1995" s="30"/>
      <c r="G1995" s="30"/>
      <c r="H1995" s="30"/>
      <c r="I1995" s="30"/>
      <c r="J1995" s="30"/>
      <c r="K1995" s="30"/>
    </row>
    <row r="1996" spans="1:11" ht="15">
      <c r="A1996" s="30"/>
      <c r="B1996" s="30"/>
      <c r="C1996" s="30"/>
      <c r="D1996" s="30"/>
      <c r="E1996" s="30"/>
      <c r="F1996" s="30"/>
      <c r="G1996" s="30"/>
      <c r="H1996" s="30"/>
      <c r="I1996" s="30"/>
      <c r="J1996" s="30"/>
      <c r="K1996" s="30"/>
    </row>
    <row r="1997" spans="1:11" ht="15">
      <c r="A1997" s="30"/>
      <c r="B1997" s="30"/>
      <c r="C1997" s="30"/>
      <c r="D1997" s="30"/>
      <c r="E1997" s="30"/>
      <c r="F1997" s="30"/>
      <c r="G1997" s="30"/>
      <c r="H1997" s="30"/>
      <c r="I1997" s="30"/>
      <c r="J1997" s="30"/>
      <c r="K1997" s="30"/>
    </row>
    <row r="1998" spans="1:11" ht="15">
      <c r="A1998" s="30"/>
      <c r="B1998" s="30"/>
      <c r="C1998" s="30"/>
      <c r="D1998" s="30"/>
      <c r="E1998" s="30"/>
      <c r="F1998" s="30"/>
      <c r="G1998" s="30"/>
      <c r="H1998" s="30"/>
      <c r="I1998" s="30"/>
      <c r="J1998" s="30"/>
      <c r="K1998" s="30"/>
    </row>
    <row r="1999" spans="1:11" ht="15">
      <c r="A1999" s="30"/>
      <c r="B1999" s="30"/>
      <c r="C1999" s="30"/>
      <c r="D1999" s="30"/>
      <c r="E1999" s="30"/>
      <c r="F1999" s="30"/>
      <c r="G1999" s="30"/>
      <c r="H1999" s="30"/>
      <c r="I1999" s="30"/>
      <c r="J1999" s="30"/>
      <c r="K1999" s="30"/>
    </row>
    <row r="2000" spans="1:11" ht="15">
      <c r="A2000" s="30"/>
      <c r="B2000" s="30"/>
      <c r="C2000" s="30"/>
      <c r="D2000" s="30"/>
      <c r="E2000" s="30"/>
      <c r="F2000" s="30"/>
      <c r="G2000" s="30"/>
      <c r="H2000" s="30"/>
      <c r="I2000" s="30"/>
      <c r="J2000" s="30"/>
      <c r="K2000" s="30"/>
    </row>
  </sheetData>
  <conditionalFormatting sqref="K2:K665">
    <cfRule type="cellIs" dxfId="110" priority="1" operator="equal">
      <formula>"Partial"</formula>
    </cfRule>
    <cfRule type="cellIs" dxfId="109" priority="2" operator="equal">
      <formula>"No"</formula>
    </cfRule>
    <cfRule type="cellIs" dxfId="108" priority="3" operator="equal">
      <formula>"Yes"</formula>
    </cfRule>
  </conditionalFormatting>
  <dataValidations count="1">
    <dataValidation type="list" allowBlank="1" showInputMessage="1" showErrorMessage="1" sqref="K2:K665" xr:uid="{F244A726-AFFF-4D88-BFAD-8DB33C1AAF66}">
      <formula1>#REF!</formula1>
    </dataValidation>
  </dataValidations>
  <hyperlinks>
    <hyperlink ref="B2" r:id="rId1" display="Agent@email.com" xr:uid="{9FE34967-CEA1-492C-AEE6-1C130EBD0496}"/>
    <hyperlink ref="R1" r:id="rId2" display="https://help.mypurecloud.com/articles/import-phones/" xr:uid="{F3D7BED2-C65C-40DC-A512-C31D2BA4966C}"/>
    <hyperlink ref="D3" r:id="rId3" xr:uid="{93CE32B3-376B-4EF7-83F0-82962F7C16D2}"/>
  </hyperlinks>
  <pageMargins left="0.7" right="0.7" top="0.75" bottom="0.75" header="0.3" footer="0.3"/>
  <pageSetup orientation="portrait" r:id="rId4"/>
  <tableParts count="1">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A847D-F4AF-420E-BE5E-1EF6F17631D2}">
  <sheetPr>
    <tabColor rgb="FFFF4F1F"/>
  </sheetPr>
  <dimension ref="A1:W2000"/>
  <sheetViews>
    <sheetView workbookViewId="0">
      <pane ySplit="1" topLeftCell="A4" activePane="bottomLeft" state="frozen"/>
      <selection pane="bottomLeft" activeCell="A2" sqref="A2"/>
    </sheetView>
  </sheetViews>
  <sheetFormatPr defaultColWidth="9.140625" defaultRowHeight="14.25"/>
  <cols>
    <col min="1" max="1" width="25.7109375" style="4" customWidth="1"/>
    <col min="2" max="2" width="29.42578125" style="4" customWidth="1"/>
    <col min="3" max="3" width="20.7109375" style="4" customWidth="1"/>
    <col min="4" max="4" width="27.42578125" style="4" customWidth="1"/>
    <col min="5" max="6" width="20.7109375" style="4" customWidth="1"/>
    <col min="7" max="7" width="28.85546875" style="4" customWidth="1"/>
    <col min="8" max="10" width="20.7109375" style="4" customWidth="1"/>
    <col min="11" max="11" width="17.140625" style="3" customWidth="1"/>
    <col min="12" max="21" width="9.140625" style="3"/>
    <col min="22" max="22" width="0" style="3" hidden="1" customWidth="1"/>
    <col min="23" max="23" width="9.140625" style="3" hidden="1" customWidth="1"/>
    <col min="24" max="16384" width="9.140625" style="3"/>
  </cols>
  <sheetData>
    <row r="1" spans="1:23" ht="22.5" customHeight="1">
      <c r="A1" s="25" t="s">
        <v>340</v>
      </c>
      <c r="B1" s="25" t="s">
        <v>363</v>
      </c>
      <c r="C1" s="25" t="s">
        <v>364</v>
      </c>
      <c r="D1" s="25" t="s">
        <v>341</v>
      </c>
      <c r="E1" s="25" t="s">
        <v>365</v>
      </c>
      <c r="F1" s="25" t="s">
        <v>366</v>
      </c>
      <c r="G1" s="25" t="s">
        <v>367</v>
      </c>
      <c r="H1" s="25" t="s">
        <v>368</v>
      </c>
      <c r="I1" s="25" t="s">
        <v>369</v>
      </c>
      <c r="J1" s="25" t="s">
        <v>343</v>
      </c>
      <c r="K1" s="144" t="s">
        <v>223</v>
      </c>
      <c r="R1" s="5" t="s">
        <v>370</v>
      </c>
      <c r="W1" s="3" t="s">
        <v>371</v>
      </c>
    </row>
    <row r="2" spans="1:23" s="2" customFormat="1" ht="15">
      <c r="A2" s="26" t="s">
        <v>372</v>
      </c>
      <c r="B2" s="27" t="s">
        <v>373</v>
      </c>
      <c r="C2" s="26" t="s">
        <v>374</v>
      </c>
      <c r="D2" s="26"/>
      <c r="E2" s="26"/>
      <c r="F2" s="26" t="s">
        <v>375</v>
      </c>
      <c r="G2" s="27"/>
      <c r="H2" s="26"/>
      <c r="I2" s="26">
        <v>3172222222</v>
      </c>
      <c r="J2" s="26">
        <v>2222</v>
      </c>
      <c r="K2"/>
      <c r="W2" s="3" t="s">
        <v>376</v>
      </c>
    </row>
    <row r="3" spans="1:23" ht="15">
      <c r="A3" s="8" t="s">
        <v>377</v>
      </c>
      <c r="B3" s="9" t="s">
        <v>378</v>
      </c>
      <c r="C3" s="9" t="s">
        <v>374</v>
      </c>
      <c r="D3" s="27" t="s">
        <v>379</v>
      </c>
      <c r="E3" s="31"/>
      <c r="F3" s="30"/>
      <c r="G3" s="30"/>
      <c r="H3" s="30"/>
      <c r="I3" s="30"/>
      <c r="J3" s="30"/>
      <c r="K3"/>
      <c r="W3" s="3" t="s">
        <v>380</v>
      </c>
    </row>
    <row r="4" spans="1:23" ht="15">
      <c r="A4" s="29"/>
      <c r="B4" s="30"/>
      <c r="C4" s="30"/>
      <c r="D4" s="30"/>
      <c r="E4" s="31"/>
      <c r="F4" s="30"/>
      <c r="G4" s="27"/>
      <c r="H4" s="30"/>
      <c r="I4" s="30"/>
      <c r="J4" s="30"/>
      <c r="K4"/>
      <c r="W4" s="3" t="s">
        <v>381</v>
      </c>
    </row>
    <row r="5" spans="1:23" ht="15">
      <c r="A5" s="29"/>
      <c r="B5" s="30"/>
      <c r="C5" s="30"/>
      <c r="D5" s="30"/>
      <c r="E5" s="31"/>
      <c r="F5" s="30"/>
      <c r="G5" s="30"/>
      <c r="H5" s="30"/>
      <c r="I5" s="30"/>
      <c r="J5" s="30"/>
      <c r="K5"/>
      <c r="W5" s="3" t="s">
        <v>382</v>
      </c>
    </row>
    <row r="6" spans="1:23" ht="15">
      <c r="A6" s="29"/>
      <c r="B6" s="30"/>
      <c r="C6" s="30"/>
      <c r="D6" s="30"/>
      <c r="E6" s="31"/>
      <c r="F6" s="30"/>
      <c r="G6" s="27"/>
      <c r="H6" s="30"/>
      <c r="I6" s="30"/>
      <c r="J6" s="30"/>
      <c r="K6"/>
      <c r="W6" s="3" t="s">
        <v>383</v>
      </c>
    </row>
    <row r="7" spans="1:23" ht="15">
      <c r="A7" s="29"/>
      <c r="B7" s="30"/>
      <c r="C7" s="30"/>
      <c r="D7" s="30"/>
      <c r="E7" s="31"/>
      <c r="F7" s="30"/>
      <c r="G7" s="27"/>
      <c r="H7" s="30"/>
      <c r="I7" s="30"/>
      <c r="J7" s="30"/>
      <c r="K7"/>
      <c r="W7" s="3" t="s">
        <v>384</v>
      </c>
    </row>
    <row r="8" spans="1:23" ht="15">
      <c r="A8" s="29"/>
      <c r="B8" s="30"/>
      <c r="C8" s="30"/>
      <c r="D8" s="30"/>
      <c r="E8" s="31"/>
      <c r="F8" s="30"/>
      <c r="G8" s="30"/>
      <c r="H8" s="30"/>
      <c r="I8" s="30"/>
      <c r="J8" s="30"/>
      <c r="K8"/>
      <c r="W8" s="3" t="s">
        <v>385</v>
      </c>
    </row>
    <row r="9" spans="1:23" ht="15">
      <c r="A9" s="29"/>
      <c r="B9" s="30"/>
      <c r="C9" s="30"/>
      <c r="D9" s="30"/>
      <c r="E9" s="31"/>
      <c r="F9" s="30"/>
      <c r="G9" s="27"/>
      <c r="H9" s="30"/>
      <c r="I9" s="30"/>
      <c r="J9" s="30"/>
      <c r="K9"/>
    </row>
    <row r="10" spans="1:23" ht="15">
      <c r="A10" s="29"/>
      <c r="B10" s="30"/>
      <c r="C10" s="30"/>
      <c r="D10" s="30"/>
      <c r="E10" s="30"/>
      <c r="F10" s="30"/>
      <c r="G10" s="30"/>
      <c r="H10" s="30"/>
      <c r="I10" s="30"/>
      <c r="J10" s="30"/>
      <c r="K10"/>
    </row>
    <row r="11" spans="1:23" ht="15">
      <c r="A11" s="29"/>
      <c r="B11" s="30"/>
      <c r="C11" s="30"/>
      <c r="D11" s="30"/>
      <c r="E11" s="30"/>
      <c r="F11" s="30"/>
      <c r="G11" s="30"/>
      <c r="H11" s="30"/>
      <c r="I11" s="30"/>
      <c r="J11" s="30"/>
      <c r="K11"/>
    </row>
    <row r="12" spans="1:23" ht="15">
      <c r="A12" s="29"/>
      <c r="B12" s="30"/>
      <c r="C12" s="30"/>
      <c r="D12" s="30"/>
      <c r="E12" s="30"/>
      <c r="F12" s="30"/>
      <c r="G12" s="30"/>
      <c r="H12" s="30"/>
      <c r="I12" s="30"/>
      <c r="J12" s="30"/>
      <c r="K12"/>
    </row>
    <row r="13" spans="1:23" ht="15">
      <c r="A13" s="29"/>
      <c r="B13" s="30"/>
      <c r="C13" s="30"/>
      <c r="D13" s="30"/>
      <c r="E13" s="30"/>
      <c r="F13" s="30"/>
      <c r="G13" s="30"/>
      <c r="H13" s="30"/>
      <c r="I13" s="30"/>
      <c r="J13" s="30"/>
      <c r="K13"/>
    </row>
    <row r="14" spans="1:23" ht="15">
      <c r="A14" s="29"/>
      <c r="B14" s="30"/>
      <c r="C14" s="30"/>
      <c r="D14" s="30"/>
      <c r="E14" s="30"/>
      <c r="F14" s="30"/>
      <c r="G14" s="30"/>
      <c r="H14" s="30"/>
      <c r="I14" s="30"/>
      <c r="J14" s="30"/>
      <c r="K14"/>
    </row>
    <row r="15" spans="1:23" ht="15" customHeight="1">
      <c r="A15" s="29"/>
      <c r="B15" s="30"/>
      <c r="C15" s="30"/>
      <c r="D15" s="30"/>
      <c r="E15" s="30"/>
      <c r="F15" s="30"/>
      <c r="G15" s="30"/>
      <c r="H15" s="30"/>
      <c r="I15" s="30"/>
      <c r="J15" s="30"/>
      <c r="K15"/>
    </row>
    <row r="16" spans="1:23" ht="15">
      <c r="A16" s="29"/>
      <c r="B16" s="30"/>
      <c r="C16" s="30"/>
      <c r="D16" s="30"/>
      <c r="E16" s="30"/>
      <c r="F16" s="30"/>
      <c r="G16" s="30"/>
      <c r="H16" s="30"/>
      <c r="I16" s="30"/>
      <c r="J16" s="30"/>
      <c r="K16"/>
    </row>
    <row r="17" spans="1:11" ht="15">
      <c r="A17" s="29"/>
      <c r="B17" s="30"/>
      <c r="C17" s="30"/>
      <c r="D17" s="30"/>
      <c r="E17" s="30"/>
      <c r="F17" s="30"/>
      <c r="G17" s="30"/>
      <c r="H17" s="30"/>
      <c r="I17" s="30"/>
      <c r="J17" s="30"/>
      <c r="K17"/>
    </row>
    <row r="18" spans="1:11" ht="15">
      <c r="A18" s="29"/>
      <c r="B18" s="30"/>
      <c r="C18" s="30"/>
      <c r="D18" s="30"/>
      <c r="E18" s="30"/>
      <c r="F18" s="30"/>
      <c r="G18" s="30"/>
      <c r="H18" s="30"/>
      <c r="I18" s="30"/>
      <c r="J18" s="30"/>
      <c r="K18"/>
    </row>
    <row r="19" spans="1:11" ht="15">
      <c r="A19" s="29"/>
      <c r="B19" s="30"/>
      <c r="C19" s="30"/>
      <c r="D19" s="30"/>
      <c r="E19" s="30"/>
      <c r="F19" s="30"/>
      <c r="G19" s="30"/>
      <c r="H19" s="30"/>
      <c r="I19" s="30"/>
      <c r="J19" s="30"/>
      <c r="K19"/>
    </row>
    <row r="20" spans="1:11" ht="15">
      <c r="A20" s="29"/>
      <c r="B20" s="30"/>
      <c r="C20" s="30"/>
      <c r="D20" s="30"/>
      <c r="E20" s="30"/>
      <c r="F20" s="30"/>
      <c r="G20" s="30"/>
      <c r="H20" s="30"/>
      <c r="I20" s="30"/>
      <c r="J20" s="30"/>
      <c r="K20"/>
    </row>
    <row r="21" spans="1:11" ht="15">
      <c r="A21" s="30"/>
      <c r="B21" s="30"/>
      <c r="C21" s="30"/>
      <c r="D21" s="30"/>
      <c r="E21" s="30"/>
      <c r="F21" s="30"/>
      <c r="G21" s="30"/>
      <c r="H21" s="30"/>
      <c r="I21" s="30"/>
      <c r="J21" s="30"/>
      <c r="K21"/>
    </row>
    <row r="22" spans="1:11" ht="15">
      <c r="A22" s="30"/>
      <c r="B22" s="30"/>
      <c r="C22" s="30"/>
      <c r="D22" s="30"/>
      <c r="E22" s="30"/>
      <c r="F22" s="30"/>
      <c r="G22" s="30"/>
      <c r="H22" s="30"/>
      <c r="I22" s="30"/>
      <c r="J22" s="30"/>
      <c r="K22"/>
    </row>
    <row r="23" spans="1:11" ht="15">
      <c r="A23" s="30"/>
      <c r="B23" s="30"/>
      <c r="C23" s="30"/>
      <c r="D23" s="30"/>
      <c r="E23" s="30"/>
      <c r="F23" s="30"/>
      <c r="G23" s="30"/>
      <c r="H23" s="30"/>
      <c r="I23" s="30"/>
      <c r="J23" s="30"/>
      <c r="K23"/>
    </row>
    <row r="24" spans="1:11" ht="15">
      <c r="A24" s="30"/>
      <c r="B24" s="30"/>
      <c r="C24" s="30"/>
      <c r="D24" s="30"/>
      <c r="E24" s="30"/>
      <c r="F24" s="30"/>
      <c r="G24" s="30"/>
      <c r="H24" s="30"/>
      <c r="I24" s="30"/>
      <c r="J24" s="30"/>
      <c r="K24"/>
    </row>
    <row r="25" spans="1:11" ht="15">
      <c r="A25" s="30"/>
      <c r="B25" s="30"/>
      <c r="C25" s="30"/>
      <c r="D25" s="30"/>
      <c r="E25" s="30"/>
      <c r="F25" s="30"/>
      <c r="G25" s="30"/>
      <c r="H25" s="30"/>
      <c r="I25" s="30"/>
      <c r="J25" s="30"/>
      <c r="K25"/>
    </row>
    <row r="26" spans="1:11" ht="15">
      <c r="A26" s="30"/>
      <c r="B26" s="30"/>
      <c r="C26" s="30"/>
      <c r="D26" s="30"/>
      <c r="E26" s="30"/>
      <c r="F26" s="30"/>
      <c r="G26" s="30"/>
      <c r="H26" s="30"/>
      <c r="I26" s="30"/>
      <c r="J26" s="30"/>
      <c r="K26"/>
    </row>
    <row r="27" spans="1:11" ht="15">
      <c r="A27" s="30"/>
      <c r="B27" s="30"/>
      <c r="C27" s="30"/>
      <c r="D27" s="30"/>
      <c r="E27" s="30"/>
      <c r="F27" s="30"/>
      <c r="G27" s="30"/>
      <c r="H27" s="30"/>
      <c r="I27" s="30"/>
      <c r="J27" s="30"/>
      <c r="K27"/>
    </row>
    <row r="28" spans="1:11" ht="15">
      <c r="A28" s="30"/>
      <c r="B28" s="30"/>
      <c r="C28" s="30"/>
      <c r="D28" s="30"/>
      <c r="E28" s="30"/>
      <c r="F28" s="30"/>
      <c r="G28" s="30"/>
      <c r="H28" s="30"/>
      <c r="I28" s="30"/>
      <c r="J28" s="30"/>
      <c r="K28"/>
    </row>
    <row r="29" spans="1:11" ht="15">
      <c r="A29" s="30"/>
      <c r="B29" s="30"/>
      <c r="C29" s="30"/>
      <c r="D29" s="30"/>
      <c r="E29" s="30"/>
      <c r="F29" s="30"/>
      <c r="G29" s="30"/>
      <c r="H29" s="30"/>
      <c r="I29" s="30"/>
      <c r="J29" s="30"/>
      <c r="K29"/>
    </row>
    <row r="30" spans="1:11" ht="15">
      <c r="A30" s="30"/>
      <c r="B30" s="30"/>
      <c r="C30" s="30"/>
      <c r="D30" s="30"/>
      <c r="E30" s="30"/>
      <c r="F30" s="30"/>
      <c r="G30" s="30"/>
      <c r="H30" s="30"/>
      <c r="I30" s="30"/>
      <c r="J30" s="30"/>
      <c r="K30"/>
    </row>
    <row r="31" spans="1:11" ht="15">
      <c r="A31" s="30"/>
      <c r="B31" s="30"/>
      <c r="C31" s="30"/>
      <c r="D31" s="30"/>
      <c r="E31" s="30"/>
      <c r="F31" s="30"/>
      <c r="G31" s="30"/>
      <c r="H31" s="30"/>
      <c r="I31" s="30"/>
      <c r="J31" s="30"/>
      <c r="K31"/>
    </row>
    <row r="32" spans="1:11" ht="15">
      <c r="A32" s="30"/>
      <c r="B32" s="30"/>
      <c r="C32" s="30"/>
      <c r="D32" s="30"/>
      <c r="E32" s="30"/>
      <c r="F32" s="30"/>
      <c r="G32" s="30"/>
      <c r="H32" s="30"/>
      <c r="I32" s="30"/>
      <c r="J32" s="30"/>
      <c r="K32"/>
    </row>
    <row r="33" spans="1:11" ht="15">
      <c r="A33" s="30"/>
      <c r="B33" s="30"/>
      <c r="C33" s="30"/>
      <c r="D33" s="30"/>
      <c r="E33" s="30"/>
      <c r="F33" s="30"/>
      <c r="G33" s="30"/>
      <c r="H33" s="30"/>
      <c r="I33" s="30"/>
      <c r="J33" s="30"/>
      <c r="K33"/>
    </row>
    <row r="34" spans="1:11" ht="15">
      <c r="A34" s="30"/>
      <c r="B34" s="30"/>
      <c r="C34" s="30"/>
      <c r="D34" s="30"/>
      <c r="E34" s="30"/>
      <c r="F34" s="30"/>
      <c r="G34" s="30"/>
      <c r="H34" s="30"/>
      <c r="I34" s="30"/>
      <c r="J34" s="30"/>
      <c r="K34"/>
    </row>
    <row r="35" spans="1:11" ht="15">
      <c r="A35" s="30"/>
      <c r="B35" s="30"/>
      <c r="C35" s="30"/>
      <c r="D35" s="30"/>
      <c r="E35" s="30"/>
      <c r="F35" s="30"/>
      <c r="G35" s="30"/>
      <c r="H35" s="30"/>
      <c r="I35" s="30"/>
      <c r="J35" s="30"/>
      <c r="K35"/>
    </row>
    <row r="36" spans="1:11" ht="15">
      <c r="A36" s="30"/>
      <c r="B36" s="30"/>
      <c r="C36" s="30"/>
      <c r="D36" s="30"/>
      <c r="E36" s="30"/>
      <c r="F36" s="30"/>
      <c r="G36" s="30"/>
      <c r="H36" s="30"/>
      <c r="I36" s="30"/>
      <c r="J36" s="30"/>
      <c r="K36"/>
    </row>
    <row r="37" spans="1:11" ht="15">
      <c r="A37" s="30"/>
      <c r="B37" s="30"/>
      <c r="C37" s="30"/>
      <c r="D37" s="30"/>
      <c r="E37" s="30"/>
      <c r="F37" s="30"/>
      <c r="G37" s="30"/>
      <c r="H37" s="30"/>
      <c r="I37" s="30"/>
      <c r="J37" s="30"/>
      <c r="K37"/>
    </row>
    <row r="38" spans="1:11" ht="15">
      <c r="A38" s="30"/>
      <c r="B38" s="30"/>
      <c r="C38" s="30"/>
      <c r="D38" s="30"/>
      <c r="E38" s="30"/>
      <c r="F38" s="30"/>
      <c r="G38" s="30"/>
      <c r="H38" s="30"/>
      <c r="I38" s="30"/>
      <c r="J38" s="30"/>
      <c r="K38"/>
    </row>
    <row r="39" spans="1:11" ht="15">
      <c r="A39" s="30"/>
      <c r="B39" s="30"/>
      <c r="C39" s="30"/>
      <c r="D39" s="30"/>
      <c r="E39" s="30"/>
      <c r="F39" s="30"/>
      <c r="G39" s="30"/>
      <c r="H39" s="30"/>
      <c r="I39" s="30"/>
      <c r="J39" s="30"/>
      <c r="K39"/>
    </row>
    <row r="40" spans="1:11" ht="15">
      <c r="A40" s="30"/>
      <c r="B40" s="30"/>
      <c r="C40" s="30"/>
      <c r="D40" s="30"/>
      <c r="E40" s="30"/>
      <c r="F40" s="30"/>
      <c r="G40" s="30"/>
      <c r="H40" s="30"/>
      <c r="I40" s="30"/>
      <c r="J40" s="30"/>
      <c r="K40"/>
    </row>
    <row r="41" spans="1:11" ht="15">
      <c r="A41" s="30"/>
      <c r="B41" s="30"/>
      <c r="C41" s="30"/>
      <c r="D41" s="30"/>
      <c r="E41" s="30"/>
      <c r="F41" s="30"/>
      <c r="G41" s="30"/>
      <c r="H41" s="30"/>
      <c r="I41" s="30"/>
      <c r="J41" s="30"/>
      <c r="K41"/>
    </row>
    <row r="42" spans="1:11" ht="15">
      <c r="A42" s="30"/>
      <c r="B42" s="30"/>
      <c r="C42" s="30"/>
      <c r="D42" s="30"/>
      <c r="E42" s="30"/>
      <c r="F42" s="30"/>
      <c r="G42" s="30"/>
      <c r="H42" s="30"/>
      <c r="I42" s="30"/>
      <c r="J42" s="30"/>
      <c r="K42"/>
    </row>
    <row r="43" spans="1:11" ht="15">
      <c r="A43" s="30"/>
      <c r="B43" s="30"/>
      <c r="C43" s="30"/>
      <c r="D43" s="30"/>
      <c r="E43" s="30"/>
      <c r="F43" s="30"/>
      <c r="G43" s="30"/>
      <c r="H43" s="30"/>
      <c r="I43" s="30"/>
      <c r="J43" s="30"/>
      <c r="K43"/>
    </row>
    <row r="44" spans="1:11" ht="15">
      <c r="A44" s="30"/>
      <c r="B44" s="30"/>
      <c r="C44" s="30"/>
      <c r="D44" s="30"/>
      <c r="E44" s="30"/>
      <c r="F44" s="30"/>
      <c r="G44" s="30"/>
      <c r="H44" s="30"/>
      <c r="I44" s="30"/>
      <c r="J44" s="30"/>
      <c r="K44"/>
    </row>
    <row r="45" spans="1:11" ht="15">
      <c r="A45" s="30"/>
      <c r="B45" s="30"/>
      <c r="C45" s="30"/>
      <c r="D45" s="30"/>
      <c r="E45" s="30"/>
      <c r="F45" s="30"/>
      <c r="G45" s="30"/>
      <c r="H45" s="30"/>
      <c r="I45" s="30"/>
      <c r="J45" s="30"/>
      <c r="K45"/>
    </row>
    <row r="46" spans="1:11" ht="15">
      <c r="A46" s="30"/>
      <c r="B46" s="30"/>
      <c r="C46" s="30"/>
      <c r="D46" s="30"/>
      <c r="E46" s="30"/>
      <c r="F46" s="30"/>
      <c r="G46" s="30"/>
      <c r="H46" s="30"/>
      <c r="I46" s="30"/>
      <c r="J46" s="30"/>
      <c r="K46"/>
    </row>
    <row r="47" spans="1:11" ht="15">
      <c r="A47" s="30"/>
      <c r="B47" s="30"/>
      <c r="C47" s="30"/>
      <c r="D47" s="30"/>
      <c r="E47" s="30"/>
      <c r="F47" s="30"/>
      <c r="G47" s="30"/>
      <c r="H47" s="30"/>
      <c r="I47" s="30"/>
      <c r="J47" s="30"/>
      <c r="K47"/>
    </row>
    <row r="48" spans="1:11" ht="15">
      <c r="A48" s="30"/>
      <c r="B48" s="30"/>
      <c r="C48" s="30"/>
      <c r="D48" s="30"/>
      <c r="E48" s="30"/>
      <c r="F48" s="30"/>
      <c r="G48" s="30"/>
      <c r="H48" s="30"/>
      <c r="I48" s="30"/>
      <c r="J48" s="30"/>
      <c r="K48"/>
    </row>
    <row r="49" spans="1:11" ht="15">
      <c r="A49" s="30"/>
      <c r="B49" s="30"/>
      <c r="C49" s="30"/>
      <c r="D49" s="30"/>
      <c r="E49" s="30"/>
      <c r="F49" s="30"/>
      <c r="G49" s="30"/>
      <c r="H49" s="30"/>
      <c r="I49" s="30"/>
      <c r="J49" s="30"/>
      <c r="K49"/>
    </row>
    <row r="50" spans="1:11" ht="15">
      <c r="A50" s="30"/>
      <c r="B50" s="30"/>
      <c r="C50" s="30"/>
      <c r="D50" s="30"/>
      <c r="E50" s="30"/>
      <c r="F50" s="30"/>
      <c r="G50" s="30"/>
      <c r="H50" s="30"/>
      <c r="I50" s="30"/>
      <c r="J50" s="30"/>
      <c r="K50"/>
    </row>
    <row r="51" spans="1:11" ht="15">
      <c r="A51" s="30"/>
      <c r="B51" s="30"/>
      <c r="C51" s="30"/>
      <c r="D51" s="30"/>
      <c r="E51" s="30"/>
      <c r="F51" s="30"/>
      <c r="G51" s="30"/>
      <c r="H51" s="30"/>
      <c r="I51" s="30"/>
      <c r="J51" s="30"/>
      <c r="K51"/>
    </row>
    <row r="52" spans="1:11" ht="15">
      <c r="A52" s="30"/>
      <c r="B52" s="30"/>
      <c r="C52" s="30"/>
      <c r="D52" s="30"/>
      <c r="E52" s="30"/>
      <c r="F52" s="30"/>
      <c r="G52" s="30"/>
      <c r="H52" s="30"/>
      <c r="I52" s="30"/>
      <c r="J52" s="30"/>
      <c r="K52"/>
    </row>
    <row r="53" spans="1:11" ht="15">
      <c r="A53" s="30"/>
      <c r="B53" s="30"/>
      <c r="C53" s="30"/>
      <c r="D53" s="30"/>
      <c r="E53" s="30"/>
      <c r="F53" s="30"/>
      <c r="G53" s="30"/>
      <c r="H53" s="30"/>
      <c r="I53" s="30"/>
      <c r="J53" s="30"/>
      <c r="K53"/>
    </row>
    <row r="54" spans="1:11" ht="15">
      <c r="A54" s="30"/>
      <c r="B54" s="30"/>
      <c r="C54" s="30"/>
      <c r="D54" s="30"/>
      <c r="E54" s="30"/>
      <c r="F54" s="30"/>
      <c r="G54" s="30"/>
      <c r="H54" s="30"/>
      <c r="I54" s="30"/>
      <c r="J54" s="30"/>
      <c r="K54"/>
    </row>
    <row r="55" spans="1:11" ht="15">
      <c r="A55" s="30"/>
      <c r="B55" s="30"/>
      <c r="C55" s="30"/>
      <c r="D55" s="30"/>
      <c r="E55" s="30"/>
      <c r="F55" s="30"/>
      <c r="G55" s="30"/>
      <c r="H55" s="30"/>
      <c r="I55" s="30"/>
      <c r="J55" s="30"/>
      <c r="K55"/>
    </row>
    <row r="56" spans="1:11" ht="15">
      <c r="A56" s="30"/>
      <c r="B56" s="30"/>
      <c r="C56" s="30"/>
      <c r="D56" s="30"/>
      <c r="E56" s="30"/>
      <c r="F56" s="30"/>
      <c r="G56" s="30"/>
      <c r="H56" s="30"/>
      <c r="I56" s="30"/>
      <c r="J56" s="30"/>
      <c r="K56"/>
    </row>
    <row r="57" spans="1:11" ht="15">
      <c r="A57" s="30"/>
      <c r="B57" s="30"/>
      <c r="C57" s="30"/>
      <c r="D57" s="30"/>
      <c r="E57" s="30"/>
      <c r="F57" s="30"/>
      <c r="G57" s="30"/>
      <c r="H57" s="30"/>
      <c r="I57" s="30"/>
      <c r="J57" s="30"/>
      <c r="K57"/>
    </row>
    <row r="58" spans="1:11" ht="15">
      <c r="A58" s="30"/>
      <c r="B58" s="30"/>
      <c r="C58" s="30"/>
      <c r="D58" s="30"/>
      <c r="E58" s="30"/>
      <c r="F58" s="30"/>
      <c r="G58" s="30"/>
      <c r="H58" s="30"/>
      <c r="I58" s="30"/>
      <c r="J58" s="30"/>
      <c r="K58"/>
    </row>
    <row r="59" spans="1:11" ht="15">
      <c r="A59" s="30"/>
      <c r="B59" s="30"/>
      <c r="C59" s="30"/>
      <c r="D59" s="30"/>
      <c r="E59" s="30"/>
      <c r="F59" s="30"/>
      <c r="G59" s="30"/>
      <c r="H59" s="30"/>
      <c r="I59" s="30"/>
      <c r="J59" s="30"/>
      <c r="K59"/>
    </row>
    <row r="60" spans="1:11" ht="15">
      <c r="A60" s="30"/>
      <c r="B60" s="30"/>
      <c r="C60" s="30"/>
      <c r="D60" s="30"/>
      <c r="E60" s="30"/>
      <c r="F60" s="30"/>
      <c r="G60" s="30"/>
      <c r="H60" s="30"/>
      <c r="I60" s="30"/>
      <c r="J60" s="30"/>
      <c r="K60"/>
    </row>
    <row r="61" spans="1:11" ht="15">
      <c r="A61" s="30"/>
      <c r="B61" s="30"/>
      <c r="C61" s="30"/>
      <c r="D61" s="30"/>
      <c r="E61" s="30"/>
      <c r="F61" s="30"/>
      <c r="G61" s="30"/>
      <c r="H61" s="30"/>
      <c r="I61" s="30"/>
      <c r="J61" s="30"/>
      <c r="K61"/>
    </row>
    <row r="62" spans="1:11" ht="15">
      <c r="A62" s="30"/>
      <c r="B62" s="30"/>
      <c r="C62" s="30"/>
      <c r="D62" s="30"/>
      <c r="E62" s="30"/>
      <c r="F62" s="30"/>
      <c r="G62" s="30"/>
      <c r="H62" s="30"/>
      <c r="I62" s="30"/>
      <c r="J62" s="30"/>
      <c r="K62"/>
    </row>
    <row r="63" spans="1:11" ht="15">
      <c r="A63" s="30"/>
      <c r="B63" s="30"/>
      <c r="C63" s="30"/>
      <c r="D63" s="30"/>
      <c r="E63" s="30"/>
      <c r="F63" s="30"/>
      <c r="G63" s="30"/>
      <c r="H63" s="30"/>
      <c r="I63" s="30"/>
      <c r="J63" s="30"/>
      <c r="K63"/>
    </row>
    <row r="64" spans="1:11" ht="15">
      <c r="A64" s="30"/>
      <c r="B64" s="30"/>
      <c r="C64" s="30"/>
      <c r="D64" s="30"/>
      <c r="E64" s="30"/>
      <c r="F64" s="30"/>
      <c r="G64" s="30"/>
      <c r="H64" s="30"/>
      <c r="I64" s="30"/>
      <c r="J64" s="30"/>
      <c r="K64"/>
    </row>
    <row r="65" spans="1:11" ht="15">
      <c r="A65" s="30"/>
      <c r="B65" s="30"/>
      <c r="C65" s="30"/>
      <c r="D65" s="30"/>
      <c r="E65" s="30"/>
      <c r="F65" s="30"/>
      <c r="G65" s="30"/>
      <c r="H65" s="30"/>
      <c r="I65" s="30"/>
      <c r="J65" s="30"/>
      <c r="K65"/>
    </row>
    <row r="66" spans="1:11" ht="15">
      <c r="A66" s="30"/>
      <c r="B66" s="30"/>
      <c r="C66" s="30"/>
      <c r="D66" s="30"/>
      <c r="E66" s="30"/>
      <c r="F66" s="30"/>
      <c r="G66" s="30"/>
      <c r="H66" s="30"/>
      <c r="I66" s="30"/>
      <c r="J66" s="30"/>
      <c r="K66"/>
    </row>
    <row r="67" spans="1:11" ht="15">
      <c r="A67" s="30"/>
      <c r="B67" s="30"/>
      <c r="C67" s="30"/>
      <c r="D67" s="30"/>
      <c r="E67" s="30"/>
      <c r="F67" s="30"/>
      <c r="G67" s="30"/>
      <c r="H67" s="30"/>
      <c r="I67" s="30"/>
      <c r="J67" s="30"/>
      <c r="K67"/>
    </row>
    <row r="68" spans="1:11" ht="15">
      <c r="A68" s="30"/>
      <c r="B68" s="30"/>
      <c r="C68" s="30"/>
      <c r="D68" s="30"/>
      <c r="E68" s="30"/>
      <c r="F68" s="30"/>
      <c r="G68" s="30"/>
      <c r="H68" s="30"/>
      <c r="I68" s="30"/>
      <c r="J68" s="30"/>
      <c r="K68"/>
    </row>
    <row r="69" spans="1:11" ht="15">
      <c r="A69" s="30"/>
      <c r="B69" s="30"/>
      <c r="C69" s="30"/>
      <c r="D69" s="30"/>
      <c r="E69" s="30"/>
      <c r="F69" s="30"/>
      <c r="G69" s="30"/>
      <c r="H69" s="30"/>
      <c r="I69" s="30"/>
      <c r="J69" s="30"/>
      <c r="K69"/>
    </row>
    <row r="70" spans="1:11" ht="15">
      <c r="A70" s="30"/>
      <c r="B70" s="30"/>
      <c r="C70" s="30"/>
      <c r="D70" s="30"/>
      <c r="E70" s="30"/>
      <c r="F70" s="30"/>
      <c r="G70" s="30"/>
      <c r="H70" s="30"/>
      <c r="I70" s="30"/>
      <c r="J70" s="30"/>
      <c r="K70"/>
    </row>
    <row r="71" spans="1:11" ht="15">
      <c r="A71" s="30"/>
      <c r="B71" s="30"/>
      <c r="C71" s="30"/>
      <c r="D71" s="30"/>
      <c r="E71" s="30"/>
      <c r="F71" s="30"/>
      <c r="G71" s="30"/>
      <c r="H71" s="30"/>
      <c r="I71" s="30"/>
      <c r="J71" s="30"/>
      <c r="K71"/>
    </row>
    <row r="72" spans="1:11" ht="15">
      <c r="A72" s="30"/>
      <c r="B72" s="30"/>
      <c r="C72" s="30"/>
      <c r="D72" s="30"/>
      <c r="E72" s="30"/>
      <c r="F72" s="30"/>
      <c r="G72" s="30"/>
      <c r="H72" s="30"/>
      <c r="I72" s="30"/>
      <c r="J72" s="30"/>
      <c r="K72"/>
    </row>
    <row r="73" spans="1:11" ht="15">
      <c r="A73" s="30"/>
      <c r="B73" s="30"/>
      <c r="C73" s="30"/>
      <c r="D73" s="30"/>
      <c r="E73" s="30"/>
      <c r="F73" s="30"/>
      <c r="G73" s="30"/>
      <c r="H73" s="30"/>
      <c r="I73" s="30"/>
      <c r="J73" s="30"/>
      <c r="K73"/>
    </row>
    <row r="74" spans="1:11" ht="15">
      <c r="A74" s="30"/>
      <c r="B74" s="30"/>
      <c r="C74" s="30"/>
      <c r="D74" s="30"/>
      <c r="E74" s="30"/>
      <c r="F74" s="30"/>
      <c r="G74" s="30"/>
      <c r="H74" s="30"/>
      <c r="I74" s="30"/>
      <c r="J74" s="30"/>
      <c r="K74"/>
    </row>
    <row r="75" spans="1:11" ht="15">
      <c r="A75" s="30"/>
      <c r="B75" s="30"/>
      <c r="C75" s="30"/>
      <c r="D75" s="30"/>
      <c r="E75" s="30"/>
      <c r="F75" s="30"/>
      <c r="G75" s="30"/>
      <c r="H75" s="30"/>
      <c r="I75" s="30"/>
      <c r="J75" s="30"/>
      <c r="K75"/>
    </row>
    <row r="76" spans="1:11" ht="15">
      <c r="A76" s="30"/>
      <c r="B76" s="30"/>
      <c r="C76" s="30"/>
      <c r="D76" s="30"/>
      <c r="E76" s="30"/>
      <c r="F76" s="30"/>
      <c r="G76" s="30"/>
      <c r="H76" s="30"/>
      <c r="I76" s="30"/>
      <c r="J76" s="30"/>
      <c r="K76"/>
    </row>
    <row r="77" spans="1:11" ht="15">
      <c r="A77" s="30"/>
      <c r="B77" s="30"/>
      <c r="C77" s="30"/>
      <c r="D77" s="30"/>
      <c r="E77" s="30"/>
      <c r="F77" s="30"/>
      <c r="G77" s="30"/>
      <c r="H77" s="30"/>
      <c r="I77" s="30"/>
      <c r="J77" s="30"/>
      <c r="K77"/>
    </row>
    <row r="78" spans="1:11" ht="15">
      <c r="A78" s="30"/>
      <c r="B78" s="30"/>
      <c r="C78" s="30"/>
      <c r="D78" s="30"/>
      <c r="E78" s="30"/>
      <c r="F78" s="30"/>
      <c r="G78" s="30"/>
      <c r="H78" s="30"/>
      <c r="I78" s="30"/>
      <c r="J78" s="30"/>
      <c r="K78"/>
    </row>
    <row r="79" spans="1:11" ht="15">
      <c r="A79" s="30"/>
      <c r="B79" s="30"/>
      <c r="C79" s="30"/>
      <c r="D79" s="30"/>
      <c r="E79" s="30"/>
      <c r="F79" s="30"/>
      <c r="G79" s="30"/>
      <c r="H79" s="30"/>
      <c r="I79" s="30"/>
      <c r="J79" s="30"/>
      <c r="K79"/>
    </row>
    <row r="80" spans="1:11" ht="15">
      <c r="A80" s="30"/>
      <c r="B80" s="30"/>
      <c r="C80" s="30"/>
      <c r="D80" s="30"/>
      <c r="E80" s="30"/>
      <c r="F80" s="30"/>
      <c r="G80" s="30"/>
      <c r="H80" s="30"/>
      <c r="I80" s="30"/>
      <c r="J80" s="30"/>
      <c r="K80"/>
    </row>
    <row r="81" spans="1:11" ht="15">
      <c r="A81" s="30"/>
      <c r="B81" s="30"/>
      <c r="C81" s="30"/>
      <c r="D81" s="30"/>
      <c r="E81" s="30"/>
      <c r="F81" s="30"/>
      <c r="G81" s="30"/>
      <c r="H81" s="30"/>
      <c r="I81" s="30"/>
      <c r="J81" s="30"/>
      <c r="K81"/>
    </row>
    <row r="82" spans="1:11" ht="15">
      <c r="A82" s="30"/>
      <c r="B82" s="30"/>
      <c r="C82" s="30"/>
      <c r="D82" s="30"/>
      <c r="E82" s="30"/>
      <c r="F82" s="30"/>
      <c r="G82" s="30"/>
      <c r="H82" s="30"/>
      <c r="I82" s="30"/>
      <c r="J82" s="30"/>
      <c r="K82"/>
    </row>
    <row r="83" spans="1:11" ht="15">
      <c r="A83" s="30"/>
      <c r="B83" s="30"/>
      <c r="C83" s="30"/>
      <c r="D83" s="30"/>
      <c r="E83" s="30"/>
      <c r="F83" s="30"/>
      <c r="G83" s="30"/>
      <c r="H83" s="30"/>
      <c r="I83" s="30"/>
      <c r="J83" s="30"/>
      <c r="K83"/>
    </row>
    <row r="84" spans="1:11" ht="15">
      <c r="A84" s="30"/>
      <c r="B84" s="30"/>
      <c r="C84" s="30"/>
      <c r="D84" s="30"/>
      <c r="E84" s="30"/>
      <c r="F84" s="30"/>
      <c r="G84" s="30"/>
      <c r="H84" s="30"/>
      <c r="I84" s="30"/>
      <c r="J84" s="30"/>
      <c r="K84"/>
    </row>
    <row r="85" spans="1:11" ht="15">
      <c r="A85" s="30"/>
      <c r="B85" s="30"/>
      <c r="C85" s="30"/>
      <c r="D85" s="30"/>
      <c r="E85" s="30"/>
      <c r="F85" s="30"/>
      <c r="G85" s="30"/>
      <c r="H85" s="30"/>
      <c r="I85" s="30"/>
      <c r="J85" s="30"/>
      <c r="K85"/>
    </row>
    <row r="86" spans="1:11" ht="15">
      <c r="A86" s="30"/>
      <c r="B86" s="30"/>
      <c r="C86" s="30"/>
      <c r="D86" s="30"/>
      <c r="E86" s="30"/>
      <c r="F86" s="30"/>
      <c r="G86" s="30"/>
      <c r="H86" s="30"/>
      <c r="I86" s="30"/>
      <c r="J86" s="30"/>
      <c r="K86"/>
    </row>
    <row r="87" spans="1:11" ht="15">
      <c r="A87" s="30"/>
      <c r="B87" s="30"/>
      <c r="C87" s="30"/>
      <c r="D87" s="30"/>
      <c r="E87" s="30"/>
      <c r="F87" s="30"/>
      <c r="G87" s="30"/>
      <c r="H87" s="30"/>
      <c r="I87" s="30"/>
      <c r="J87" s="30"/>
      <c r="K87"/>
    </row>
    <row r="88" spans="1:11" ht="15">
      <c r="A88" s="30"/>
      <c r="B88" s="30"/>
      <c r="C88" s="30"/>
      <c r="D88" s="30"/>
      <c r="E88" s="30"/>
      <c r="F88" s="30"/>
      <c r="G88" s="30"/>
      <c r="H88" s="30"/>
      <c r="I88" s="30"/>
      <c r="J88" s="30"/>
      <c r="K88"/>
    </row>
    <row r="89" spans="1:11" ht="15">
      <c r="A89" s="30"/>
      <c r="B89" s="30"/>
      <c r="C89" s="30"/>
      <c r="D89" s="30"/>
      <c r="E89" s="30"/>
      <c r="F89" s="30"/>
      <c r="G89" s="30"/>
      <c r="H89" s="30"/>
      <c r="I89" s="30"/>
      <c r="J89" s="30"/>
      <c r="K89"/>
    </row>
    <row r="90" spans="1:11" ht="15">
      <c r="A90" s="30"/>
      <c r="B90" s="30"/>
      <c r="C90" s="30"/>
      <c r="D90" s="30"/>
      <c r="E90" s="30"/>
      <c r="F90" s="30"/>
      <c r="G90" s="30"/>
      <c r="H90" s="30"/>
      <c r="I90" s="30"/>
      <c r="J90" s="30"/>
      <c r="K90"/>
    </row>
    <row r="91" spans="1:11" ht="15">
      <c r="A91" s="30"/>
      <c r="B91" s="30"/>
      <c r="C91" s="30"/>
      <c r="D91" s="30"/>
      <c r="E91" s="30"/>
      <c r="F91" s="30"/>
      <c r="G91" s="30"/>
      <c r="H91" s="30"/>
      <c r="I91" s="30"/>
      <c r="J91" s="30"/>
      <c r="K91"/>
    </row>
    <row r="92" spans="1:11" ht="15">
      <c r="A92" s="30"/>
      <c r="B92" s="30"/>
      <c r="C92" s="30"/>
      <c r="D92" s="30"/>
      <c r="E92" s="30"/>
      <c r="F92" s="30"/>
      <c r="G92" s="30"/>
      <c r="H92" s="30"/>
      <c r="I92" s="30"/>
      <c r="J92" s="30"/>
      <c r="K92"/>
    </row>
    <row r="93" spans="1:11" ht="15">
      <c r="A93" s="30"/>
      <c r="B93" s="30"/>
      <c r="C93" s="30"/>
      <c r="D93" s="30"/>
      <c r="E93" s="30"/>
      <c r="F93" s="30"/>
      <c r="G93" s="30"/>
      <c r="H93" s="30"/>
      <c r="I93" s="30"/>
      <c r="J93" s="30"/>
      <c r="K93"/>
    </row>
    <row r="94" spans="1:11" ht="15">
      <c r="A94" s="30"/>
      <c r="B94" s="30"/>
      <c r="C94" s="30"/>
      <c r="D94" s="30"/>
      <c r="E94" s="30"/>
      <c r="F94" s="30"/>
      <c r="G94" s="30"/>
      <c r="H94" s="30"/>
      <c r="I94" s="30"/>
      <c r="J94" s="30"/>
      <c r="K94"/>
    </row>
    <row r="95" spans="1:11" ht="15">
      <c r="A95" s="30"/>
      <c r="B95" s="30"/>
      <c r="C95" s="30"/>
      <c r="D95" s="30"/>
      <c r="E95" s="30"/>
      <c r="F95" s="30"/>
      <c r="G95" s="30"/>
      <c r="H95" s="30"/>
      <c r="I95" s="30"/>
      <c r="J95" s="30"/>
      <c r="K95"/>
    </row>
    <row r="96" spans="1:11" ht="15">
      <c r="A96" s="30"/>
      <c r="B96" s="30"/>
      <c r="C96" s="30"/>
      <c r="D96" s="30"/>
      <c r="E96" s="30"/>
      <c r="F96" s="30"/>
      <c r="G96" s="30"/>
      <c r="H96" s="30"/>
      <c r="I96" s="30"/>
      <c r="J96" s="30"/>
      <c r="K96"/>
    </row>
    <row r="97" spans="1:11" ht="15">
      <c r="A97" s="30"/>
      <c r="B97" s="30"/>
      <c r="C97" s="30"/>
      <c r="D97" s="30"/>
      <c r="E97" s="30"/>
      <c r="F97" s="30"/>
      <c r="G97" s="30"/>
      <c r="H97" s="30"/>
      <c r="I97" s="30"/>
      <c r="J97" s="30"/>
      <c r="K97"/>
    </row>
    <row r="98" spans="1:11" ht="15">
      <c r="A98" s="30"/>
      <c r="B98" s="30"/>
      <c r="C98" s="30"/>
      <c r="D98" s="30"/>
      <c r="E98" s="30"/>
      <c r="F98" s="30"/>
      <c r="G98" s="30"/>
      <c r="H98" s="30"/>
      <c r="I98" s="30"/>
      <c r="J98" s="30"/>
      <c r="K98"/>
    </row>
    <row r="99" spans="1:11" ht="15">
      <c r="A99" s="30"/>
      <c r="B99" s="30"/>
      <c r="C99" s="30"/>
      <c r="D99" s="30"/>
      <c r="E99" s="30"/>
      <c r="F99" s="30"/>
      <c r="G99" s="30"/>
      <c r="H99" s="30"/>
      <c r="I99" s="30"/>
      <c r="J99" s="30"/>
      <c r="K99"/>
    </row>
    <row r="100" spans="1:11" ht="15">
      <c r="A100" s="30"/>
      <c r="B100" s="30"/>
      <c r="C100" s="30"/>
      <c r="D100" s="30"/>
      <c r="E100" s="30"/>
      <c r="F100" s="30"/>
      <c r="G100" s="30"/>
      <c r="H100" s="30"/>
      <c r="I100" s="30"/>
      <c r="J100" s="30"/>
      <c r="K100"/>
    </row>
    <row r="101" spans="1:11" ht="15">
      <c r="A101" s="30"/>
      <c r="B101" s="30"/>
      <c r="C101" s="30"/>
      <c r="D101" s="30"/>
      <c r="E101" s="30"/>
      <c r="F101" s="30"/>
      <c r="G101" s="30"/>
      <c r="H101" s="30"/>
      <c r="I101" s="30"/>
      <c r="J101" s="30"/>
      <c r="K101"/>
    </row>
    <row r="102" spans="1:11" ht="15">
      <c r="A102" s="30"/>
      <c r="B102" s="30"/>
      <c r="C102" s="30"/>
      <c r="D102" s="30"/>
      <c r="E102" s="30"/>
      <c r="F102" s="30"/>
      <c r="G102" s="30"/>
      <c r="H102" s="30"/>
      <c r="I102" s="30"/>
      <c r="J102" s="30"/>
      <c r="K102"/>
    </row>
    <row r="103" spans="1:11" ht="15">
      <c r="A103" s="30"/>
      <c r="B103" s="30"/>
      <c r="C103" s="30"/>
      <c r="D103" s="30"/>
      <c r="E103" s="30"/>
      <c r="F103" s="30"/>
      <c r="G103" s="30"/>
      <c r="H103" s="30"/>
      <c r="I103" s="30"/>
      <c r="J103" s="30"/>
      <c r="K103"/>
    </row>
    <row r="104" spans="1:11" ht="15">
      <c r="A104" s="30"/>
      <c r="B104" s="30"/>
      <c r="C104" s="30"/>
      <c r="D104" s="30"/>
      <c r="E104" s="30"/>
      <c r="F104" s="30"/>
      <c r="G104" s="30"/>
      <c r="H104" s="30"/>
      <c r="I104" s="30"/>
      <c r="J104" s="30"/>
      <c r="K104"/>
    </row>
    <row r="105" spans="1:11" ht="15">
      <c r="A105" s="30"/>
      <c r="B105" s="30"/>
      <c r="C105" s="30"/>
      <c r="D105" s="30"/>
      <c r="E105" s="30"/>
      <c r="F105" s="30"/>
      <c r="G105" s="30"/>
      <c r="H105" s="30"/>
      <c r="I105" s="30"/>
      <c r="J105" s="30"/>
      <c r="K105"/>
    </row>
    <row r="106" spans="1:11" ht="15">
      <c r="A106" s="30"/>
      <c r="B106" s="30"/>
      <c r="C106" s="30"/>
      <c r="D106" s="30"/>
      <c r="E106" s="30"/>
      <c r="F106" s="30"/>
      <c r="G106" s="30"/>
      <c r="H106" s="30"/>
      <c r="I106" s="30"/>
      <c r="J106" s="30"/>
      <c r="K106"/>
    </row>
    <row r="107" spans="1:11" ht="15">
      <c r="A107" s="30"/>
      <c r="B107" s="30"/>
      <c r="C107" s="30"/>
      <c r="D107" s="30"/>
      <c r="E107" s="30"/>
      <c r="F107" s="30"/>
      <c r="G107" s="30"/>
      <c r="H107" s="30"/>
      <c r="I107" s="30"/>
      <c r="J107" s="30"/>
      <c r="K107"/>
    </row>
    <row r="108" spans="1:11" ht="15">
      <c r="A108" s="30"/>
      <c r="B108" s="30"/>
      <c r="C108" s="30"/>
      <c r="D108" s="30"/>
      <c r="E108" s="30"/>
      <c r="F108" s="30"/>
      <c r="G108" s="30"/>
      <c r="H108" s="30"/>
      <c r="I108" s="30"/>
      <c r="J108" s="30"/>
      <c r="K108"/>
    </row>
    <row r="109" spans="1:11" ht="15">
      <c r="A109" s="30"/>
      <c r="B109" s="30"/>
      <c r="C109" s="30"/>
      <c r="D109" s="30"/>
      <c r="E109" s="30"/>
      <c r="F109" s="30"/>
      <c r="G109" s="30"/>
      <c r="H109" s="30"/>
      <c r="I109" s="30"/>
      <c r="J109" s="30"/>
      <c r="K109"/>
    </row>
    <row r="110" spans="1:11" ht="15">
      <c r="A110" s="30"/>
      <c r="B110" s="30"/>
      <c r="C110" s="30"/>
      <c r="D110" s="30"/>
      <c r="E110" s="30"/>
      <c r="F110" s="30"/>
      <c r="G110" s="30"/>
      <c r="H110" s="30"/>
      <c r="I110" s="30"/>
      <c r="J110" s="30"/>
      <c r="K110"/>
    </row>
    <row r="111" spans="1:11" ht="15">
      <c r="A111" s="30"/>
      <c r="B111" s="30"/>
      <c r="C111" s="30"/>
      <c r="D111" s="30"/>
      <c r="E111" s="30"/>
      <c r="F111" s="30"/>
      <c r="G111" s="30"/>
      <c r="H111" s="30"/>
      <c r="I111" s="30"/>
      <c r="J111" s="30"/>
      <c r="K111"/>
    </row>
    <row r="112" spans="1:11" ht="15">
      <c r="A112" s="30"/>
      <c r="B112" s="30"/>
      <c r="C112" s="30"/>
      <c r="D112" s="30"/>
      <c r="E112" s="30"/>
      <c r="F112" s="30"/>
      <c r="G112" s="30"/>
      <c r="H112" s="30"/>
      <c r="I112" s="30"/>
      <c r="J112" s="30"/>
      <c r="K112"/>
    </row>
    <row r="113" spans="1:11" ht="15">
      <c r="A113" s="30"/>
      <c r="B113" s="30"/>
      <c r="C113" s="30"/>
      <c r="D113" s="30"/>
      <c r="E113" s="30"/>
      <c r="F113" s="30"/>
      <c r="G113" s="30"/>
      <c r="H113" s="30"/>
      <c r="I113" s="30"/>
      <c r="J113" s="30"/>
      <c r="K113"/>
    </row>
    <row r="114" spans="1:11" ht="15">
      <c r="A114" s="30"/>
      <c r="B114" s="30"/>
      <c r="C114" s="30"/>
      <c r="D114" s="30"/>
      <c r="E114" s="30"/>
      <c r="F114" s="30"/>
      <c r="G114" s="30"/>
      <c r="H114" s="30"/>
      <c r="I114" s="30"/>
      <c r="J114" s="30"/>
      <c r="K114"/>
    </row>
    <row r="115" spans="1:11" ht="15">
      <c r="A115" s="30"/>
      <c r="B115" s="30"/>
      <c r="C115" s="30"/>
      <c r="D115" s="30"/>
      <c r="E115" s="30"/>
      <c r="F115" s="30"/>
      <c r="G115" s="30"/>
      <c r="H115" s="30"/>
      <c r="I115" s="30"/>
      <c r="J115" s="30"/>
      <c r="K115"/>
    </row>
    <row r="116" spans="1:11" ht="15">
      <c r="A116" s="30"/>
      <c r="B116" s="30"/>
      <c r="C116" s="30"/>
      <c r="D116" s="30"/>
      <c r="E116" s="30"/>
      <c r="F116" s="30"/>
      <c r="G116" s="30"/>
      <c r="H116" s="30"/>
      <c r="I116" s="30"/>
      <c r="J116" s="30"/>
      <c r="K116"/>
    </row>
    <row r="117" spans="1:11" ht="15">
      <c r="A117" s="30"/>
      <c r="B117" s="30"/>
      <c r="C117" s="30"/>
      <c r="D117" s="30"/>
      <c r="E117" s="30"/>
      <c r="F117" s="30"/>
      <c r="G117" s="30"/>
      <c r="H117" s="30"/>
      <c r="I117" s="30"/>
      <c r="J117" s="30"/>
      <c r="K117" s="30"/>
    </row>
    <row r="118" spans="1:11" ht="15">
      <c r="A118" s="30"/>
      <c r="B118" s="30"/>
      <c r="C118" s="30"/>
      <c r="D118" s="30"/>
      <c r="E118" s="30"/>
      <c r="F118" s="30"/>
      <c r="G118" s="30"/>
      <c r="H118" s="30"/>
      <c r="I118" s="30"/>
      <c r="J118" s="30"/>
      <c r="K118" s="30"/>
    </row>
    <row r="119" spans="1:11" ht="15">
      <c r="A119" s="30"/>
      <c r="B119" s="30"/>
      <c r="C119" s="30"/>
      <c r="D119" s="30"/>
      <c r="E119" s="30"/>
      <c r="F119" s="30"/>
      <c r="G119" s="30"/>
      <c r="H119" s="30"/>
      <c r="I119" s="30"/>
      <c r="J119" s="30"/>
      <c r="K119" s="30"/>
    </row>
    <row r="120" spans="1:11" ht="15">
      <c r="A120" s="30"/>
      <c r="B120" s="30"/>
      <c r="C120" s="30"/>
      <c r="D120" s="30"/>
      <c r="E120" s="30"/>
      <c r="F120" s="30"/>
      <c r="G120" s="30"/>
      <c r="H120" s="30"/>
      <c r="I120" s="30"/>
      <c r="J120" s="30"/>
      <c r="K120" s="30"/>
    </row>
    <row r="121" spans="1:11" ht="15">
      <c r="A121" s="30"/>
      <c r="B121" s="30"/>
      <c r="C121" s="30"/>
      <c r="D121" s="30"/>
      <c r="E121" s="30"/>
      <c r="F121" s="30"/>
      <c r="G121" s="30"/>
      <c r="H121" s="30"/>
      <c r="I121" s="30"/>
      <c r="J121" s="30"/>
      <c r="K121" s="30"/>
    </row>
    <row r="122" spans="1:11" ht="15">
      <c r="A122" s="30"/>
      <c r="B122" s="30"/>
      <c r="C122" s="30"/>
      <c r="D122" s="30"/>
      <c r="E122" s="30"/>
      <c r="F122" s="30"/>
      <c r="G122" s="30"/>
      <c r="H122" s="30"/>
      <c r="I122" s="30"/>
      <c r="J122" s="30"/>
      <c r="K122" s="30"/>
    </row>
    <row r="123" spans="1:11" ht="15">
      <c r="A123" s="30"/>
      <c r="B123" s="30"/>
      <c r="C123" s="30"/>
      <c r="D123" s="30"/>
      <c r="E123" s="30"/>
      <c r="F123" s="30"/>
      <c r="G123" s="30"/>
      <c r="H123" s="30"/>
      <c r="I123" s="30"/>
      <c r="J123" s="30"/>
      <c r="K123" s="30"/>
    </row>
    <row r="124" spans="1:11" ht="15">
      <c r="A124" s="30"/>
      <c r="B124" s="30"/>
      <c r="C124" s="30"/>
      <c r="D124" s="30"/>
      <c r="E124" s="30"/>
      <c r="F124" s="30"/>
      <c r="G124" s="30"/>
      <c r="H124" s="30"/>
      <c r="I124" s="30"/>
      <c r="J124" s="30"/>
      <c r="K124" s="30"/>
    </row>
    <row r="125" spans="1:11" ht="15">
      <c r="A125" s="30"/>
      <c r="B125" s="30"/>
      <c r="C125" s="30"/>
      <c r="D125" s="30"/>
      <c r="E125" s="30"/>
      <c r="F125" s="30"/>
      <c r="G125" s="30"/>
      <c r="H125" s="30"/>
      <c r="I125" s="30"/>
      <c r="J125" s="30"/>
      <c r="K125" s="30"/>
    </row>
    <row r="126" spans="1:11" ht="15">
      <c r="A126" s="30"/>
      <c r="B126" s="30"/>
      <c r="C126" s="30"/>
      <c r="D126" s="30"/>
      <c r="E126" s="30"/>
      <c r="F126" s="30"/>
      <c r="G126" s="30"/>
      <c r="H126" s="30"/>
      <c r="I126" s="30"/>
      <c r="J126" s="30"/>
      <c r="K126" s="30"/>
    </row>
    <row r="127" spans="1:11" ht="15">
      <c r="A127" s="30"/>
      <c r="B127" s="30"/>
      <c r="C127" s="30"/>
      <c r="D127" s="30"/>
      <c r="E127" s="30"/>
      <c r="F127" s="30"/>
      <c r="G127" s="30"/>
      <c r="H127" s="30"/>
      <c r="I127" s="30"/>
      <c r="J127" s="30"/>
      <c r="K127" s="30"/>
    </row>
    <row r="128" spans="1:11" ht="15">
      <c r="A128" s="30"/>
      <c r="B128" s="30"/>
      <c r="C128" s="30"/>
      <c r="D128" s="30"/>
      <c r="E128" s="30"/>
      <c r="F128" s="30"/>
      <c r="G128" s="30"/>
      <c r="H128" s="30"/>
      <c r="I128" s="30"/>
      <c r="J128" s="30"/>
      <c r="K128" s="30"/>
    </row>
    <row r="129" spans="1:11" ht="15">
      <c r="A129" s="30"/>
      <c r="B129" s="30"/>
      <c r="C129" s="30"/>
      <c r="D129" s="30"/>
      <c r="E129" s="30"/>
      <c r="F129" s="30"/>
      <c r="G129" s="30"/>
      <c r="H129" s="30"/>
      <c r="I129" s="30"/>
      <c r="J129" s="30"/>
      <c r="K129" s="30"/>
    </row>
    <row r="130" spans="1:11" ht="15">
      <c r="A130" s="30"/>
      <c r="B130" s="30"/>
      <c r="C130" s="30"/>
      <c r="D130" s="30"/>
      <c r="E130" s="30"/>
      <c r="F130" s="30"/>
      <c r="G130" s="30"/>
      <c r="H130" s="30"/>
      <c r="I130" s="30"/>
      <c r="J130" s="30"/>
      <c r="K130" s="30"/>
    </row>
    <row r="131" spans="1:11" ht="15">
      <c r="A131" s="30"/>
      <c r="B131" s="30"/>
      <c r="C131" s="30"/>
      <c r="D131" s="30"/>
      <c r="E131" s="30"/>
      <c r="F131" s="30"/>
      <c r="G131" s="30"/>
      <c r="H131" s="30"/>
      <c r="I131" s="30"/>
      <c r="J131" s="30"/>
      <c r="K131" s="30"/>
    </row>
    <row r="132" spans="1:11" ht="15">
      <c r="A132" s="30"/>
      <c r="B132" s="30"/>
      <c r="C132" s="30"/>
      <c r="D132" s="30"/>
      <c r="E132" s="30"/>
      <c r="F132" s="30"/>
      <c r="G132" s="30"/>
      <c r="H132" s="30"/>
      <c r="I132" s="30"/>
      <c r="J132" s="30"/>
      <c r="K132" s="30"/>
    </row>
    <row r="133" spans="1:11" ht="15">
      <c r="A133" s="30"/>
      <c r="B133" s="30"/>
      <c r="C133" s="30"/>
      <c r="D133" s="30"/>
      <c r="E133" s="30"/>
      <c r="F133" s="30"/>
      <c r="G133" s="30"/>
      <c r="H133" s="30"/>
      <c r="I133" s="30"/>
      <c r="J133" s="30"/>
      <c r="K133" s="30"/>
    </row>
    <row r="134" spans="1:11" ht="15">
      <c r="A134" s="30"/>
      <c r="B134" s="30"/>
      <c r="C134" s="30"/>
      <c r="D134" s="30"/>
      <c r="E134" s="30"/>
      <c r="F134" s="30"/>
      <c r="G134" s="30"/>
      <c r="H134" s="30"/>
      <c r="I134" s="30"/>
      <c r="J134" s="30"/>
      <c r="K134" s="30"/>
    </row>
    <row r="135" spans="1:11" ht="15">
      <c r="A135" s="30"/>
      <c r="B135" s="30"/>
      <c r="C135" s="30"/>
      <c r="D135" s="30"/>
      <c r="E135" s="30"/>
      <c r="F135" s="30"/>
      <c r="G135" s="30"/>
      <c r="H135" s="30"/>
      <c r="I135" s="30"/>
      <c r="J135" s="30"/>
      <c r="K135" s="30"/>
    </row>
    <row r="136" spans="1:11" ht="15">
      <c r="A136" s="30"/>
      <c r="B136" s="30"/>
      <c r="C136" s="30"/>
      <c r="D136" s="30"/>
      <c r="E136" s="30"/>
      <c r="F136" s="30"/>
      <c r="G136" s="30"/>
      <c r="H136" s="30"/>
      <c r="I136" s="30"/>
      <c r="J136" s="30"/>
      <c r="K136" s="30"/>
    </row>
    <row r="137" spans="1:11" ht="15">
      <c r="A137" s="30"/>
      <c r="B137" s="30"/>
      <c r="C137" s="30"/>
      <c r="D137" s="30"/>
      <c r="E137" s="30"/>
      <c r="F137" s="30"/>
      <c r="G137" s="30"/>
      <c r="H137" s="30"/>
      <c r="I137" s="30"/>
      <c r="J137" s="30"/>
      <c r="K137" s="30"/>
    </row>
    <row r="138" spans="1:11" ht="15">
      <c r="A138" s="30"/>
      <c r="B138" s="30"/>
      <c r="C138" s="30"/>
      <c r="D138" s="30"/>
      <c r="E138" s="30"/>
      <c r="F138" s="30"/>
      <c r="G138" s="30"/>
      <c r="H138" s="30"/>
      <c r="I138" s="30"/>
      <c r="J138" s="30"/>
      <c r="K138" s="30"/>
    </row>
    <row r="139" spans="1:11" ht="15">
      <c r="A139" s="30"/>
      <c r="B139" s="30"/>
      <c r="C139" s="30"/>
      <c r="D139" s="30"/>
      <c r="E139" s="30"/>
      <c r="F139" s="30"/>
      <c r="G139" s="30"/>
      <c r="H139" s="30"/>
      <c r="I139" s="30"/>
      <c r="J139" s="30"/>
      <c r="K139" s="30"/>
    </row>
    <row r="140" spans="1:11" ht="15">
      <c r="A140" s="30"/>
      <c r="B140" s="30"/>
      <c r="C140" s="30"/>
      <c r="D140" s="30"/>
      <c r="E140" s="30"/>
      <c r="F140" s="30"/>
      <c r="G140" s="30"/>
      <c r="H140" s="30"/>
      <c r="I140" s="30"/>
      <c r="J140" s="30"/>
      <c r="K140" s="30"/>
    </row>
    <row r="141" spans="1:11" ht="15">
      <c r="A141" s="30"/>
      <c r="B141" s="30"/>
      <c r="C141" s="30"/>
      <c r="D141" s="30"/>
      <c r="E141" s="30"/>
      <c r="F141" s="30"/>
      <c r="G141" s="30"/>
      <c r="H141" s="30"/>
      <c r="I141" s="30"/>
      <c r="J141" s="30"/>
      <c r="K141" s="30"/>
    </row>
    <row r="142" spans="1:11" ht="15">
      <c r="A142" s="30"/>
      <c r="B142" s="30"/>
      <c r="C142" s="30"/>
      <c r="D142" s="30"/>
      <c r="E142" s="30"/>
      <c r="F142" s="30"/>
      <c r="G142" s="30"/>
      <c r="H142" s="30"/>
      <c r="I142" s="30"/>
      <c r="J142" s="30"/>
      <c r="K142" s="30"/>
    </row>
    <row r="143" spans="1:11" ht="15">
      <c r="A143" s="30"/>
      <c r="B143" s="30"/>
      <c r="C143" s="30"/>
      <c r="D143" s="30"/>
      <c r="E143" s="30"/>
      <c r="F143" s="30"/>
      <c r="G143" s="30"/>
      <c r="H143" s="30"/>
      <c r="I143" s="30"/>
      <c r="J143" s="30"/>
      <c r="K143" s="30"/>
    </row>
    <row r="144" spans="1:11" ht="15">
      <c r="A144" s="30"/>
      <c r="B144" s="30"/>
      <c r="C144" s="30"/>
      <c r="D144" s="30"/>
      <c r="E144" s="30"/>
      <c r="F144" s="30"/>
      <c r="G144" s="30"/>
      <c r="H144" s="30"/>
      <c r="I144" s="30"/>
      <c r="J144" s="30"/>
      <c r="K144" s="30"/>
    </row>
    <row r="145" spans="1:11" ht="15">
      <c r="A145" s="30"/>
      <c r="B145" s="30"/>
      <c r="C145" s="30"/>
      <c r="D145" s="30"/>
      <c r="E145" s="30"/>
      <c r="F145" s="30"/>
      <c r="G145" s="30"/>
      <c r="H145" s="30"/>
      <c r="I145" s="30"/>
      <c r="J145" s="30"/>
      <c r="K145" s="30"/>
    </row>
    <row r="146" spans="1:11" ht="15">
      <c r="A146" s="30"/>
      <c r="B146" s="30"/>
      <c r="C146" s="30"/>
      <c r="D146" s="30"/>
      <c r="E146" s="30"/>
      <c r="F146" s="30"/>
      <c r="G146" s="30"/>
      <c r="H146" s="30"/>
      <c r="I146" s="30"/>
      <c r="J146" s="30"/>
      <c r="K146" s="30"/>
    </row>
    <row r="147" spans="1:11" ht="15">
      <c r="A147" s="30"/>
      <c r="B147" s="30"/>
      <c r="C147" s="30"/>
      <c r="D147" s="30"/>
      <c r="E147" s="30"/>
      <c r="F147" s="30"/>
      <c r="G147" s="30"/>
      <c r="H147" s="30"/>
      <c r="I147" s="30"/>
      <c r="J147" s="30"/>
      <c r="K147" s="30"/>
    </row>
    <row r="148" spans="1:11" ht="15">
      <c r="A148" s="30"/>
      <c r="B148" s="30"/>
      <c r="C148" s="30"/>
      <c r="D148" s="30"/>
      <c r="E148" s="30"/>
      <c r="F148" s="30"/>
      <c r="G148" s="30"/>
      <c r="H148" s="30"/>
      <c r="I148" s="30"/>
      <c r="J148" s="30"/>
      <c r="K148" s="30"/>
    </row>
    <row r="149" spans="1:11" ht="15">
      <c r="A149" s="30"/>
      <c r="B149" s="30"/>
      <c r="C149" s="30"/>
      <c r="D149" s="30"/>
      <c r="E149" s="30"/>
      <c r="F149" s="30"/>
      <c r="G149" s="30"/>
      <c r="H149" s="30"/>
      <c r="I149" s="30"/>
      <c r="J149" s="30"/>
      <c r="K149" s="30"/>
    </row>
    <row r="150" spans="1:11" ht="15">
      <c r="A150" s="30"/>
      <c r="B150" s="30"/>
      <c r="C150" s="30"/>
      <c r="D150" s="30"/>
      <c r="E150" s="30"/>
      <c r="F150" s="30"/>
      <c r="G150" s="30"/>
      <c r="H150" s="30"/>
      <c r="I150" s="30"/>
      <c r="J150" s="30"/>
      <c r="K150" s="30"/>
    </row>
    <row r="151" spans="1:11" ht="15">
      <c r="A151" s="30"/>
      <c r="B151" s="30"/>
      <c r="C151" s="30"/>
      <c r="D151" s="30"/>
      <c r="E151" s="30"/>
      <c r="F151" s="30"/>
      <c r="G151" s="30"/>
      <c r="H151" s="30"/>
      <c r="I151" s="30"/>
      <c r="J151" s="30"/>
      <c r="K151" s="30"/>
    </row>
    <row r="152" spans="1:11" ht="15">
      <c r="A152" s="30"/>
      <c r="B152" s="30"/>
      <c r="C152" s="30"/>
      <c r="D152" s="30"/>
      <c r="E152" s="30"/>
      <c r="F152" s="30"/>
      <c r="G152" s="30"/>
      <c r="H152" s="30"/>
      <c r="I152" s="30"/>
      <c r="J152" s="30"/>
      <c r="K152" s="30"/>
    </row>
    <row r="153" spans="1:11" ht="15">
      <c r="A153" s="30"/>
      <c r="B153" s="30"/>
      <c r="C153" s="30"/>
      <c r="D153" s="30"/>
      <c r="E153" s="30"/>
      <c r="F153" s="30"/>
      <c r="G153" s="30"/>
      <c r="H153" s="30"/>
      <c r="I153" s="30"/>
      <c r="J153" s="30"/>
      <c r="K153" s="30"/>
    </row>
    <row r="154" spans="1:11" ht="15">
      <c r="A154" s="30"/>
      <c r="B154" s="30"/>
      <c r="C154" s="30"/>
      <c r="D154" s="30"/>
      <c r="E154" s="30"/>
      <c r="F154" s="30"/>
      <c r="G154" s="30"/>
      <c r="H154" s="30"/>
      <c r="I154" s="30"/>
      <c r="J154" s="30"/>
      <c r="K154" s="30"/>
    </row>
    <row r="155" spans="1:11" ht="15">
      <c r="A155" s="30"/>
      <c r="B155" s="30"/>
      <c r="C155" s="30"/>
      <c r="D155" s="30"/>
      <c r="E155" s="30"/>
      <c r="F155" s="30"/>
      <c r="G155" s="30"/>
      <c r="H155" s="30"/>
      <c r="I155" s="30"/>
      <c r="J155" s="30"/>
      <c r="K155" s="30"/>
    </row>
    <row r="156" spans="1:11" ht="15">
      <c r="A156" s="30"/>
      <c r="B156" s="30"/>
      <c r="C156" s="30"/>
      <c r="D156" s="30"/>
      <c r="E156" s="30"/>
      <c r="F156" s="30"/>
      <c r="G156" s="30"/>
      <c r="H156" s="30"/>
      <c r="I156" s="30"/>
      <c r="J156" s="30"/>
      <c r="K156" s="30"/>
    </row>
    <row r="157" spans="1:11" ht="15">
      <c r="A157" s="30"/>
      <c r="B157" s="30"/>
      <c r="C157" s="30"/>
      <c r="D157" s="30"/>
      <c r="E157" s="30"/>
      <c r="F157" s="30"/>
      <c r="G157" s="30"/>
      <c r="H157" s="30"/>
      <c r="I157" s="30"/>
      <c r="J157" s="30"/>
      <c r="K157" s="30"/>
    </row>
    <row r="158" spans="1:11" ht="15">
      <c r="A158" s="30"/>
      <c r="B158" s="30"/>
      <c r="C158" s="30"/>
      <c r="D158" s="30"/>
      <c r="E158" s="30"/>
      <c r="F158" s="30"/>
      <c r="G158" s="30"/>
      <c r="H158" s="30"/>
      <c r="I158" s="30"/>
      <c r="J158" s="30"/>
      <c r="K158" s="30"/>
    </row>
    <row r="159" spans="1:11" ht="15">
      <c r="A159" s="30"/>
      <c r="B159" s="30"/>
      <c r="C159" s="30"/>
      <c r="D159" s="30"/>
      <c r="E159" s="30"/>
      <c r="F159" s="30"/>
      <c r="G159" s="30"/>
      <c r="H159" s="30"/>
      <c r="I159" s="30"/>
      <c r="J159" s="30"/>
      <c r="K159" s="30"/>
    </row>
    <row r="160" spans="1:11" ht="15">
      <c r="A160" s="30"/>
      <c r="B160" s="30"/>
      <c r="C160" s="30"/>
      <c r="D160" s="30"/>
      <c r="E160" s="30"/>
      <c r="F160" s="30"/>
      <c r="G160" s="30"/>
      <c r="H160" s="30"/>
      <c r="I160" s="30"/>
      <c r="J160" s="30"/>
      <c r="K160" s="30"/>
    </row>
    <row r="161" spans="1:11" ht="15">
      <c r="A161" s="30"/>
      <c r="B161" s="30"/>
      <c r="C161" s="30"/>
      <c r="D161" s="30"/>
      <c r="E161" s="30"/>
      <c r="F161" s="30"/>
      <c r="G161" s="30"/>
      <c r="H161" s="30"/>
      <c r="I161" s="30"/>
      <c r="J161" s="30"/>
      <c r="K161" s="30"/>
    </row>
    <row r="162" spans="1:11" ht="15">
      <c r="A162" s="30"/>
      <c r="B162" s="30"/>
      <c r="C162" s="30"/>
      <c r="D162" s="30"/>
      <c r="E162" s="30"/>
      <c r="F162" s="30"/>
      <c r="G162" s="30"/>
      <c r="H162" s="30"/>
      <c r="I162" s="30"/>
      <c r="J162" s="30"/>
      <c r="K162" s="30"/>
    </row>
    <row r="163" spans="1:11" ht="15">
      <c r="A163" s="30"/>
      <c r="B163" s="30"/>
      <c r="C163" s="30"/>
      <c r="D163" s="30"/>
      <c r="E163" s="30"/>
      <c r="F163" s="30"/>
      <c r="G163" s="30"/>
      <c r="H163" s="30"/>
      <c r="I163" s="30"/>
      <c r="J163" s="30"/>
      <c r="K163" s="30"/>
    </row>
    <row r="164" spans="1:11" ht="15">
      <c r="A164" s="30"/>
      <c r="B164" s="30"/>
      <c r="C164" s="30"/>
      <c r="D164" s="30"/>
      <c r="E164" s="30"/>
      <c r="F164" s="30"/>
      <c r="G164" s="30"/>
      <c r="H164" s="30"/>
      <c r="I164" s="30"/>
      <c r="J164" s="30"/>
      <c r="K164" s="30"/>
    </row>
    <row r="165" spans="1:11" ht="15">
      <c r="A165" s="30"/>
      <c r="B165" s="30"/>
      <c r="C165" s="30"/>
      <c r="D165" s="30"/>
      <c r="E165" s="30"/>
      <c r="F165" s="30"/>
      <c r="G165" s="30"/>
      <c r="H165" s="30"/>
      <c r="I165" s="30"/>
      <c r="J165" s="30"/>
      <c r="K165" s="30"/>
    </row>
    <row r="166" spans="1:11" ht="15">
      <c r="A166" s="30"/>
      <c r="B166" s="30"/>
      <c r="C166" s="30"/>
      <c r="D166" s="30"/>
      <c r="E166" s="30"/>
      <c r="F166" s="30"/>
      <c r="G166" s="30"/>
      <c r="H166" s="30"/>
      <c r="I166" s="30"/>
      <c r="J166" s="30"/>
      <c r="K166" s="30"/>
    </row>
    <row r="167" spans="1:11" ht="15">
      <c r="A167" s="30"/>
      <c r="B167" s="30"/>
      <c r="C167" s="30"/>
      <c r="D167" s="30"/>
      <c r="E167" s="30"/>
      <c r="F167" s="30"/>
      <c r="G167" s="30"/>
      <c r="H167" s="30"/>
      <c r="I167" s="30"/>
      <c r="J167" s="30"/>
      <c r="K167" s="30"/>
    </row>
    <row r="168" spans="1:11" ht="15">
      <c r="A168" s="30"/>
      <c r="B168" s="30"/>
      <c r="C168" s="30"/>
      <c r="D168" s="30"/>
      <c r="E168" s="30"/>
      <c r="F168" s="30"/>
      <c r="G168" s="30"/>
      <c r="H168" s="30"/>
      <c r="I168" s="30"/>
      <c r="J168" s="30"/>
      <c r="K168" s="30"/>
    </row>
    <row r="169" spans="1:11" ht="15">
      <c r="A169" s="30"/>
      <c r="B169" s="30"/>
      <c r="C169" s="30"/>
      <c r="D169" s="30"/>
      <c r="E169" s="30"/>
      <c r="F169" s="30"/>
      <c r="G169" s="30"/>
      <c r="H169" s="30"/>
      <c r="I169" s="30"/>
      <c r="J169" s="30"/>
      <c r="K169" s="30"/>
    </row>
    <row r="170" spans="1:11" ht="15">
      <c r="A170" s="30"/>
      <c r="B170" s="30"/>
      <c r="C170" s="30"/>
      <c r="D170" s="30"/>
      <c r="E170" s="30"/>
      <c r="F170" s="30"/>
      <c r="G170" s="30"/>
      <c r="H170" s="30"/>
      <c r="I170" s="30"/>
      <c r="J170" s="30"/>
      <c r="K170" s="30"/>
    </row>
    <row r="171" spans="1:11" ht="15">
      <c r="A171" s="30"/>
      <c r="B171" s="30"/>
      <c r="C171" s="30"/>
      <c r="D171" s="30"/>
      <c r="E171" s="30"/>
      <c r="F171" s="30"/>
      <c r="G171" s="30"/>
      <c r="H171" s="30"/>
      <c r="I171" s="30"/>
      <c r="J171" s="30"/>
      <c r="K171" s="30"/>
    </row>
    <row r="172" spans="1:11" ht="15">
      <c r="A172" s="30"/>
      <c r="B172" s="30"/>
      <c r="C172" s="30"/>
      <c r="D172" s="30"/>
      <c r="E172" s="30"/>
      <c r="F172" s="30"/>
      <c r="G172" s="30"/>
      <c r="H172" s="30"/>
      <c r="I172" s="30"/>
      <c r="J172" s="30"/>
      <c r="K172" s="30"/>
    </row>
    <row r="173" spans="1:11" ht="15">
      <c r="A173" s="30"/>
      <c r="B173" s="30"/>
      <c r="C173" s="30"/>
      <c r="D173" s="30"/>
      <c r="E173" s="30"/>
      <c r="F173" s="30"/>
      <c r="G173" s="30"/>
      <c r="H173" s="30"/>
      <c r="I173" s="30"/>
      <c r="J173" s="30"/>
      <c r="K173" s="30"/>
    </row>
    <row r="174" spans="1:11" ht="15">
      <c r="A174" s="30"/>
      <c r="B174" s="30"/>
      <c r="C174" s="30"/>
      <c r="D174" s="30"/>
      <c r="E174" s="30"/>
      <c r="F174" s="30"/>
      <c r="G174" s="30"/>
      <c r="H174" s="30"/>
      <c r="I174" s="30"/>
      <c r="J174" s="30"/>
      <c r="K174" s="30"/>
    </row>
    <row r="175" spans="1:11" ht="15">
      <c r="A175" s="30"/>
      <c r="B175" s="30"/>
      <c r="C175" s="30"/>
      <c r="D175" s="30"/>
      <c r="E175" s="30"/>
      <c r="F175" s="30"/>
      <c r="G175" s="30"/>
      <c r="H175" s="30"/>
      <c r="I175" s="30"/>
      <c r="J175" s="30"/>
      <c r="K175" s="30"/>
    </row>
    <row r="176" spans="1:11" ht="15">
      <c r="A176" s="30"/>
      <c r="B176" s="30"/>
      <c r="C176" s="30"/>
      <c r="D176" s="30"/>
      <c r="E176" s="30"/>
      <c r="F176" s="30"/>
      <c r="G176" s="30"/>
      <c r="H176" s="30"/>
      <c r="I176" s="30"/>
      <c r="J176" s="30"/>
      <c r="K176" s="30"/>
    </row>
    <row r="177" spans="1:11" ht="15">
      <c r="A177" s="30"/>
      <c r="B177" s="30"/>
      <c r="C177" s="30"/>
      <c r="D177" s="30"/>
      <c r="E177" s="30"/>
      <c r="F177" s="30"/>
      <c r="G177" s="30"/>
      <c r="H177" s="30"/>
      <c r="I177" s="30"/>
      <c r="J177" s="30"/>
      <c r="K177" s="30"/>
    </row>
    <row r="178" spans="1:11" ht="15">
      <c r="A178" s="30"/>
      <c r="B178" s="30"/>
      <c r="C178" s="30"/>
      <c r="D178" s="30"/>
      <c r="E178" s="30"/>
      <c r="F178" s="30"/>
      <c r="G178" s="30"/>
      <c r="H178" s="30"/>
      <c r="I178" s="30"/>
      <c r="J178" s="30"/>
      <c r="K178" s="30"/>
    </row>
    <row r="179" spans="1:11" ht="15">
      <c r="A179" s="30"/>
      <c r="B179" s="30"/>
      <c r="C179" s="30"/>
      <c r="D179" s="30"/>
      <c r="E179" s="30"/>
      <c r="F179" s="30"/>
      <c r="G179" s="30"/>
      <c r="H179" s="30"/>
      <c r="I179" s="30"/>
      <c r="J179" s="30"/>
      <c r="K179" s="30"/>
    </row>
    <row r="180" spans="1:11" ht="15">
      <c r="A180" s="30"/>
      <c r="B180" s="30"/>
      <c r="C180" s="30"/>
      <c r="D180" s="30"/>
      <c r="E180" s="30"/>
      <c r="F180" s="30"/>
      <c r="G180" s="30"/>
      <c r="H180" s="30"/>
      <c r="I180" s="30"/>
      <c r="J180" s="30"/>
      <c r="K180" s="30"/>
    </row>
    <row r="181" spans="1:11" ht="15">
      <c r="A181" s="30"/>
      <c r="B181" s="30"/>
      <c r="C181" s="30"/>
      <c r="D181" s="30"/>
      <c r="E181" s="30"/>
      <c r="F181" s="30"/>
      <c r="G181" s="30"/>
      <c r="H181" s="30"/>
      <c r="I181" s="30"/>
      <c r="J181" s="30"/>
      <c r="K181" s="30"/>
    </row>
    <row r="182" spans="1:11" ht="15">
      <c r="A182" s="30"/>
      <c r="B182" s="30"/>
      <c r="C182" s="30"/>
      <c r="D182" s="30"/>
      <c r="E182" s="30"/>
      <c r="F182" s="30"/>
      <c r="G182" s="30"/>
      <c r="H182" s="30"/>
      <c r="I182" s="30"/>
      <c r="J182" s="30"/>
      <c r="K182" s="30"/>
    </row>
    <row r="183" spans="1:11" ht="15">
      <c r="A183" s="30"/>
      <c r="B183" s="30"/>
      <c r="C183" s="30"/>
      <c r="D183" s="30"/>
      <c r="E183" s="30"/>
      <c r="F183" s="30"/>
      <c r="G183" s="30"/>
      <c r="H183" s="30"/>
      <c r="I183" s="30"/>
      <c r="J183" s="30"/>
      <c r="K183" s="30"/>
    </row>
    <row r="184" spans="1:11" ht="15">
      <c r="A184" s="30"/>
      <c r="B184" s="30"/>
      <c r="C184" s="30"/>
      <c r="D184" s="30"/>
      <c r="E184" s="30"/>
      <c r="F184" s="30"/>
      <c r="G184" s="30"/>
      <c r="H184" s="30"/>
      <c r="I184" s="30"/>
      <c r="J184" s="30"/>
      <c r="K184" s="30"/>
    </row>
    <row r="185" spans="1:11" ht="15">
      <c r="A185" s="30"/>
      <c r="B185" s="30"/>
      <c r="C185" s="30"/>
      <c r="D185" s="30"/>
      <c r="E185" s="30"/>
      <c r="F185" s="30"/>
      <c r="G185" s="30"/>
      <c r="H185" s="30"/>
      <c r="I185" s="30"/>
      <c r="J185" s="30"/>
      <c r="K185" s="30"/>
    </row>
    <row r="186" spans="1:11" ht="15">
      <c r="A186" s="30"/>
      <c r="B186" s="30"/>
      <c r="C186" s="30"/>
      <c r="D186" s="30"/>
      <c r="E186" s="30"/>
      <c r="F186" s="30"/>
      <c r="G186" s="30"/>
      <c r="H186" s="30"/>
      <c r="I186" s="30"/>
      <c r="J186" s="30"/>
      <c r="K186" s="30"/>
    </row>
    <row r="187" spans="1:11" ht="15">
      <c r="A187" s="30"/>
      <c r="B187" s="30"/>
      <c r="C187" s="30"/>
      <c r="D187" s="30"/>
      <c r="E187" s="30"/>
      <c r="F187" s="30"/>
      <c r="G187" s="30"/>
      <c r="H187" s="30"/>
      <c r="I187" s="30"/>
      <c r="J187" s="30"/>
      <c r="K187" s="30"/>
    </row>
    <row r="188" spans="1:11" ht="15">
      <c r="A188" s="30"/>
      <c r="B188" s="30"/>
      <c r="C188" s="30"/>
      <c r="D188" s="30"/>
      <c r="E188" s="30"/>
      <c r="F188" s="30"/>
      <c r="G188" s="30"/>
      <c r="H188" s="30"/>
      <c r="I188" s="30"/>
      <c r="J188" s="30"/>
      <c r="K188" s="30"/>
    </row>
    <row r="189" spans="1:11" ht="15">
      <c r="A189" s="30"/>
      <c r="B189" s="30"/>
      <c r="C189" s="30"/>
      <c r="D189" s="30"/>
      <c r="E189" s="30"/>
      <c r="F189" s="30"/>
      <c r="G189" s="30"/>
      <c r="H189" s="30"/>
      <c r="I189" s="30"/>
      <c r="J189" s="30"/>
      <c r="K189" s="30"/>
    </row>
    <row r="190" spans="1:11" ht="15">
      <c r="A190" s="30"/>
      <c r="B190" s="30"/>
      <c r="C190" s="30"/>
      <c r="D190" s="30"/>
      <c r="E190" s="30"/>
      <c r="F190" s="30"/>
      <c r="G190" s="30"/>
      <c r="H190" s="30"/>
      <c r="I190" s="30"/>
      <c r="J190" s="30"/>
      <c r="K190" s="30"/>
    </row>
    <row r="191" spans="1:11" ht="15">
      <c r="A191" s="30"/>
      <c r="B191" s="30"/>
      <c r="C191" s="30"/>
      <c r="D191" s="30"/>
      <c r="E191" s="30"/>
      <c r="F191" s="30"/>
      <c r="G191" s="30"/>
      <c r="H191" s="30"/>
      <c r="I191" s="30"/>
      <c r="J191" s="30"/>
      <c r="K191" s="30"/>
    </row>
    <row r="192" spans="1:11" ht="15">
      <c r="A192" s="30"/>
      <c r="B192" s="30"/>
      <c r="C192" s="30"/>
      <c r="D192" s="30"/>
      <c r="E192" s="30"/>
      <c r="F192" s="30"/>
      <c r="G192" s="30"/>
      <c r="H192" s="30"/>
      <c r="I192" s="30"/>
      <c r="J192" s="30"/>
      <c r="K192" s="30"/>
    </row>
    <row r="193" spans="1:11" ht="15">
      <c r="A193" s="30"/>
      <c r="B193" s="30"/>
      <c r="C193" s="30"/>
      <c r="D193" s="30"/>
      <c r="E193" s="30"/>
      <c r="F193" s="30"/>
      <c r="G193" s="30"/>
      <c r="H193" s="30"/>
      <c r="I193" s="30"/>
      <c r="J193" s="30"/>
      <c r="K193" s="30"/>
    </row>
    <row r="194" spans="1:11" ht="15">
      <c r="A194" s="30"/>
      <c r="B194" s="30"/>
      <c r="C194" s="30"/>
      <c r="D194" s="30"/>
      <c r="E194" s="30"/>
      <c r="F194" s="30"/>
      <c r="G194" s="30"/>
      <c r="H194" s="30"/>
      <c r="I194" s="30"/>
      <c r="J194" s="30"/>
      <c r="K194" s="30"/>
    </row>
    <row r="195" spans="1:11" ht="15">
      <c r="A195" s="30"/>
      <c r="B195" s="30"/>
      <c r="C195" s="30"/>
      <c r="D195" s="30"/>
      <c r="E195" s="30"/>
      <c r="F195" s="30"/>
      <c r="G195" s="30"/>
      <c r="H195" s="30"/>
      <c r="I195" s="30"/>
      <c r="J195" s="30"/>
      <c r="K195" s="30"/>
    </row>
    <row r="196" spans="1:11" ht="15">
      <c r="A196" s="30"/>
      <c r="B196" s="30"/>
      <c r="C196" s="30"/>
      <c r="D196" s="30"/>
      <c r="E196" s="30"/>
      <c r="F196" s="30"/>
      <c r="G196" s="30"/>
      <c r="H196" s="30"/>
      <c r="I196" s="30"/>
      <c r="J196" s="30"/>
      <c r="K196" s="30"/>
    </row>
    <row r="197" spans="1:11" ht="15">
      <c r="A197" s="30"/>
      <c r="B197" s="30"/>
      <c r="C197" s="30"/>
      <c r="D197" s="30"/>
      <c r="E197" s="30"/>
      <c r="F197" s="30"/>
      <c r="G197" s="30"/>
      <c r="H197" s="30"/>
      <c r="I197" s="30"/>
      <c r="J197" s="30"/>
      <c r="K197" s="30"/>
    </row>
    <row r="198" spans="1:11" ht="15">
      <c r="A198" s="30"/>
      <c r="B198" s="30"/>
      <c r="C198" s="30"/>
      <c r="D198" s="30"/>
      <c r="E198" s="30"/>
      <c r="F198" s="30"/>
      <c r="G198" s="30"/>
      <c r="H198" s="30"/>
      <c r="I198" s="30"/>
      <c r="J198" s="30"/>
      <c r="K198" s="30"/>
    </row>
    <row r="199" spans="1:11" ht="15">
      <c r="A199" s="30"/>
      <c r="B199" s="30"/>
      <c r="C199" s="30"/>
      <c r="D199" s="30"/>
      <c r="E199" s="30"/>
      <c r="F199" s="30"/>
      <c r="G199" s="30"/>
      <c r="H199" s="30"/>
      <c r="I199" s="30"/>
      <c r="J199" s="30"/>
      <c r="K199" s="30"/>
    </row>
    <row r="200" spans="1:11" ht="15">
      <c r="A200" s="30"/>
      <c r="B200" s="30"/>
      <c r="C200" s="30"/>
      <c r="D200" s="30"/>
      <c r="E200" s="30"/>
      <c r="F200" s="30"/>
      <c r="G200" s="30"/>
      <c r="H200" s="30"/>
      <c r="I200" s="30"/>
      <c r="J200" s="30"/>
      <c r="K200" s="30"/>
    </row>
    <row r="201" spans="1:11" ht="15">
      <c r="A201" s="30"/>
      <c r="B201" s="30"/>
      <c r="C201" s="30"/>
      <c r="D201" s="30"/>
      <c r="E201" s="30"/>
      <c r="F201" s="30"/>
      <c r="G201" s="30"/>
      <c r="H201" s="30"/>
      <c r="I201" s="30"/>
      <c r="J201" s="30"/>
      <c r="K201" s="30"/>
    </row>
    <row r="202" spans="1:11" ht="15">
      <c r="A202" s="30"/>
      <c r="B202" s="30"/>
      <c r="C202" s="30"/>
      <c r="D202" s="30"/>
      <c r="E202" s="30"/>
      <c r="F202" s="30"/>
      <c r="G202" s="30"/>
      <c r="H202" s="30"/>
      <c r="I202" s="30"/>
      <c r="J202" s="30"/>
      <c r="K202" s="30"/>
    </row>
    <row r="203" spans="1:11" ht="15">
      <c r="A203" s="30"/>
      <c r="B203" s="30"/>
      <c r="C203" s="30"/>
      <c r="D203" s="30"/>
      <c r="E203" s="30"/>
      <c r="F203" s="30"/>
      <c r="G203" s="30"/>
      <c r="H203" s="30"/>
      <c r="I203" s="30"/>
      <c r="J203" s="30"/>
      <c r="K203" s="30"/>
    </row>
    <row r="204" spans="1:11" ht="15">
      <c r="A204" s="30"/>
      <c r="B204" s="30"/>
      <c r="C204" s="30"/>
      <c r="D204" s="30"/>
      <c r="E204" s="30"/>
      <c r="F204" s="30"/>
      <c r="G204" s="30"/>
      <c r="H204" s="30"/>
      <c r="I204" s="30"/>
      <c r="J204" s="30"/>
      <c r="K204" s="30"/>
    </row>
    <row r="205" spans="1:11" ht="15">
      <c r="A205" s="30"/>
      <c r="B205" s="30"/>
      <c r="C205" s="30"/>
      <c r="D205" s="30"/>
      <c r="E205" s="30"/>
      <c r="F205" s="30"/>
      <c r="G205" s="30"/>
      <c r="H205" s="30"/>
      <c r="I205" s="30"/>
      <c r="J205" s="30"/>
      <c r="K205" s="30"/>
    </row>
    <row r="206" spans="1:11" ht="15">
      <c r="A206" s="30"/>
      <c r="B206" s="30"/>
      <c r="C206" s="30"/>
      <c r="D206" s="30"/>
      <c r="E206" s="30"/>
      <c r="F206" s="30"/>
      <c r="G206" s="30"/>
      <c r="H206" s="30"/>
      <c r="I206" s="30"/>
      <c r="J206" s="30"/>
      <c r="K206" s="30"/>
    </row>
    <row r="207" spans="1:11" ht="15">
      <c r="A207" s="30"/>
      <c r="B207" s="30"/>
      <c r="C207" s="30"/>
      <c r="D207" s="30"/>
      <c r="E207" s="30"/>
      <c r="F207" s="30"/>
      <c r="G207" s="30"/>
      <c r="H207" s="30"/>
      <c r="I207" s="30"/>
      <c r="J207" s="30"/>
      <c r="K207" s="30"/>
    </row>
    <row r="208" spans="1:11" ht="15">
      <c r="A208" s="30"/>
      <c r="B208" s="30"/>
      <c r="C208" s="30"/>
      <c r="D208" s="30"/>
      <c r="E208" s="30"/>
      <c r="F208" s="30"/>
      <c r="G208" s="30"/>
      <c r="H208" s="30"/>
      <c r="I208" s="30"/>
      <c r="J208" s="30"/>
      <c r="K208" s="30"/>
    </row>
    <row r="209" spans="1:11" ht="15">
      <c r="A209" s="30"/>
      <c r="B209" s="30"/>
      <c r="C209" s="30"/>
      <c r="D209" s="30"/>
      <c r="E209" s="30"/>
      <c r="F209" s="30"/>
      <c r="G209" s="30"/>
      <c r="H209" s="30"/>
      <c r="I209" s="30"/>
      <c r="J209" s="30"/>
      <c r="K209" s="30"/>
    </row>
    <row r="210" spans="1:11" ht="15">
      <c r="A210" s="30"/>
      <c r="B210" s="30"/>
      <c r="C210" s="30"/>
      <c r="D210" s="30"/>
      <c r="E210" s="30"/>
      <c r="F210" s="30"/>
      <c r="G210" s="30"/>
      <c r="H210" s="30"/>
      <c r="I210" s="30"/>
      <c r="J210" s="30"/>
      <c r="K210" s="30"/>
    </row>
    <row r="211" spans="1:11" ht="15">
      <c r="A211" s="30"/>
      <c r="B211" s="30"/>
      <c r="C211" s="30"/>
      <c r="D211" s="30"/>
      <c r="E211" s="30"/>
      <c r="F211" s="30"/>
      <c r="G211" s="30"/>
      <c r="H211" s="30"/>
      <c r="I211" s="30"/>
      <c r="J211" s="30"/>
      <c r="K211" s="30"/>
    </row>
    <row r="212" spans="1:11" ht="15">
      <c r="A212" s="30"/>
      <c r="B212" s="30"/>
      <c r="C212" s="30"/>
      <c r="D212" s="30"/>
      <c r="E212" s="30"/>
      <c r="F212" s="30"/>
      <c r="G212" s="30"/>
      <c r="H212" s="30"/>
      <c r="I212" s="30"/>
      <c r="J212" s="30"/>
      <c r="K212" s="30"/>
    </row>
    <row r="213" spans="1:11" ht="15">
      <c r="A213" s="30"/>
      <c r="B213" s="30"/>
      <c r="C213" s="30"/>
      <c r="D213" s="30"/>
      <c r="E213" s="30"/>
      <c r="F213" s="30"/>
      <c r="G213" s="30"/>
      <c r="H213" s="30"/>
      <c r="I213" s="30"/>
      <c r="J213" s="30"/>
      <c r="K213" s="30"/>
    </row>
    <row r="214" spans="1:11" ht="15">
      <c r="A214" s="30"/>
      <c r="B214" s="30"/>
      <c r="C214" s="30"/>
      <c r="D214" s="30"/>
      <c r="E214" s="30"/>
      <c r="F214" s="30"/>
      <c r="G214" s="30"/>
      <c r="H214" s="30"/>
      <c r="I214" s="30"/>
      <c r="J214" s="30"/>
      <c r="K214" s="30"/>
    </row>
    <row r="215" spans="1:11" ht="15">
      <c r="A215" s="30"/>
      <c r="B215" s="30"/>
      <c r="C215" s="30"/>
      <c r="D215" s="30"/>
      <c r="E215" s="30"/>
      <c r="F215" s="30"/>
      <c r="G215" s="30"/>
      <c r="H215" s="30"/>
      <c r="I215" s="30"/>
      <c r="J215" s="30"/>
      <c r="K215" s="30"/>
    </row>
    <row r="216" spans="1:11" ht="15">
      <c r="A216" s="30"/>
      <c r="B216" s="30"/>
      <c r="C216" s="30"/>
      <c r="D216" s="30"/>
      <c r="E216" s="30"/>
      <c r="F216" s="30"/>
      <c r="G216" s="30"/>
      <c r="H216" s="30"/>
      <c r="I216" s="30"/>
      <c r="J216" s="30"/>
      <c r="K216" s="30"/>
    </row>
    <row r="217" spans="1:11" ht="15">
      <c r="A217" s="30"/>
      <c r="B217" s="30"/>
      <c r="C217" s="30"/>
      <c r="D217" s="30"/>
      <c r="E217" s="30"/>
      <c r="F217" s="30"/>
      <c r="G217" s="30"/>
      <c r="H217" s="30"/>
      <c r="I217" s="30"/>
      <c r="J217" s="30"/>
      <c r="K217" s="30"/>
    </row>
    <row r="218" spans="1:11" ht="15">
      <c r="A218" s="30"/>
      <c r="B218" s="30"/>
      <c r="C218" s="30"/>
      <c r="D218" s="30"/>
      <c r="E218" s="30"/>
      <c r="F218" s="30"/>
      <c r="G218" s="30"/>
      <c r="H218" s="30"/>
      <c r="I218" s="30"/>
      <c r="J218" s="30"/>
      <c r="K218" s="30"/>
    </row>
    <row r="219" spans="1:11" ht="15">
      <c r="A219" s="30"/>
      <c r="B219" s="30"/>
      <c r="C219" s="30"/>
      <c r="D219" s="30"/>
      <c r="E219" s="30"/>
      <c r="F219" s="30"/>
      <c r="G219" s="30"/>
      <c r="H219" s="30"/>
      <c r="I219" s="30"/>
      <c r="J219" s="30"/>
      <c r="K219" s="30"/>
    </row>
    <row r="220" spans="1:11" ht="15">
      <c r="A220" s="30"/>
      <c r="B220" s="30"/>
      <c r="C220" s="30"/>
      <c r="D220" s="30"/>
      <c r="E220" s="30"/>
      <c r="F220" s="30"/>
      <c r="G220" s="30"/>
      <c r="H220" s="30"/>
      <c r="I220" s="30"/>
      <c r="J220" s="30"/>
      <c r="K220" s="30"/>
    </row>
    <row r="221" spans="1:11" ht="15">
      <c r="A221" s="30"/>
      <c r="B221" s="30"/>
      <c r="C221" s="30"/>
      <c r="D221" s="30"/>
      <c r="E221" s="30"/>
      <c r="F221" s="30"/>
      <c r="G221" s="30"/>
      <c r="H221" s="30"/>
      <c r="I221" s="30"/>
      <c r="J221" s="30"/>
      <c r="K221" s="30"/>
    </row>
    <row r="222" spans="1:11" ht="15">
      <c r="A222" s="30"/>
      <c r="B222" s="30"/>
      <c r="C222" s="30"/>
      <c r="D222" s="30"/>
      <c r="E222" s="30"/>
      <c r="F222" s="30"/>
      <c r="G222" s="30"/>
      <c r="H222" s="30"/>
      <c r="I222" s="30"/>
      <c r="J222" s="30"/>
      <c r="K222" s="30"/>
    </row>
    <row r="223" spans="1:11" ht="15">
      <c r="A223" s="30"/>
      <c r="B223" s="30"/>
      <c r="C223" s="30"/>
      <c r="D223" s="30"/>
      <c r="E223" s="30"/>
      <c r="F223" s="30"/>
      <c r="G223" s="30"/>
      <c r="H223" s="30"/>
      <c r="I223" s="30"/>
      <c r="J223" s="30"/>
      <c r="K223" s="30"/>
    </row>
    <row r="224" spans="1:11" ht="15">
      <c r="A224" s="30"/>
      <c r="B224" s="30"/>
      <c r="C224" s="30"/>
      <c r="D224" s="30"/>
      <c r="E224" s="30"/>
      <c r="F224" s="30"/>
      <c r="G224" s="30"/>
      <c r="H224" s="30"/>
      <c r="I224" s="30"/>
      <c r="J224" s="30"/>
      <c r="K224" s="30"/>
    </row>
    <row r="225" spans="1:11" ht="15">
      <c r="A225" s="30"/>
      <c r="B225" s="30"/>
      <c r="C225" s="30"/>
      <c r="D225" s="30"/>
      <c r="E225" s="30"/>
      <c r="F225" s="30"/>
      <c r="G225" s="30"/>
      <c r="H225" s="30"/>
      <c r="I225" s="30"/>
      <c r="J225" s="30"/>
      <c r="K225" s="30"/>
    </row>
    <row r="226" spans="1:11" ht="15">
      <c r="A226" s="30"/>
      <c r="B226" s="30"/>
      <c r="C226" s="30"/>
      <c r="D226" s="30"/>
      <c r="E226" s="30"/>
      <c r="F226" s="30"/>
      <c r="G226" s="30"/>
      <c r="H226" s="30"/>
      <c r="I226" s="30"/>
      <c r="J226" s="30"/>
      <c r="K226" s="30"/>
    </row>
    <row r="227" spans="1:11" ht="15">
      <c r="A227" s="30"/>
      <c r="B227" s="30"/>
      <c r="C227" s="30"/>
      <c r="D227" s="30"/>
      <c r="E227" s="30"/>
      <c r="F227" s="30"/>
      <c r="G227" s="30"/>
      <c r="H227" s="30"/>
      <c r="I227" s="30"/>
      <c r="J227" s="30"/>
      <c r="K227" s="30"/>
    </row>
    <row r="228" spans="1:11" ht="15">
      <c r="A228" s="30"/>
      <c r="B228" s="30"/>
      <c r="C228" s="30"/>
      <c r="D228" s="30"/>
      <c r="E228" s="30"/>
      <c r="F228" s="30"/>
      <c r="G228" s="30"/>
      <c r="H228" s="30"/>
      <c r="I228" s="30"/>
      <c r="J228" s="30"/>
      <c r="K228" s="30"/>
    </row>
    <row r="229" spans="1:11" ht="15">
      <c r="A229" s="30"/>
      <c r="B229" s="30"/>
      <c r="C229" s="30"/>
      <c r="D229" s="30"/>
      <c r="E229" s="30"/>
      <c r="F229" s="30"/>
      <c r="G229" s="30"/>
      <c r="H229" s="30"/>
      <c r="I229" s="30"/>
      <c r="J229" s="30"/>
      <c r="K229" s="30"/>
    </row>
    <row r="230" spans="1:11" ht="15">
      <c r="A230" s="30"/>
      <c r="B230" s="30"/>
      <c r="C230" s="30"/>
      <c r="D230" s="30"/>
      <c r="E230" s="30"/>
      <c r="F230" s="30"/>
      <c r="G230" s="30"/>
      <c r="H230" s="30"/>
      <c r="I230" s="30"/>
      <c r="J230" s="30"/>
      <c r="K230" s="30"/>
    </row>
    <row r="231" spans="1:11" ht="15">
      <c r="A231" s="30"/>
      <c r="B231" s="30"/>
      <c r="C231" s="30"/>
      <c r="D231" s="30"/>
      <c r="E231" s="30"/>
      <c r="F231" s="30"/>
      <c r="G231" s="30"/>
      <c r="H231" s="30"/>
      <c r="I231" s="30"/>
      <c r="J231" s="30"/>
      <c r="K231" s="30"/>
    </row>
    <row r="232" spans="1:11" ht="15">
      <c r="A232" s="30"/>
      <c r="B232" s="30"/>
      <c r="C232" s="30"/>
      <c r="D232" s="30"/>
      <c r="E232" s="30"/>
      <c r="F232" s="30"/>
      <c r="G232" s="30"/>
      <c r="H232" s="30"/>
      <c r="I232" s="30"/>
      <c r="J232" s="30"/>
      <c r="K232" s="30"/>
    </row>
    <row r="233" spans="1:11" ht="15">
      <c r="A233" s="30"/>
      <c r="B233" s="30"/>
      <c r="C233" s="30"/>
      <c r="D233" s="30"/>
      <c r="E233" s="30"/>
      <c r="F233" s="30"/>
      <c r="G233" s="30"/>
      <c r="H233" s="30"/>
      <c r="I233" s="30"/>
      <c r="J233" s="30"/>
      <c r="K233" s="30"/>
    </row>
    <row r="234" spans="1:11" ht="15">
      <c r="A234" s="30"/>
      <c r="B234" s="30"/>
      <c r="C234" s="30"/>
      <c r="D234" s="30"/>
      <c r="E234" s="30"/>
      <c r="F234" s="30"/>
      <c r="G234" s="30"/>
      <c r="H234" s="30"/>
      <c r="I234" s="30"/>
      <c r="J234" s="30"/>
      <c r="K234" s="30"/>
    </row>
    <row r="235" spans="1:11" ht="15">
      <c r="A235" s="30"/>
      <c r="B235" s="30"/>
      <c r="C235" s="30"/>
      <c r="D235" s="30"/>
      <c r="E235" s="30"/>
      <c r="F235" s="30"/>
      <c r="G235" s="30"/>
      <c r="H235" s="30"/>
      <c r="I235" s="30"/>
      <c r="J235" s="30"/>
      <c r="K235" s="30"/>
    </row>
    <row r="236" spans="1:11" ht="15">
      <c r="A236" s="30"/>
      <c r="B236" s="30"/>
      <c r="C236" s="30"/>
      <c r="D236" s="30"/>
      <c r="E236" s="30"/>
      <c r="F236" s="30"/>
      <c r="G236" s="30"/>
      <c r="H236" s="30"/>
      <c r="I236" s="30"/>
      <c r="J236" s="30"/>
      <c r="K236" s="30"/>
    </row>
    <row r="237" spans="1:11" ht="15">
      <c r="A237" s="30"/>
      <c r="B237" s="30"/>
      <c r="C237" s="30"/>
      <c r="D237" s="30"/>
      <c r="E237" s="30"/>
      <c r="F237" s="30"/>
      <c r="G237" s="30"/>
      <c r="H237" s="30"/>
      <c r="I237" s="30"/>
      <c r="J237" s="30"/>
      <c r="K237" s="30"/>
    </row>
    <row r="238" spans="1:11" ht="15">
      <c r="A238" s="30"/>
      <c r="B238" s="30"/>
      <c r="C238" s="30"/>
      <c r="D238" s="30"/>
      <c r="E238" s="30"/>
      <c r="F238" s="30"/>
      <c r="G238" s="30"/>
      <c r="H238" s="30"/>
      <c r="I238" s="30"/>
      <c r="J238" s="30"/>
      <c r="K238" s="30"/>
    </row>
    <row r="239" spans="1:11" ht="15">
      <c r="A239" s="30"/>
      <c r="B239" s="30"/>
      <c r="C239" s="30"/>
      <c r="D239" s="30"/>
      <c r="E239" s="30"/>
      <c r="F239" s="30"/>
      <c r="G239" s="30"/>
      <c r="H239" s="30"/>
      <c r="I239" s="30"/>
      <c r="J239" s="30"/>
      <c r="K239" s="30"/>
    </row>
    <row r="240" spans="1:11" ht="15">
      <c r="A240" s="30"/>
      <c r="B240" s="30"/>
      <c r="C240" s="30"/>
      <c r="D240" s="30"/>
      <c r="E240" s="30"/>
      <c r="F240" s="30"/>
      <c r="G240" s="30"/>
      <c r="H240" s="30"/>
      <c r="I240" s="30"/>
      <c r="J240" s="30"/>
      <c r="K240" s="30"/>
    </row>
    <row r="241" spans="1:11" ht="15">
      <c r="A241" s="30"/>
      <c r="B241" s="30"/>
      <c r="C241" s="30"/>
      <c r="D241" s="30"/>
      <c r="E241" s="30"/>
      <c r="F241" s="30"/>
      <c r="G241" s="30"/>
      <c r="H241" s="30"/>
      <c r="I241" s="30"/>
      <c r="J241" s="30"/>
      <c r="K241" s="30"/>
    </row>
    <row r="242" spans="1:11" ht="15">
      <c r="A242" s="30"/>
      <c r="B242" s="30"/>
      <c r="C242" s="30"/>
      <c r="D242" s="30"/>
      <c r="E242" s="30"/>
      <c r="F242" s="30"/>
      <c r="G242" s="30"/>
      <c r="H242" s="30"/>
      <c r="I242" s="30"/>
      <c r="J242" s="30"/>
      <c r="K242" s="30"/>
    </row>
    <row r="243" spans="1:11" ht="15">
      <c r="A243" s="30"/>
      <c r="B243" s="30"/>
      <c r="C243" s="30"/>
      <c r="D243" s="30"/>
      <c r="E243" s="30"/>
      <c r="F243" s="30"/>
      <c r="G243" s="30"/>
      <c r="H243" s="30"/>
      <c r="I243" s="30"/>
      <c r="J243" s="30"/>
      <c r="K243" s="30"/>
    </row>
    <row r="244" spans="1:11" ht="15">
      <c r="A244" s="30"/>
      <c r="B244" s="30"/>
      <c r="C244" s="30"/>
      <c r="D244" s="30"/>
      <c r="E244" s="30"/>
      <c r="F244" s="30"/>
      <c r="G244" s="30"/>
      <c r="H244" s="30"/>
      <c r="I244" s="30"/>
      <c r="J244" s="30"/>
      <c r="K244" s="30"/>
    </row>
    <row r="245" spans="1:11" ht="15">
      <c r="A245" s="30"/>
      <c r="B245" s="30"/>
      <c r="C245" s="30"/>
      <c r="D245" s="30"/>
      <c r="E245" s="30"/>
      <c r="F245" s="30"/>
      <c r="G245" s="30"/>
      <c r="H245" s="30"/>
      <c r="I245" s="30"/>
      <c r="J245" s="30"/>
      <c r="K245" s="30"/>
    </row>
    <row r="246" spans="1:11" ht="15">
      <c r="A246" s="30"/>
      <c r="B246" s="30"/>
      <c r="C246" s="30"/>
      <c r="D246" s="30"/>
      <c r="E246" s="30"/>
      <c r="F246" s="30"/>
      <c r="G246" s="30"/>
      <c r="H246" s="30"/>
      <c r="I246" s="30"/>
      <c r="J246" s="30"/>
      <c r="K246" s="30"/>
    </row>
    <row r="247" spans="1:11" ht="15">
      <c r="A247" s="30"/>
      <c r="B247" s="30"/>
      <c r="C247" s="30"/>
      <c r="D247" s="30"/>
      <c r="E247" s="30"/>
      <c r="F247" s="30"/>
      <c r="G247" s="30"/>
      <c r="H247" s="30"/>
      <c r="I247" s="30"/>
      <c r="J247" s="30"/>
      <c r="K247" s="30"/>
    </row>
    <row r="248" spans="1:11" ht="15">
      <c r="A248" s="30"/>
      <c r="B248" s="30"/>
      <c r="C248" s="30"/>
      <c r="D248" s="30"/>
      <c r="E248" s="30"/>
      <c r="F248" s="30"/>
      <c r="G248" s="30"/>
      <c r="H248" s="30"/>
      <c r="I248" s="30"/>
      <c r="J248" s="30"/>
      <c r="K248" s="30"/>
    </row>
    <row r="249" spans="1:11" ht="15">
      <c r="A249" s="30"/>
      <c r="B249" s="30"/>
      <c r="C249" s="30"/>
      <c r="D249" s="30"/>
      <c r="E249" s="30"/>
      <c r="F249" s="30"/>
      <c r="G249" s="30"/>
      <c r="H249" s="30"/>
      <c r="I249" s="30"/>
      <c r="J249" s="30"/>
      <c r="K249" s="30"/>
    </row>
    <row r="250" spans="1:11" ht="15">
      <c r="A250" s="30"/>
      <c r="B250" s="30"/>
      <c r="C250" s="30"/>
      <c r="D250" s="30"/>
      <c r="E250" s="30"/>
      <c r="F250" s="30"/>
      <c r="G250" s="30"/>
      <c r="H250" s="30"/>
      <c r="I250" s="30"/>
      <c r="J250" s="30"/>
      <c r="K250" s="30"/>
    </row>
    <row r="251" spans="1:11" ht="15">
      <c r="A251" s="30"/>
      <c r="B251" s="30"/>
      <c r="C251" s="30"/>
      <c r="D251" s="30"/>
      <c r="E251" s="30"/>
      <c r="F251" s="30"/>
      <c r="G251" s="30"/>
      <c r="H251" s="30"/>
      <c r="I251" s="30"/>
      <c r="J251" s="30"/>
      <c r="K251" s="30"/>
    </row>
    <row r="252" spans="1:11" ht="15">
      <c r="A252" s="30"/>
      <c r="B252" s="30"/>
      <c r="C252" s="30"/>
      <c r="D252" s="30"/>
      <c r="E252" s="30"/>
      <c r="F252" s="30"/>
      <c r="G252" s="30"/>
      <c r="H252" s="30"/>
      <c r="I252" s="30"/>
      <c r="J252" s="30"/>
      <c r="K252" s="30"/>
    </row>
    <row r="253" spans="1:11" ht="15">
      <c r="A253" s="30"/>
      <c r="B253" s="30"/>
      <c r="C253" s="30"/>
      <c r="D253" s="30"/>
      <c r="E253" s="30"/>
      <c r="F253" s="30"/>
      <c r="G253" s="30"/>
      <c r="H253" s="30"/>
      <c r="I253" s="30"/>
      <c r="J253" s="30"/>
      <c r="K253" s="30"/>
    </row>
    <row r="254" spans="1:11" ht="15">
      <c r="A254" s="30"/>
      <c r="B254" s="30"/>
      <c r="C254" s="30"/>
      <c r="D254" s="30"/>
      <c r="E254" s="30"/>
      <c r="F254" s="30"/>
      <c r="G254" s="30"/>
      <c r="H254" s="30"/>
      <c r="I254" s="30"/>
      <c r="J254" s="30"/>
      <c r="K254" s="30"/>
    </row>
    <row r="255" spans="1:11" ht="15">
      <c r="A255" s="30"/>
      <c r="B255" s="30"/>
      <c r="C255" s="30"/>
      <c r="D255" s="30"/>
      <c r="E255" s="30"/>
      <c r="F255" s="30"/>
      <c r="G255" s="30"/>
      <c r="H255" s="30"/>
      <c r="I255" s="30"/>
      <c r="J255" s="30"/>
      <c r="K255" s="30"/>
    </row>
    <row r="256" spans="1:11" ht="15">
      <c r="A256" s="30"/>
      <c r="B256" s="30"/>
      <c r="C256" s="30"/>
      <c r="D256" s="30"/>
      <c r="E256" s="30"/>
      <c r="F256" s="30"/>
      <c r="G256" s="30"/>
      <c r="H256" s="30"/>
      <c r="I256" s="30"/>
      <c r="J256" s="30"/>
      <c r="K256" s="30"/>
    </row>
    <row r="257" spans="1:11" ht="15">
      <c r="A257" s="30"/>
      <c r="B257" s="30"/>
      <c r="C257" s="30"/>
      <c r="D257" s="30"/>
      <c r="E257" s="30"/>
      <c r="F257" s="30"/>
      <c r="G257" s="30"/>
      <c r="H257" s="30"/>
      <c r="I257" s="30"/>
      <c r="J257" s="30"/>
      <c r="K257" s="30"/>
    </row>
    <row r="258" spans="1:11" ht="15">
      <c r="A258" s="30"/>
      <c r="B258" s="30"/>
      <c r="C258" s="30"/>
      <c r="D258" s="30"/>
      <c r="E258" s="30"/>
      <c r="F258" s="30"/>
      <c r="G258" s="30"/>
      <c r="H258" s="30"/>
      <c r="I258" s="30"/>
      <c r="J258" s="30"/>
      <c r="K258" s="30"/>
    </row>
    <row r="259" spans="1:11" ht="15">
      <c r="A259" s="30"/>
      <c r="B259" s="30"/>
      <c r="C259" s="30"/>
      <c r="D259" s="30"/>
      <c r="E259" s="30"/>
      <c r="F259" s="30"/>
      <c r="G259" s="30"/>
      <c r="H259" s="30"/>
      <c r="I259" s="30"/>
      <c r="J259" s="30"/>
      <c r="K259" s="30"/>
    </row>
    <row r="260" spans="1:11" ht="15">
      <c r="A260" s="30"/>
      <c r="B260" s="30"/>
      <c r="C260" s="30"/>
      <c r="D260" s="30"/>
      <c r="E260" s="30"/>
      <c r="F260" s="30"/>
      <c r="G260" s="30"/>
      <c r="H260" s="30"/>
      <c r="I260" s="30"/>
      <c r="J260" s="30"/>
      <c r="K260" s="30"/>
    </row>
    <row r="261" spans="1:11" ht="15">
      <c r="A261" s="30"/>
      <c r="B261" s="30"/>
      <c r="C261" s="30"/>
      <c r="D261" s="30"/>
      <c r="E261" s="30"/>
      <c r="F261" s="30"/>
      <c r="G261" s="30"/>
      <c r="H261" s="30"/>
      <c r="I261" s="30"/>
      <c r="J261" s="30"/>
      <c r="K261" s="30"/>
    </row>
    <row r="262" spans="1:11" ht="15">
      <c r="A262" s="30"/>
      <c r="B262" s="30"/>
      <c r="C262" s="30"/>
      <c r="D262" s="30"/>
      <c r="E262" s="30"/>
      <c r="F262" s="30"/>
      <c r="G262" s="30"/>
      <c r="H262" s="30"/>
      <c r="I262" s="30"/>
      <c r="J262" s="30"/>
      <c r="K262" s="30"/>
    </row>
    <row r="263" spans="1:11" ht="15">
      <c r="A263" s="30"/>
      <c r="B263" s="30"/>
      <c r="C263" s="30"/>
      <c r="D263" s="30"/>
      <c r="E263" s="30"/>
      <c r="F263" s="30"/>
      <c r="G263" s="30"/>
      <c r="H263" s="30"/>
      <c r="I263" s="30"/>
      <c r="J263" s="30"/>
      <c r="K263" s="30"/>
    </row>
    <row r="264" spans="1:11" ht="15">
      <c r="A264" s="30"/>
      <c r="B264" s="30"/>
      <c r="C264" s="30"/>
      <c r="D264" s="30"/>
      <c r="E264" s="30"/>
      <c r="F264" s="30"/>
      <c r="G264" s="30"/>
      <c r="H264" s="30"/>
      <c r="I264" s="30"/>
      <c r="J264" s="30"/>
      <c r="K264" s="30"/>
    </row>
    <row r="265" spans="1:11" ht="15">
      <c r="A265" s="30"/>
      <c r="B265" s="30"/>
      <c r="C265" s="30"/>
      <c r="D265" s="30"/>
      <c r="E265" s="30"/>
      <c r="F265" s="30"/>
      <c r="G265" s="30"/>
      <c r="H265" s="30"/>
      <c r="I265" s="30"/>
      <c r="J265" s="30"/>
      <c r="K265" s="30"/>
    </row>
    <row r="266" spans="1:11" ht="15">
      <c r="A266" s="30"/>
      <c r="B266" s="30"/>
      <c r="C266" s="30"/>
      <c r="D266" s="30"/>
      <c r="E266" s="30"/>
      <c r="F266" s="30"/>
      <c r="G266" s="30"/>
      <c r="H266" s="30"/>
      <c r="I266" s="30"/>
      <c r="J266" s="30"/>
      <c r="K266" s="30"/>
    </row>
    <row r="267" spans="1:11" ht="15">
      <c r="A267" s="30"/>
      <c r="B267" s="30"/>
      <c r="C267" s="30"/>
      <c r="D267" s="30"/>
      <c r="E267" s="30"/>
      <c r="F267" s="30"/>
      <c r="G267" s="30"/>
      <c r="H267" s="30"/>
      <c r="I267" s="30"/>
      <c r="J267" s="30"/>
      <c r="K267" s="30"/>
    </row>
    <row r="268" spans="1:11" ht="15">
      <c r="A268" s="30"/>
      <c r="B268" s="30"/>
      <c r="C268" s="30"/>
      <c r="D268" s="30"/>
      <c r="E268" s="30"/>
      <c r="F268" s="30"/>
      <c r="G268" s="30"/>
      <c r="H268" s="30"/>
      <c r="I268" s="30"/>
      <c r="J268" s="30"/>
      <c r="K268" s="30"/>
    </row>
    <row r="269" spans="1:11" ht="15">
      <c r="A269" s="30"/>
      <c r="B269" s="30"/>
      <c r="C269" s="30"/>
      <c r="D269" s="30"/>
      <c r="E269" s="30"/>
      <c r="F269" s="30"/>
      <c r="G269" s="30"/>
      <c r="H269" s="30"/>
      <c r="I269" s="30"/>
      <c r="J269" s="30"/>
      <c r="K269" s="30"/>
    </row>
    <row r="270" spans="1:11" ht="15">
      <c r="A270" s="30"/>
      <c r="B270" s="30"/>
      <c r="C270" s="30"/>
      <c r="D270" s="30"/>
      <c r="E270" s="30"/>
      <c r="F270" s="30"/>
      <c r="G270" s="30"/>
      <c r="H270" s="30"/>
      <c r="I270" s="30"/>
      <c r="J270" s="30"/>
      <c r="K270" s="30"/>
    </row>
    <row r="271" spans="1:11" ht="15">
      <c r="A271" s="30"/>
      <c r="B271" s="30"/>
      <c r="C271" s="30"/>
      <c r="D271" s="30"/>
      <c r="E271" s="30"/>
      <c r="F271" s="30"/>
      <c r="G271" s="30"/>
      <c r="H271" s="30"/>
      <c r="I271" s="30"/>
      <c r="J271" s="30"/>
      <c r="K271" s="30"/>
    </row>
    <row r="272" spans="1:11" ht="15">
      <c r="A272" s="30"/>
      <c r="B272" s="30"/>
      <c r="C272" s="30"/>
      <c r="D272" s="30"/>
      <c r="E272" s="30"/>
      <c r="F272" s="30"/>
      <c r="G272" s="30"/>
      <c r="H272" s="30"/>
      <c r="I272" s="30"/>
      <c r="J272" s="30"/>
      <c r="K272" s="30"/>
    </row>
    <row r="273" spans="1:11" ht="15">
      <c r="A273" s="30"/>
      <c r="B273" s="30"/>
      <c r="C273" s="30"/>
      <c r="D273" s="30"/>
      <c r="E273" s="30"/>
      <c r="F273" s="30"/>
      <c r="G273" s="30"/>
      <c r="H273" s="30"/>
      <c r="I273" s="30"/>
      <c r="J273" s="30"/>
      <c r="K273" s="30"/>
    </row>
    <row r="274" spans="1:11" ht="15">
      <c r="A274" s="30"/>
      <c r="B274" s="30"/>
      <c r="C274" s="30"/>
      <c r="D274" s="30"/>
      <c r="E274" s="30"/>
      <c r="F274" s="30"/>
      <c r="G274" s="30"/>
      <c r="H274" s="30"/>
      <c r="I274" s="30"/>
      <c r="J274" s="30"/>
      <c r="K274" s="30"/>
    </row>
    <row r="275" spans="1:11" ht="15">
      <c r="A275" s="30"/>
      <c r="B275" s="30"/>
      <c r="C275" s="30"/>
      <c r="D275" s="30"/>
      <c r="E275" s="30"/>
      <c r="F275" s="30"/>
      <c r="G275" s="30"/>
      <c r="H275" s="30"/>
      <c r="I275" s="30"/>
      <c r="J275" s="30"/>
      <c r="K275" s="30"/>
    </row>
    <row r="276" spans="1:11" ht="15">
      <c r="A276" s="30"/>
      <c r="B276" s="30"/>
      <c r="C276" s="30"/>
      <c r="D276" s="30"/>
      <c r="E276" s="30"/>
      <c r="F276" s="30"/>
      <c r="G276" s="30"/>
      <c r="H276" s="30"/>
      <c r="I276" s="30"/>
      <c r="J276" s="30"/>
      <c r="K276" s="30"/>
    </row>
    <row r="277" spans="1:11" ht="15">
      <c r="A277" s="30"/>
      <c r="B277" s="30"/>
      <c r="C277" s="30"/>
      <c r="D277" s="30"/>
      <c r="E277" s="30"/>
      <c r="F277" s="30"/>
      <c r="G277" s="30"/>
      <c r="H277" s="30"/>
      <c r="I277" s="30"/>
      <c r="J277" s="30"/>
      <c r="K277" s="30"/>
    </row>
    <row r="278" spans="1:11" ht="15">
      <c r="A278" s="30"/>
      <c r="B278" s="30"/>
      <c r="C278" s="30"/>
      <c r="D278" s="30"/>
      <c r="E278" s="30"/>
      <c r="F278" s="30"/>
      <c r="G278" s="30"/>
      <c r="H278" s="30"/>
      <c r="I278" s="30"/>
      <c r="J278" s="30"/>
      <c r="K278" s="30"/>
    </row>
    <row r="279" spans="1:11" ht="15">
      <c r="A279" s="30"/>
      <c r="B279" s="30"/>
      <c r="C279" s="30"/>
      <c r="D279" s="30"/>
      <c r="E279" s="30"/>
      <c r="F279" s="30"/>
      <c r="G279" s="30"/>
      <c r="H279" s="30"/>
      <c r="I279" s="30"/>
      <c r="J279" s="30"/>
      <c r="K279" s="30"/>
    </row>
    <row r="280" spans="1:11" ht="15">
      <c r="A280" s="30"/>
      <c r="B280" s="30"/>
      <c r="C280" s="30"/>
      <c r="D280" s="30"/>
      <c r="E280" s="30"/>
      <c r="F280" s="30"/>
      <c r="G280" s="30"/>
      <c r="H280" s="30"/>
      <c r="I280" s="30"/>
      <c r="J280" s="30"/>
      <c r="K280" s="30"/>
    </row>
    <row r="281" spans="1:11" ht="15">
      <c r="A281" s="30"/>
      <c r="B281" s="30"/>
      <c r="C281" s="30"/>
      <c r="D281" s="30"/>
      <c r="E281" s="30"/>
      <c r="F281" s="30"/>
      <c r="G281" s="30"/>
      <c r="H281" s="30"/>
      <c r="I281" s="30"/>
      <c r="J281" s="30"/>
      <c r="K281" s="30"/>
    </row>
    <row r="282" spans="1:11" ht="15">
      <c r="A282" s="30"/>
      <c r="B282" s="30"/>
      <c r="C282" s="30"/>
      <c r="D282" s="30"/>
      <c r="E282" s="30"/>
      <c r="F282" s="30"/>
      <c r="G282" s="30"/>
      <c r="H282" s="30"/>
      <c r="I282" s="30"/>
      <c r="J282" s="30"/>
      <c r="K282" s="30"/>
    </row>
    <row r="283" spans="1:11" ht="15">
      <c r="A283" s="30"/>
      <c r="B283" s="30"/>
      <c r="C283" s="30"/>
      <c r="D283" s="30"/>
      <c r="E283" s="30"/>
      <c r="F283" s="30"/>
      <c r="G283" s="30"/>
      <c r="H283" s="30"/>
      <c r="I283" s="30"/>
      <c r="J283" s="30"/>
      <c r="K283" s="30"/>
    </row>
    <row r="284" spans="1:11" ht="15">
      <c r="A284" s="30"/>
      <c r="B284" s="30"/>
      <c r="C284" s="30"/>
      <c r="D284" s="30"/>
      <c r="E284" s="30"/>
      <c r="F284" s="30"/>
      <c r="G284" s="30"/>
      <c r="H284" s="30"/>
      <c r="I284" s="30"/>
      <c r="J284" s="30"/>
      <c r="K284" s="30"/>
    </row>
    <row r="285" spans="1:11" ht="15">
      <c r="A285" s="30"/>
      <c r="B285" s="30"/>
      <c r="C285" s="30"/>
      <c r="D285" s="30"/>
      <c r="E285" s="30"/>
      <c r="F285" s="30"/>
      <c r="G285" s="30"/>
      <c r="H285" s="30"/>
      <c r="I285" s="30"/>
      <c r="J285" s="30"/>
      <c r="K285" s="30"/>
    </row>
    <row r="286" spans="1:11" ht="15">
      <c r="A286" s="30"/>
      <c r="B286" s="30"/>
      <c r="C286" s="30"/>
      <c r="D286" s="30"/>
      <c r="E286" s="30"/>
      <c r="F286" s="30"/>
      <c r="G286" s="30"/>
      <c r="H286" s="30"/>
      <c r="I286" s="30"/>
      <c r="J286" s="30"/>
      <c r="K286" s="30"/>
    </row>
    <row r="287" spans="1:11" ht="15">
      <c r="A287" s="30"/>
      <c r="B287" s="30"/>
      <c r="C287" s="30"/>
      <c r="D287" s="30"/>
      <c r="E287" s="30"/>
      <c r="F287" s="30"/>
      <c r="G287" s="30"/>
      <c r="H287" s="30"/>
      <c r="I287" s="30"/>
      <c r="J287" s="30"/>
      <c r="K287" s="30"/>
    </row>
    <row r="288" spans="1:11" ht="15">
      <c r="A288" s="30"/>
      <c r="B288" s="30"/>
      <c r="C288" s="30"/>
      <c r="D288" s="30"/>
      <c r="E288" s="30"/>
      <c r="F288" s="30"/>
      <c r="G288" s="30"/>
      <c r="H288" s="30"/>
      <c r="I288" s="30"/>
      <c r="J288" s="30"/>
      <c r="K288" s="30"/>
    </row>
    <row r="289" spans="1:11" ht="15">
      <c r="A289" s="30"/>
      <c r="B289" s="30"/>
      <c r="C289" s="30"/>
      <c r="D289" s="30"/>
      <c r="E289" s="30"/>
      <c r="F289" s="30"/>
      <c r="G289" s="30"/>
      <c r="H289" s="30"/>
      <c r="I289" s="30"/>
      <c r="J289" s="30"/>
      <c r="K289" s="30"/>
    </row>
    <row r="290" spans="1:11" ht="15">
      <c r="A290" s="30"/>
      <c r="B290" s="30"/>
      <c r="C290" s="30"/>
      <c r="D290" s="30"/>
      <c r="E290" s="30"/>
      <c r="F290" s="30"/>
      <c r="G290" s="30"/>
      <c r="H290" s="30"/>
      <c r="I290" s="30"/>
      <c r="J290" s="30"/>
      <c r="K290" s="30"/>
    </row>
    <row r="291" spans="1:11" ht="15">
      <c r="A291" s="30"/>
      <c r="B291" s="30"/>
      <c r="C291" s="30"/>
      <c r="D291" s="30"/>
      <c r="E291" s="30"/>
      <c r="F291" s="30"/>
      <c r="G291" s="30"/>
      <c r="H291" s="30"/>
      <c r="I291" s="30"/>
      <c r="J291" s="30"/>
      <c r="K291" s="30"/>
    </row>
    <row r="292" spans="1:11" ht="15">
      <c r="A292" s="30"/>
      <c r="B292" s="30"/>
      <c r="C292" s="30"/>
      <c r="D292" s="30"/>
      <c r="E292" s="30"/>
      <c r="F292" s="30"/>
      <c r="G292" s="30"/>
      <c r="H292" s="30"/>
      <c r="I292" s="30"/>
      <c r="J292" s="30"/>
      <c r="K292" s="30"/>
    </row>
    <row r="293" spans="1:11" ht="15">
      <c r="A293" s="30"/>
      <c r="B293" s="30"/>
      <c r="C293" s="30"/>
      <c r="D293" s="30"/>
      <c r="E293" s="30"/>
      <c r="F293" s="30"/>
      <c r="G293" s="30"/>
      <c r="H293" s="30"/>
      <c r="I293" s="30"/>
      <c r="J293" s="30"/>
      <c r="K293" s="30"/>
    </row>
    <row r="294" spans="1:11" ht="15">
      <c r="A294" s="30"/>
      <c r="B294" s="30"/>
      <c r="C294" s="30"/>
      <c r="D294" s="30"/>
      <c r="E294" s="30"/>
      <c r="F294" s="30"/>
      <c r="G294" s="30"/>
      <c r="H294" s="30"/>
      <c r="I294" s="30"/>
      <c r="J294" s="30"/>
      <c r="K294" s="30"/>
    </row>
    <row r="295" spans="1:11" ht="15">
      <c r="A295" s="30"/>
      <c r="B295" s="30"/>
      <c r="C295" s="30"/>
      <c r="D295" s="30"/>
      <c r="E295" s="30"/>
      <c r="F295" s="30"/>
      <c r="G295" s="30"/>
      <c r="H295" s="30"/>
      <c r="I295" s="30"/>
      <c r="J295" s="30"/>
      <c r="K295" s="30"/>
    </row>
    <row r="296" spans="1:11" ht="15">
      <c r="A296" s="30"/>
      <c r="B296" s="30"/>
      <c r="C296" s="30"/>
      <c r="D296" s="30"/>
      <c r="E296" s="30"/>
      <c r="F296" s="30"/>
      <c r="G296" s="30"/>
      <c r="H296" s="30"/>
      <c r="I296" s="30"/>
      <c r="J296" s="30"/>
      <c r="K296" s="30"/>
    </row>
    <row r="297" spans="1:11" ht="15">
      <c r="A297" s="30"/>
      <c r="B297" s="30"/>
      <c r="C297" s="30"/>
      <c r="D297" s="30"/>
      <c r="E297" s="30"/>
      <c r="F297" s="30"/>
      <c r="G297" s="30"/>
      <c r="H297" s="30"/>
      <c r="I297" s="30"/>
      <c r="J297" s="30"/>
      <c r="K297" s="30"/>
    </row>
    <row r="298" spans="1:11" ht="15">
      <c r="A298" s="30"/>
      <c r="B298" s="30"/>
      <c r="C298" s="30"/>
      <c r="D298" s="30"/>
      <c r="E298" s="30"/>
      <c r="F298" s="30"/>
      <c r="G298" s="30"/>
      <c r="H298" s="30"/>
      <c r="I298" s="30"/>
      <c r="J298" s="30"/>
      <c r="K298" s="30"/>
    </row>
    <row r="299" spans="1:11" ht="15">
      <c r="A299" s="30"/>
      <c r="B299" s="30"/>
      <c r="C299" s="30"/>
      <c r="D299" s="30"/>
      <c r="E299" s="30"/>
      <c r="F299" s="30"/>
      <c r="G299" s="30"/>
      <c r="H299" s="30"/>
      <c r="I299" s="30"/>
      <c r="J299" s="30"/>
      <c r="K299" s="30"/>
    </row>
    <row r="300" spans="1:11" ht="15">
      <c r="A300" s="30"/>
      <c r="B300" s="30"/>
      <c r="C300" s="30"/>
      <c r="D300" s="30"/>
      <c r="E300" s="30"/>
      <c r="F300" s="30"/>
      <c r="G300" s="30"/>
      <c r="H300" s="30"/>
      <c r="I300" s="30"/>
      <c r="J300" s="30"/>
      <c r="K300" s="30"/>
    </row>
    <row r="301" spans="1:11" ht="15">
      <c r="A301" s="30"/>
      <c r="B301" s="30"/>
      <c r="C301" s="30"/>
      <c r="D301" s="30"/>
      <c r="E301" s="30"/>
      <c r="F301" s="30"/>
      <c r="G301" s="30"/>
      <c r="H301" s="30"/>
      <c r="I301" s="30"/>
      <c r="J301" s="30"/>
      <c r="K301" s="30"/>
    </row>
    <row r="302" spans="1:11" ht="15">
      <c r="A302" s="30"/>
      <c r="B302" s="30"/>
      <c r="C302" s="30"/>
      <c r="D302" s="30"/>
      <c r="E302" s="30"/>
      <c r="F302" s="30"/>
      <c r="G302" s="30"/>
      <c r="H302" s="30"/>
      <c r="I302" s="30"/>
      <c r="J302" s="30"/>
      <c r="K302" s="30"/>
    </row>
    <row r="303" spans="1:11" ht="15">
      <c r="A303" s="30"/>
      <c r="B303" s="30"/>
      <c r="C303" s="30"/>
      <c r="D303" s="30"/>
      <c r="E303" s="30"/>
      <c r="F303" s="30"/>
      <c r="G303" s="30"/>
      <c r="H303" s="30"/>
      <c r="I303" s="30"/>
      <c r="J303" s="30"/>
      <c r="K303" s="30"/>
    </row>
    <row r="304" spans="1:11" ht="15">
      <c r="A304" s="30"/>
      <c r="B304" s="30"/>
      <c r="C304" s="30"/>
      <c r="D304" s="30"/>
      <c r="E304" s="30"/>
      <c r="F304" s="30"/>
      <c r="G304" s="30"/>
      <c r="H304" s="30"/>
      <c r="I304" s="30"/>
      <c r="J304" s="30"/>
      <c r="K304" s="30"/>
    </row>
    <row r="305" spans="1:11" ht="15">
      <c r="A305" s="30"/>
      <c r="B305" s="30"/>
      <c r="C305" s="30"/>
      <c r="D305" s="30"/>
      <c r="E305" s="30"/>
      <c r="F305" s="30"/>
      <c r="G305" s="30"/>
      <c r="H305" s="30"/>
      <c r="I305" s="30"/>
      <c r="J305" s="30"/>
      <c r="K305" s="30"/>
    </row>
    <row r="306" spans="1:11" ht="15">
      <c r="A306" s="30"/>
      <c r="B306" s="30"/>
      <c r="C306" s="30"/>
      <c r="D306" s="30"/>
      <c r="E306" s="30"/>
      <c r="F306" s="30"/>
      <c r="G306" s="30"/>
      <c r="H306" s="30"/>
      <c r="I306" s="30"/>
      <c r="J306" s="30"/>
      <c r="K306" s="30"/>
    </row>
    <row r="307" spans="1:11" ht="15">
      <c r="A307" s="30"/>
      <c r="B307" s="30"/>
      <c r="C307" s="30"/>
      <c r="D307" s="30"/>
      <c r="E307" s="30"/>
      <c r="F307" s="30"/>
      <c r="G307" s="30"/>
      <c r="H307" s="30"/>
      <c r="I307" s="30"/>
      <c r="J307" s="30"/>
      <c r="K307" s="30"/>
    </row>
    <row r="308" spans="1:11" ht="15">
      <c r="A308" s="30"/>
      <c r="B308" s="30"/>
      <c r="C308" s="30"/>
      <c r="D308" s="30"/>
      <c r="E308" s="30"/>
      <c r="F308" s="30"/>
      <c r="G308" s="30"/>
      <c r="H308" s="30"/>
      <c r="I308" s="30"/>
      <c r="J308" s="30"/>
      <c r="K308" s="30"/>
    </row>
    <row r="309" spans="1:11" ht="15">
      <c r="A309" s="30"/>
      <c r="B309" s="30"/>
      <c r="C309" s="30"/>
      <c r="D309" s="30"/>
      <c r="E309" s="30"/>
      <c r="F309" s="30"/>
      <c r="G309" s="30"/>
      <c r="H309" s="30"/>
      <c r="I309" s="30"/>
      <c r="J309" s="30"/>
      <c r="K309" s="30"/>
    </row>
    <row r="310" spans="1:11" ht="15">
      <c r="A310" s="30"/>
      <c r="B310" s="30"/>
      <c r="C310" s="30"/>
      <c r="D310" s="30"/>
      <c r="E310" s="30"/>
      <c r="F310" s="30"/>
      <c r="G310" s="30"/>
      <c r="H310" s="30"/>
      <c r="I310" s="30"/>
      <c r="J310" s="30"/>
      <c r="K310" s="30"/>
    </row>
    <row r="311" spans="1:11" ht="15">
      <c r="A311" s="30"/>
      <c r="B311" s="30"/>
      <c r="C311" s="30"/>
      <c r="D311" s="30"/>
      <c r="E311" s="30"/>
      <c r="F311" s="30"/>
      <c r="G311" s="30"/>
      <c r="H311" s="30"/>
      <c r="I311" s="30"/>
      <c r="J311" s="30"/>
      <c r="K311" s="30"/>
    </row>
    <row r="312" spans="1:11" ht="15">
      <c r="A312" s="30"/>
      <c r="B312" s="30"/>
      <c r="C312" s="30"/>
      <c r="D312" s="30"/>
      <c r="E312" s="30"/>
      <c r="F312" s="30"/>
      <c r="G312" s="30"/>
      <c r="H312" s="30"/>
      <c r="I312" s="30"/>
      <c r="J312" s="30"/>
      <c r="K312" s="30"/>
    </row>
    <row r="313" spans="1:11" ht="15">
      <c r="A313" s="30"/>
      <c r="B313" s="30"/>
      <c r="C313" s="30"/>
      <c r="D313" s="30"/>
      <c r="E313" s="30"/>
      <c r="F313" s="30"/>
      <c r="G313" s="30"/>
      <c r="H313" s="30"/>
      <c r="I313" s="30"/>
      <c r="J313" s="30"/>
      <c r="K313" s="30"/>
    </row>
    <row r="314" spans="1:11" ht="15">
      <c r="A314" s="30"/>
      <c r="B314" s="30"/>
      <c r="C314" s="30"/>
      <c r="D314" s="30"/>
      <c r="E314" s="30"/>
      <c r="F314" s="30"/>
      <c r="G314" s="30"/>
      <c r="H314" s="30"/>
      <c r="I314" s="30"/>
      <c r="J314" s="30"/>
      <c r="K314" s="30"/>
    </row>
    <row r="315" spans="1:11" ht="15">
      <c r="A315" s="30"/>
      <c r="B315" s="30"/>
      <c r="C315" s="30"/>
      <c r="D315" s="30"/>
      <c r="E315" s="30"/>
      <c r="F315" s="30"/>
      <c r="G315" s="30"/>
      <c r="H315" s="30"/>
      <c r="I315" s="30"/>
      <c r="J315" s="30"/>
      <c r="K315" s="30"/>
    </row>
    <row r="316" spans="1:11" ht="15">
      <c r="A316" s="30"/>
      <c r="B316" s="30"/>
      <c r="C316" s="30"/>
      <c r="D316" s="30"/>
      <c r="E316" s="30"/>
      <c r="F316" s="30"/>
      <c r="G316" s="30"/>
      <c r="H316" s="30"/>
      <c r="I316" s="30"/>
      <c r="J316" s="30"/>
      <c r="K316" s="30"/>
    </row>
    <row r="317" spans="1:11" ht="15">
      <c r="A317" s="30"/>
      <c r="B317" s="30"/>
      <c r="C317" s="30"/>
      <c r="D317" s="30"/>
      <c r="E317" s="30"/>
      <c r="F317" s="30"/>
      <c r="G317" s="30"/>
      <c r="H317" s="30"/>
      <c r="I317" s="30"/>
      <c r="J317" s="30"/>
      <c r="K317" s="30"/>
    </row>
    <row r="318" spans="1:11" ht="15">
      <c r="A318" s="30"/>
      <c r="B318" s="30"/>
      <c r="C318" s="30"/>
      <c r="D318" s="30"/>
      <c r="E318" s="30"/>
      <c r="F318" s="30"/>
      <c r="G318" s="30"/>
      <c r="H318" s="30"/>
      <c r="I318" s="30"/>
      <c r="J318" s="30"/>
      <c r="K318" s="30"/>
    </row>
    <row r="319" spans="1:11" ht="15">
      <c r="A319" s="30"/>
      <c r="B319" s="30"/>
      <c r="C319" s="30"/>
      <c r="D319" s="30"/>
      <c r="E319" s="30"/>
      <c r="F319" s="30"/>
      <c r="G319" s="30"/>
      <c r="H319" s="30"/>
      <c r="I319" s="30"/>
      <c r="J319" s="30"/>
      <c r="K319" s="30"/>
    </row>
    <row r="320" spans="1:11" ht="15">
      <c r="A320" s="30"/>
      <c r="B320" s="30"/>
      <c r="C320" s="30"/>
      <c r="D320" s="30"/>
      <c r="E320" s="30"/>
      <c r="F320" s="30"/>
      <c r="G320" s="30"/>
      <c r="H320" s="30"/>
      <c r="I320" s="30"/>
      <c r="J320" s="30"/>
      <c r="K320" s="30"/>
    </row>
    <row r="321" spans="1:11" ht="15">
      <c r="A321" s="30"/>
      <c r="B321" s="30"/>
      <c r="C321" s="30"/>
      <c r="D321" s="30"/>
      <c r="E321" s="30"/>
      <c r="F321" s="30"/>
      <c r="G321" s="30"/>
      <c r="H321" s="30"/>
      <c r="I321" s="30"/>
      <c r="J321" s="30"/>
      <c r="K321" s="30"/>
    </row>
    <row r="322" spans="1:11" ht="15">
      <c r="A322" s="30"/>
      <c r="B322" s="30"/>
      <c r="C322" s="30"/>
      <c r="D322" s="30"/>
      <c r="E322" s="30"/>
      <c r="F322" s="30"/>
      <c r="G322" s="30"/>
      <c r="H322" s="30"/>
      <c r="I322" s="30"/>
      <c r="J322" s="30"/>
      <c r="K322" s="30"/>
    </row>
    <row r="323" spans="1:11" ht="15">
      <c r="A323" s="30"/>
      <c r="B323" s="30"/>
      <c r="C323" s="30"/>
      <c r="D323" s="30"/>
      <c r="E323" s="30"/>
      <c r="F323" s="30"/>
      <c r="G323" s="30"/>
      <c r="H323" s="30"/>
      <c r="I323" s="30"/>
      <c r="J323" s="30"/>
      <c r="K323" s="30"/>
    </row>
    <row r="324" spans="1:11" ht="15">
      <c r="A324" s="30"/>
      <c r="B324" s="30"/>
      <c r="C324" s="30"/>
      <c r="D324" s="30"/>
      <c r="E324" s="30"/>
      <c r="F324" s="30"/>
      <c r="G324" s="30"/>
      <c r="H324" s="30"/>
      <c r="I324" s="30"/>
      <c r="J324" s="30"/>
      <c r="K324" s="30"/>
    </row>
    <row r="325" spans="1:11" ht="15">
      <c r="A325" s="30"/>
      <c r="B325" s="30"/>
      <c r="C325" s="30"/>
      <c r="D325" s="30"/>
      <c r="E325" s="30"/>
      <c r="F325" s="30"/>
      <c r="G325" s="30"/>
      <c r="H325" s="30"/>
      <c r="I325" s="30"/>
      <c r="J325" s="30"/>
      <c r="K325" s="30"/>
    </row>
    <row r="326" spans="1:11" ht="15">
      <c r="A326" s="30"/>
      <c r="B326" s="30"/>
      <c r="C326" s="30"/>
      <c r="D326" s="30"/>
      <c r="E326" s="30"/>
      <c r="F326" s="30"/>
      <c r="G326" s="30"/>
      <c r="H326" s="30"/>
      <c r="I326" s="30"/>
      <c r="J326" s="30"/>
      <c r="K326" s="30"/>
    </row>
    <row r="327" spans="1:11" ht="15">
      <c r="A327" s="30"/>
      <c r="B327" s="30"/>
      <c r="C327" s="30"/>
      <c r="D327" s="30"/>
      <c r="E327" s="30"/>
      <c r="F327" s="30"/>
      <c r="G327" s="30"/>
      <c r="H327" s="30"/>
      <c r="I327" s="30"/>
      <c r="J327" s="30"/>
      <c r="K327" s="30"/>
    </row>
    <row r="328" spans="1:11" ht="15">
      <c r="A328" s="30"/>
      <c r="B328" s="30"/>
      <c r="C328" s="30"/>
      <c r="D328" s="30"/>
      <c r="E328" s="30"/>
      <c r="F328" s="30"/>
      <c r="G328" s="30"/>
      <c r="H328" s="30"/>
      <c r="I328" s="30"/>
      <c r="J328" s="30"/>
      <c r="K328" s="30"/>
    </row>
    <row r="329" spans="1:11" ht="15">
      <c r="A329" s="30"/>
      <c r="B329" s="30"/>
      <c r="C329" s="30"/>
      <c r="D329" s="30"/>
      <c r="E329" s="30"/>
      <c r="F329" s="30"/>
      <c r="G329" s="30"/>
      <c r="H329" s="30"/>
      <c r="I329" s="30"/>
      <c r="J329" s="30"/>
      <c r="K329" s="30"/>
    </row>
    <row r="330" spans="1:11" ht="15">
      <c r="A330" s="30"/>
      <c r="B330" s="30"/>
      <c r="C330" s="30"/>
      <c r="D330" s="30"/>
      <c r="E330" s="30"/>
      <c r="F330" s="30"/>
      <c r="G330" s="30"/>
      <c r="H330" s="30"/>
      <c r="I330" s="30"/>
      <c r="J330" s="30"/>
      <c r="K330" s="30"/>
    </row>
    <row r="331" spans="1:11" ht="15">
      <c r="A331" s="30"/>
      <c r="B331" s="30"/>
      <c r="C331" s="30"/>
      <c r="D331" s="30"/>
      <c r="E331" s="30"/>
      <c r="F331" s="30"/>
      <c r="G331" s="30"/>
      <c r="H331" s="30"/>
      <c r="I331" s="30"/>
      <c r="J331" s="30"/>
      <c r="K331" s="30"/>
    </row>
    <row r="332" spans="1:11" ht="15">
      <c r="A332" s="30"/>
      <c r="B332" s="30"/>
      <c r="C332" s="30"/>
      <c r="D332" s="30"/>
      <c r="E332" s="30"/>
      <c r="F332" s="30"/>
      <c r="G332" s="30"/>
      <c r="H332" s="30"/>
      <c r="I332" s="30"/>
      <c r="J332" s="30"/>
      <c r="K332" s="30"/>
    </row>
    <row r="333" spans="1:11" ht="15">
      <c r="A333" s="30"/>
      <c r="B333" s="30"/>
      <c r="C333" s="30"/>
      <c r="D333" s="30"/>
      <c r="E333" s="30"/>
      <c r="F333" s="30"/>
      <c r="G333" s="30"/>
      <c r="H333" s="30"/>
      <c r="I333" s="30"/>
      <c r="J333" s="30"/>
      <c r="K333" s="30"/>
    </row>
    <row r="334" spans="1:11" ht="15">
      <c r="A334" s="30"/>
      <c r="B334" s="30"/>
      <c r="C334" s="30"/>
      <c r="D334" s="30"/>
      <c r="E334" s="30"/>
      <c r="F334" s="30"/>
      <c r="G334" s="30"/>
      <c r="H334" s="30"/>
      <c r="I334" s="30"/>
      <c r="J334" s="30"/>
      <c r="K334" s="30"/>
    </row>
    <row r="335" spans="1:11" ht="15">
      <c r="A335" s="30"/>
      <c r="B335" s="30"/>
      <c r="C335" s="30"/>
      <c r="D335" s="30"/>
      <c r="E335" s="30"/>
      <c r="F335" s="30"/>
      <c r="G335" s="30"/>
      <c r="H335" s="30"/>
      <c r="I335" s="30"/>
      <c r="J335" s="30"/>
      <c r="K335" s="30"/>
    </row>
    <row r="336" spans="1:11" ht="15">
      <c r="A336" s="30"/>
      <c r="B336" s="30"/>
      <c r="C336" s="30"/>
      <c r="D336" s="30"/>
      <c r="E336" s="30"/>
      <c r="F336" s="30"/>
      <c r="G336" s="30"/>
      <c r="H336" s="30"/>
      <c r="I336" s="30"/>
      <c r="J336" s="30"/>
      <c r="K336" s="30"/>
    </row>
    <row r="337" spans="1:11" ht="15">
      <c r="A337" s="30"/>
      <c r="B337" s="30"/>
      <c r="C337" s="30"/>
      <c r="D337" s="30"/>
      <c r="E337" s="30"/>
      <c r="F337" s="30"/>
      <c r="G337" s="30"/>
      <c r="H337" s="30"/>
      <c r="I337" s="30"/>
      <c r="J337" s="30"/>
      <c r="K337" s="30"/>
    </row>
    <row r="338" spans="1:11" ht="15">
      <c r="A338" s="30"/>
      <c r="B338" s="30"/>
      <c r="C338" s="30"/>
      <c r="D338" s="30"/>
      <c r="E338" s="30"/>
      <c r="F338" s="30"/>
      <c r="G338" s="30"/>
      <c r="H338" s="30"/>
      <c r="I338" s="30"/>
      <c r="J338" s="30"/>
      <c r="K338" s="30"/>
    </row>
    <row r="339" spans="1:11" ht="15">
      <c r="A339" s="30"/>
      <c r="B339" s="30"/>
      <c r="C339" s="30"/>
      <c r="D339" s="30"/>
      <c r="E339" s="30"/>
      <c r="F339" s="30"/>
      <c r="G339" s="30"/>
      <c r="H339" s="30"/>
      <c r="I339" s="30"/>
      <c r="J339" s="30"/>
      <c r="K339" s="30"/>
    </row>
    <row r="340" spans="1:11" ht="15">
      <c r="A340" s="30"/>
      <c r="B340" s="30"/>
      <c r="C340" s="30"/>
      <c r="D340" s="30"/>
      <c r="E340" s="30"/>
      <c r="F340" s="30"/>
      <c r="G340" s="30"/>
      <c r="H340" s="30"/>
      <c r="I340" s="30"/>
      <c r="J340" s="30"/>
      <c r="K340" s="30"/>
    </row>
    <row r="341" spans="1:11" ht="15">
      <c r="A341" s="30"/>
      <c r="B341" s="30"/>
      <c r="C341" s="30"/>
      <c r="D341" s="30"/>
      <c r="E341" s="30"/>
      <c r="F341" s="30"/>
      <c r="G341" s="30"/>
      <c r="H341" s="30"/>
      <c r="I341" s="30"/>
      <c r="J341" s="30"/>
      <c r="K341" s="30"/>
    </row>
    <row r="342" spans="1:11" ht="15">
      <c r="A342" s="30"/>
      <c r="B342" s="30"/>
      <c r="C342" s="30"/>
      <c r="D342" s="30"/>
      <c r="E342" s="30"/>
      <c r="F342" s="30"/>
      <c r="G342" s="30"/>
      <c r="H342" s="30"/>
      <c r="I342" s="30"/>
      <c r="J342" s="30"/>
      <c r="K342" s="30"/>
    </row>
    <row r="343" spans="1:11" ht="15">
      <c r="A343" s="30"/>
      <c r="B343" s="30"/>
      <c r="C343" s="30"/>
      <c r="D343" s="30"/>
      <c r="E343" s="30"/>
      <c r="F343" s="30"/>
      <c r="G343" s="30"/>
      <c r="H343" s="30"/>
      <c r="I343" s="30"/>
      <c r="J343" s="30"/>
      <c r="K343" s="30"/>
    </row>
    <row r="344" spans="1:11" ht="15">
      <c r="A344" s="30"/>
      <c r="B344" s="30"/>
      <c r="C344" s="30"/>
      <c r="D344" s="30"/>
      <c r="E344" s="30"/>
      <c r="F344" s="30"/>
      <c r="G344" s="30"/>
      <c r="H344" s="30"/>
      <c r="I344" s="30"/>
      <c r="J344" s="30"/>
      <c r="K344" s="30"/>
    </row>
    <row r="345" spans="1:11" ht="15">
      <c r="A345" s="30"/>
      <c r="B345" s="30"/>
      <c r="C345" s="30"/>
      <c r="D345" s="30"/>
      <c r="E345" s="30"/>
      <c r="F345" s="30"/>
      <c r="G345" s="30"/>
      <c r="H345" s="30"/>
      <c r="I345" s="30"/>
      <c r="J345" s="30"/>
      <c r="K345" s="30"/>
    </row>
    <row r="346" spans="1:11" ht="15">
      <c r="A346" s="30"/>
      <c r="B346" s="30"/>
      <c r="C346" s="30"/>
      <c r="D346" s="30"/>
      <c r="E346" s="30"/>
      <c r="F346" s="30"/>
      <c r="G346" s="30"/>
      <c r="H346" s="30"/>
      <c r="I346" s="30"/>
      <c r="J346" s="30"/>
      <c r="K346" s="30"/>
    </row>
    <row r="347" spans="1:11" ht="15">
      <c r="A347" s="30"/>
      <c r="B347" s="30"/>
      <c r="C347" s="30"/>
      <c r="D347" s="30"/>
      <c r="E347" s="30"/>
      <c r="F347" s="30"/>
      <c r="G347" s="30"/>
      <c r="H347" s="30"/>
      <c r="I347" s="30"/>
      <c r="J347" s="30"/>
      <c r="K347" s="30"/>
    </row>
    <row r="348" spans="1:11" ht="15">
      <c r="A348" s="30"/>
      <c r="B348" s="30"/>
      <c r="C348" s="30"/>
      <c r="D348" s="30"/>
      <c r="E348" s="30"/>
      <c r="F348" s="30"/>
      <c r="G348" s="30"/>
      <c r="H348" s="30"/>
      <c r="I348" s="30"/>
      <c r="J348" s="30"/>
      <c r="K348" s="30"/>
    </row>
    <row r="349" spans="1:11" ht="15">
      <c r="A349" s="30"/>
      <c r="B349" s="30"/>
      <c r="C349" s="30"/>
      <c r="D349" s="30"/>
      <c r="E349" s="30"/>
      <c r="F349" s="30"/>
      <c r="G349" s="30"/>
      <c r="H349" s="30"/>
      <c r="I349" s="30"/>
      <c r="J349" s="30"/>
      <c r="K349" s="30"/>
    </row>
    <row r="350" spans="1:11" ht="15">
      <c r="A350" s="30"/>
      <c r="B350" s="30"/>
      <c r="C350" s="30"/>
      <c r="D350" s="30"/>
      <c r="E350" s="30"/>
      <c r="F350" s="30"/>
      <c r="G350" s="30"/>
      <c r="H350" s="30"/>
      <c r="I350" s="30"/>
      <c r="J350" s="30"/>
      <c r="K350" s="30"/>
    </row>
    <row r="351" spans="1:11" ht="15">
      <c r="A351" s="30"/>
      <c r="B351" s="30"/>
      <c r="C351" s="30"/>
      <c r="D351" s="30"/>
      <c r="E351" s="30"/>
      <c r="F351" s="30"/>
      <c r="G351" s="30"/>
      <c r="H351" s="30"/>
      <c r="I351" s="30"/>
      <c r="J351" s="30"/>
      <c r="K351" s="30"/>
    </row>
    <row r="352" spans="1:11" ht="15">
      <c r="A352" s="30"/>
      <c r="B352" s="30"/>
      <c r="C352" s="30"/>
      <c r="D352" s="30"/>
      <c r="E352" s="30"/>
      <c r="F352" s="30"/>
      <c r="G352" s="30"/>
      <c r="H352" s="30"/>
      <c r="I352" s="30"/>
      <c r="J352" s="30"/>
      <c r="K352" s="30"/>
    </row>
    <row r="353" spans="1:11" ht="15">
      <c r="A353" s="30"/>
      <c r="B353" s="30"/>
      <c r="C353" s="30"/>
      <c r="D353" s="30"/>
      <c r="E353" s="30"/>
      <c r="F353" s="30"/>
      <c r="G353" s="30"/>
      <c r="H353" s="30"/>
      <c r="I353" s="30"/>
      <c r="J353" s="30"/>
      <c r="K353" s="30"/>
    </row>
    <row r="354" spans="1:11" ht="15">
      <c r="A354" s="30"/>
      <c r="B354" s="30"/>
      <c r="C354" s="30"/>
      <c r="D354" s="30"/>
      <c r="E354" s="30"/>
      <c r="F354" s="30"/>
      <c r="G354" s="30"/>
      <c r="H354" s="30"/>
      <c r="I354" s="30"/>
      <c r="J354" s="30"/>
      <c r="K354" s="30"/>
    </row>
    <row r="355" spans="1:11" ht="15">
      <c r="A355" s="30"/>
      <c r="B355" s="30"/>
      <c r="C355" s="30"/>
      <c r="D355" s="30"/>
      <c r="E355" s="30"/>
      <c r="F355" s="30"/>
      <c r="G355" s="30"/>
      <c r="H355" s="30"/>
      <c r="I355" s="30"/>
      <c r="J355" s="30"/>
      <c r="K355" s="30"/>
    </row>
    <row r="356" spans="1:11" ht="15">
      <c r="A356" s="30"/>
      <c r="B356" s="30"/>
      <c r="C356" s="30"/>
      <c r="D356" s="30"/>
      <c r="E356" s="30"/>
      <c r="F356" s="30"/>
      <c r="G356" s="30"/>
      <c r="H356" s="30"/>
      <c r="I356" s="30"/>
      <c r="J356" s="30"/>
      <c r="K356" s="30"/>
    </row>
    <row r="357" spans="1:11" ht="15">
      <c r="A357" s="30"/>
      <c r="B357" s="30"/>
      <c r="C357" s="30"/>
      <c r="D357" s="30"/>
      <c r="E357" s="30"/>
      <c r="F357" s="30"/>
      <c r="G357" s="30"/>
      <c r="H357" s="30"/>
      <c r="I357" s="30"/>
      <c r="J357" s="30"/>
      <c r="K357" s="30"/>
    </row>
    <row r="358" spans="1:11" ht="15">
      <c r="A358" s="30"/>
      <c r="B358" s="30"/>
      <c r="C358" s="30"/>
      <c r="D358" s="30"/>
      <c r="E358" s="30"/>
      <c r="F358" s="30"/>
      <c r="G358" s="30"/>
      <c r="H358" s="30"/>
      <c r="I358" s="30"/>
      <c r="J358" s="30"/>
      <c r="K358" s="30"/>
    </row>
    <row r="359" spans="1:11" ht="15">
      <c r="A359" s="30"/>
      <c r="B359" s="30"/>
      <c r="C359" s="30"/>
      <c r="D359" s="30"/>
      <c r="E359" s="30"/>
      <c r="F359" s="30"/>
      <c r="G359" s="30"/>
      <c r="H359" s="30"/>
      <c r="I359" s="30"/>
      <c r="J359" s="30"/>
      <c r="K359" s="30"/>
    </row>
    <row r="360" spans="1:11" ht="15">
      <c r="A360" s="30"/>
      <c r="B360" s="30"/>
      <c r="C360" s="30"/>
      <c r="D360" s="30"/>
      <c r="E360" s="30"/>
      <c r="F360" s="30"/>
      <c r="G360" s="30"/>
      <c r="H360" s="30"/>
      <c r="I360" s="30"/>
      <c r="J360" s="30"/>
      <c r="K360" s="30"/>
    </row>
    <row r="361" spans="1:11" ht="15">
      <c r="A361" s="30"/>
      <c r="B361" s="30"/>
      <c r="C361" s="30"/>
      <c r="D361" s="30"/>
      <c r="E361" s="30"/>
      <c r="F361" s="30"/>
      <c r="G361" s="30"/>
      <c r="H361" s="30"/>
      <c r="I361" s="30"/>
      <c r="J361" s="30"/>
      <c r="K361" s="30"/>
    </row>
    <row r="362" spans="1:11" ht="15">
      <c r="A362" s="30"/>
      <c r="B362" s="30"/>
      <c r="C362" s="30"/>
      <c r="D362" s="30"/>
      <c r="E362" s="30"/>
      <c r="F362" s="30"/>
      <c r="G362" s="30"/>
      <c r="H362" s="30"/>
      <c r="I362" s="30"/>
      <c r="J362" s="30"/>
      <c r="K362" s="30"/>
    </row>
    <row r="363" spans="1:11" ht="15">
      <c r="A363" s="30"/>
      <c r="B363" s="30"/>
      <c r="C363" s="30"/>
      <c r="D363" s="30"/>
      <c r="E363" s="30"/>
      <c r="F363" s="30"/>
      <c r="G363" s="30"/>
      <c r="H363" s="30"/>
      <c r="I363" s="30"/>
      <c r="J363" s="30"/>
      <c r="K363" s="30"/>
    </row>
    <row r="364" spans="1:11" ht="15">
      <c r="A364" s="30"/>
      <c r="B364" s="30"/>
      <c r="C364" s="30"/>
      <c r="D364" s="30"/>
      <c r="E364" s="30"/>
      <c r="F364" s="30"/>
      <c r="G364" s="30"/>
      <c r="H364" s="30"/>
      <c r="I364" s="30"/>
      <c r="J364" s="30"/>
      <c r="K364" s="30"/>
    </row>
    <row r="365" spans="1:11" ht="15">
      <c r="A365" s="30"/>
      <c r="B365" s="30"/>
      <c r="C365" s="30"/>
      <c r="D365" s="30"/>
      <c r="E365" s="30"/>
      <c r="F365" s="30"/>
      <c r="G365" s="30"/>
      <c r="H365" s="30"/>
      <c r="I365" s="30"/>
      <c r="J365" s="30"/>
      <c r="K365" s="30"/>
    </row>
    <row r="366" spans="1:11" ht="15">
      <c r="A366" s="30"/>
      <c r="B366" s="30"/>
      <c r="C366" s="30"/>
      <c r="D366" s="30"/>
      <c r="E366" s="30"/>
      <c r="F366" s="30"/>
      <c r="G366" s="30"/>
      <c r="H366" s="30"/>
      <c r="I366" s="30"/>
      <c r="J366" s="30"/>
      <c r="K366" s="30"/>
    </row>
    <row r="367" spans="1:11" ht="15">
      <c r="A367" s="30"/>
      <c r="B367" s="30"/>
      <c r="C367" s="30"/>
      <c r="D367" s="30"/>
      <c r="E367" s="30"/>
      <c r="F367" s="30"/>
      <c r="G367" s="30"/>
      <c r="H367" s="30"/>
      <c r="I367" s="30"/>
      <c r="J367" s="30"/>
      <c r="K367" s="30"/>
    </row>
    <row r="368" spans="1:11" ht="15">
      <c r="A368" s="30"/>
      <c r="B368" s="30"/>
      <c r="C368" s="30"/>
      <c r="D368" s="30"/>
      <c r="E368" s="30"/>
      <c r="F368" s="30"/>
      <c r="G368" s="30"/>
      <c r="H368" s="30"/>
      <c r="I368" s="30"/>
      <c r="J368" s="30"/>
      <c r="K368" s="30"/>
    </row>
    <row r="369" spans="1:11" ht="15">
      <c r="A369" s="30"/>
      <c r="B369" s="30"/>
      <c r="C369" s="30"/>
      <c r="D369" s="30"/>
      <c r="E369" s="30"/>
      <c r="F369" s="30"/>
      <c r="G369" s="30"/>
      <c r="H369" s="30"/>
      <c r="I369" s="30"/>
      <c r="J369" s="30"/>
      <c r="K369" s="30"/>
    </row>
    <row r="370" spans="1:11" ht="15">
      <c r="A370" s="30"/>
      <c r="B370" s="30"/>
      <c r="C370" s="30"/>
      <c r="D370" s="30"/>
      <c r="E370" s="30"/>
      <c r="F370" s="30"/>
      <c r="G370" s="30"/>
      <c r="H370" s="30"/>
      <c r="I370" s="30"/>
      <c r="J370" s="30"/>
      <c r="K370" s="30"/>
    </row>
    <row r="371" spans="1:11" ht="15">
      <c r="A371" s="30"/>
      <c r="B371" s="30"/>
      <c r="C371" s="30"/>
      <c r="D371" s="30"/>
      <c r="E371" s="30"/>
      <c r="F371" s="30"/>
      <c r="G371" s="30"/>
      <c r="H371" s="30"/>
      <c r="I371" s="30"/>
      <c r="J371" s="30"/>
      <c r="K371" s="30"/>
    </row>
    <row r="372" spans="1:11" ht="15">
      <c r="A372" s="30"/>
      <c r="B372" s="30"/>
      <c r="C372" s="30"/>
      <c r="D372" s="30"/>
      <c r="E372" s="30"/>
      <c r="F372" s="30"/>
      <c r="G372" s="30"/>
      <c r="H372" s="30"/>
      <c r="I372" s="30"/>
      <c r="J372" s="30"/>
      <c r="K372" s="30"/>
    </row>
    <row r="373" spans="1:11" ht="15">
      <c r="A373" s="30"/>
      <c r="B373" s="30"/>
      <c r="C373" s="30"/>
      <c r="D373" s="30"/>
      <c r="E373" s="30"/>
      <c r="F373" s="30"/>
      <c r="G373" s="30"/>
      <c r="H373" s="30"/>
      <c r="I373" s="30"/>
      <c r="J373" s="30"/>
      <c r="K373" s="30"/>
    </row>
    <row r="374" spans="1:11" ht="15">
      <c r="A374" s="30"/>
      <c r="B374" s="30"/>
      <c r="C374" s="30"/>
      <c r="D374" s="30"/>
      <c r="E374" s="30"/>
      <c r="F374" s="30"/>
      <c r="G374" s="30"/>
      <c r="H374" s="30"/>
      <c r="I374" s="30"/>
      <c r="J374" s="30"/>
      <c r="K374" s="30"/>
    </row>
    <row r="375" spans="1:11" ht="15">
      <c r="A375" s="30"/>
      <c r="B375" s="30"/>
      <c r="C375" s="30"/>
      <c r="D375" s="30"/>
      <c r="E375" s="30"/>
      <c r="F375" s="30"/>
      <c r="G375" s="30"/>
      <c r="H375" s="30"/>
      <c r="I375" s="30"/>
      <c r="J375" s="30"/>
      <c r="K375" s="30"/>
    </row>
    <row r="376" spans="1:11" ht="15">
      <c r="A376" s="30"/>
      <c r="B376" s="30"/>
      <c r="C376" s="30"/>
      <c r="D376" s="30"/>
      <c r="E376" s="30"/>
      <c r="F376" s="30"/>
      <c r="G376" s="30"/>
      <c r="H376" s="30"/>
      <c r="I376" s="30"/>
      <c r="J376" s="30"/>
      <c r="K376" s="30"/>
    </row>
    <row r="377" spans="1:11" ht="15">
      <c r="A377" s="30"/>
      <c r="B377" s="30"/>
      <c r="C377" s="30"/>
      <c r="D377" s="30"/>
      <c r="E377" s="30"/>
      <c r="F377" s="30"/>
      <c r="G377" s="30"/>
      <c r="H377" s="30"/>
      <c r="I377" s="30"/>
      <c r="J377" s="30"/>
      <c r="K377" s="30"/>
    </row>
    <row r="378" spans="1:11" ht="15">
      <c r="A378" s="30"/>
      <c r="B378" s="30"/>
      <c r="C378" s="30"/>
      <c r="D378" s="30"/>
      <c r="E378" s="30"/>
      <c r="F378" s="30"/>
      <c r="G378" s="30"/>
      <c r="H378" s="30"/>
      <c r="I378" s="30"/>
      <c r="J378" s="30"/>
      <c r="K378" s="30"/>
    </row>
    <row r="379" spans="1:11" ht="15">
      <c r="A379" s="30"/>
      <c r="B379" s="30"/>
      <c r="C379" s="30"/>
      <c r="D379" s="30"/>
      <c r="E379" s="30"/>
      <c r="F379" s="30"/>
      <c r="G379" s="30"/>
      <c r="H379" s="30"/>
      <c r="I379" s="30"/>
      <c r="J379" s="30"/>
      <c r="K379" s="30"/>
    </row>
    <row r="380" spans="1:11" ht="15">
      <c r="A380" s="30"/>
      <c r="B380" s="30"/>
      <c r="C380" s="30"/>
      <c r="D380" s="30"/>
      <c r="E380" s="30"/>
      <c r="F380" s="30"/>
      <c r="G380" s="30"/>
      <c r="H380" s="30"/>
      <c r="I380" s="30"/>
      <c r="J380" s="30"/>
      <c r="K380" s="30"/>
    </row>
    <row r="381" spans="1:11" ht="15">
      <c r="A381" s="30"/>
      <c r="B381" s="30"/>
      <c r="C381" s="30"/>
      <c r="D381" s="30"/>
      <c r="E381" s="30"/>
      <c r="F381" s="30"/>
      <c r="G381" s="30"/>
      <c r="H381" s="30"/>
      <c r="I381" s="30"/>
      <c r="J381" s="30"/>
      <c r="K381" s="30"/>
    </row>
    <row r="382" spans="1:11" ht="15">
      <c r="A382" s="30"/>
      <c r="B382" s="30"/>
      <c r="C382" s="30"/>
      <c r="D382" s="30"/>
      <c r="E382" s="30"/>
      <c r="F382" s="30"/>
      <c r="G382" s="30"/>
      <c r="H382" s="30"/>
      <c r="I382" s="30"/>
      <c r="J382" s="30"/>
      <c r="K382" s="30"/>
    </row>
    <row r="383" spans="1:11" ht="15">
      <c r="A383" s="30"/>
      <c r="B383" s="30"/>
      <c r="C383" s="30"/>
      <c r="D383" s="30"/>
      <c r="E383" s="30"/>
      <c r="F383" s="30"/>
      <c r="G383" s="30"/>
      <c r="H383" s="30"/>
      <c r="I383" s="30"/>
      <c r="J383" s="30"/>
      <c r="K383" s="30"/>
    </row>
    <row r="384" spans="1:11" ht="15">
      <c r="A384" s="30"/>
      <c r="B384" s="30"/>
      <c r="C384" s="30"/>
      <c r="D384" s="30"/>
      <c r="E384" s="30"/>
      <c r="F384" s="30"/>
      <c r="G384" s="30"/>
      <c r="H384" s="30"/>
      <c r="I384" s="30"/>
      <c r="J384" s="30"/>
      <c r="K384" s="30"/>
    </row>
    <row r="385" spans="1:11" ht="15">
      <c r="A385" s="30"/>
      <c r="B385" s="30"/>
      <c r="C385" s="30"/>
      <c r="D385" s="30"/>
      <c r="E385" s="30"/>
      <c r="F385" s="30"/>
      <c r="G385" s="30"/>
      <c r="H385" s="30"/>
      <c r="I385" s="30"/>
      <c r="J385" s="30"/>
      <c r="K385" s="30"/>
    </row>
    <row r="386" spans="1:11" ht="15">
      <c r="A386" s="30"/>
      <c r="B386" s="30"/>
      <c r="C386" s="30"/>
      <c r="D386" s="30"/>
      <c r="E386" s="30"/>
      <c r="F386" s="30"/>
      <c r="G386" s="30"/>
      <c r="H386" s="30"/>
      <c r="I386" s="30"/>
      <c r="J386" s="30"/>
      <c r="K386" s="30"/>
    </row>
    <row r="387" spans="1:11" ht="15">
      <c r="A387" s="30"/>
      <c r="B387" s="30"/>
      <c r="C387" s="30"/>
      <c r="D387" s="30"/>
      <c r="E387" s="30"/>
      <c r="F387" s="30"/>
      <c r="G387" s="30"/>
      <c r="H387" s="30"/>
      <c r="I387" s="30"/>
      <c r="J387" s="30"/>
      <c r="K387" s="30"/>
    </row>
    <row r="388" spans="1:11" ht="15">
      <c r="A388" s="30"/>
      <c r="B388" s="30"/>
      <c r="C388" s="30"/>
      <c r="D388" s="30"/>
      <c r="E388" s="30"/>
      <c r="F388" s="30"/>
      <c r="G388" s="30"/>
      <c r="H388" s="30"/>
      <c r="I388" s="30"/>
      <c r="J388" s="30"/>
      <c r="K388" s="30"/>
    </row>
    <row r="389" spans="1:11" ht="15">
      <c r="A389" s="30"/>
      <c r="B389" s="30"/>
      <c r="C389" s="30"/>
      <c r="D389" s="30"/>
      <c r="E389" s="30"/>
      <c r="F389" s="30"/>
      <c r="G389" s="30"/>
      <c r="H389" s="30"/>
      <c r="I389" s="30"/>
      <c r="J389" s="30"/>
      <c r="K389" s="30"/>
    </row>
    <row r="390" spans="1:11" ht="15">
      <c r="A390" s="30"/>
      <c r="B390" s="30"/>
      <c r="C390" s="30"/>
      <c r="D390" s="30"/>
      <c r="E390" s="30"/>
      <c r="F390" s="30"/>
      <c r="G390" s="30"/>
      <c r="H390" s="30"/>
      <c r="I390" s="30"/>
      <c r="J390" s="30"/>
      <c r="K390" s="30"/>
    </row>
    <row r="391" spans="1:11" ht="15">
      <c r="A391" s="30"/>
      <c r="B391" s="30"/>
      <c r="C391" s="30"/>
      <c r="D391" s="30"/>
      <c r="E391" s="30"/>
      <c r="F391" s="30"/>
      <c r="G391" s="30"/>
      <c r="H391" s="30"/>
      <c r="I391" s="30"/>
      <c r="J391" s="30"/>
      <c r="K391" s="30"/>
    </row>
    <row r="392" spans="1:11" ht="15">
      <c r="A392" s="30"/>
      <c r="B392" s="30"/>
      <c r="C392" s="30"/>
      <c r="D392" s="30"/>
      <c r="E392" s="30"/>
      <c r="F392" s="30"/>
      <c r="G392" s="30"/>
      <c r="H392" s="30"/>
      <c r="I392" s="30"/>
      <c r="J392" s="30"/>
      <c r="K392" s="30"/>
    </row>
    <row r="393" spans="1:11" ht="15">
      <c r="A393" s="30"/>
      <c r="B393" s="30"/>
      <c r="C393" s="30"/>
      <c r="D393" s="30"/>
      <c r="E393" s="30"/>
      <c r="F393" s="30"/>
      <c r="G393" s="30"/>
      <c r="H393" s="30"/>
      <c r="I393" s="30"/>
      <c r="J393" s="30"/>
      <c r="K393" s="30"/>
    </row>
    <row r="394" spans="1:11" ht="15">
      <c r="A394" s="30"/>
      <c r="B394" s="30"/>
      <c r="C394" s="30"/>
      <c r="D394" s="30"/>
      <c r="E394" s="30"/>
      <c r="F394" s="30"/>
      <c r="G394" s="30"/>
      <c r="H394" s="30"/>
      <c r="I394" s="30"/>
      <c r="J394" s="30"/>
      <c r="K394" s="30"/>
    </row>
    <row r="395" spans="1:11" ht="15">
      <c r="A395" s="30"/>
      <c r="B395" s="30"/>
      <c r="C395" s="30"/>
      <c r="D395" s="30"/>
      <c r="E395" s="30"/>
      <c r="F395" s="30"/>
      <c r="G395" s="30"/>
      <c r="H395" s="30"/>
      <c r="I395" s="30"/>
      <c r="J395" s="30"/>
      <c r="K395" s="30"/>
    </row>
    <row r="396" spans="1:11" ht="15">
      <c r="A396" s="30"/>
      <c r="B396" s="30"/>
      <c r="C396" s="30"/>
      <c r="D396" s="30"/>
      <c r="E396" s="30"/>
      <c r="F396" s="30"/>
      <c r="G396" s="30"/>
      <c r="H396" s="30"/>
      <c r="I396" s="30"/>
      <c r="J396" s="30"/>
      <c r="K396" s="30"/>
    </row>
    <row r="397" spans="1:11" ht="15">
      <c r="A397" s="30"/>
      <c r="B397" s="30"/>
      <c r="C397" s="30"/>
      <c r="D397" s="30"/>
      <c r="E397" s="30"/>
      <c r="F397" s="30"/>
      <c r="G397" s="30"/>
      <c r="H397" s="30"/>
      <c r="I397" s="30"/>
      <c r="J397" s="30"/>
      <c r="K397" s="30"/>
    </row>
    <row r="398" spans="1:11" ht="15">
      <c r="A398" s="30"/>
      <c r="B398" s="30"/>
      <c r="C398" s="30"/>
      <c r="D398" s="30"/>
      <c r="E398" s="30"/>
      <c r="F398" s="30"/>
      <c r="G398" s="30"/>
      <c r="H398" s="30"/>
      <c r="I398" s="30"/>
      <c r="J398" s="30"/>
      <c r="K398" s="30"/>
    </row>
    <row r="399" spans="1:11" ht="15">
      <c r="A399" s="30"/>
      <c r="B399" s="30"/>
      <c r="C399" s="30"/>
      <c r="D399" s="30"/>
      <c r="E399" s="30"/>
      <c r="F399" s="30"/>
      <c r="G399" s="30"/>
      <c r="H399" s="30"/>
      <c r="I399" s="30"/>
      <c r="J399" s="30"/>
      <c r="K399" s="30"/>
    </row>
    <row r="400" spans="1:11" ht="15">
      <c r="A400" s="30"/>
      <c r="B400" s="30"/>
      <c r="C400" s="30"/>
      <c r="D400" s="30"/>
      <c r="E400" s="30"/>
      <c r="F400" s="30"/>
      <c r="G400" s="30"/>
      <c r="H400" s="30"/>
      <c r="I400" s="30"/>
      <c r="J400" s="30"/>
      <c r="K400" s="30"/>
    </row>
    <row r="401" spans="1:11" ht="15">
      <c r="A401" s="30"/>
      <c r="B401" s="30"/>
      <c r="C401" s="30"/>
      <c r="D401" s="30"/>
      <c r="E401" s="30"/>
      <c r="F401" s="30"/>
      <c r="G401" s="30"/>
      <c r="H401" s="30"/>
      <c r="I401" s="30"/>
      <c r="J401" s="30"/>
      <c r="K401" s="30"/>
    </row>
    <row r="402" spans="1:11" ht="15">
      <c r="A402" s="30"/>
      <c r="B402" s="30"/>
      <c r="C402" s="30"/>
      <c r="D402" s="30"/>
      <c r="E402" s="30"/>
      <c r="F402" s="30"/>
      <c r="G402" s="30"/>
      <c r="H402" s="30"/>
      <c r="I402" s="30"/>
      <c r="J402" s="30"/>
      <c r="K402" s="30"/>
    </row>
    <row r="403" spans="1:11" ht="15">
      <c r="A403" s="30"/>
      <c r="B403" s="30"/>
      <c r="C403" s="30"/>
      <c r="D403" s="30"/>
      <c r="E403" s="30"/>
      <c r="F403" s="30"/>
      <c r="G403" s="30"/>
      <c r="H403" s="30"/>
      <c r="I403" s="30"/>
      <c r="J403" s="30"/>
      <c r="K403" s="30"/>
    </row>
    <row r="404" spans="1:11" ht="15">
      <c r="A404" s="30"/>
      <c r="B404" s="30"/>
      <c r="C404" s="30"/>
      <c r="D404" s="30"/>
      <c r="E404" s="30"/>
      <c r="F404" s="30"/>
      <c r="G404" s="30"/>
      <c r="H404" s="30"/>
      <c r="I404" s="30"/>
      <c r="J404" s="30"/>
      <c r="K404" s="30"/>
    </row>
    <row r="405" spans="1:11" ht="15">
      <c r="A405" s="30"/>
      <c r="B405" s="30"/>
      <c r="C405" s="30"/>
      <c r="D405" s="30"/>
      <c r="E405" s="30"/>
      <c r="F405" s="30"/>
      <c r="G405" s="30"/>
      <c r="H405" s="30"/>
      <c r="I405" s="30"/>
      <c r="J405" s="30"/>
      <c r="K405" s="30"/>
    </row>
    <row r="406" spans="1:11" ht="15">
      <c r="A406" s="30"/>
      <c r="B406" s="30"/>
      <c r="C406" s="30"/>
      <c r="D406" s="30"/>
      <c r="E406" s="30"/>
      <c r="F406" s="30"/>
      <c r="G406" s="30"/>
      <c r="H406" s="30"/>
      <c r="I406" s="30"/>
      <c r="J406" s="30"/>
      <c r="K406" s="30"/>
    </row>
    <row r="407" spans="1:11" ht="15">
      <c r="A407" s="30"/>
      <c r="B407" s="30"/>
      <c r="C407" s="30"/>
      <c r="D407" s="30"/>
      <c r="E407" s="30"/>
      <c r="F407" s="30"/>
      <c r="G407" s="30"/>
      <c r="H407" s="30"/>
      <c r="I407" s="30"/>
      <c r="J407" s="30"/>
      <c r="K407" s="30"/>
    </row>
    <row r="408" spans="1:11" ht="15">
      <c r="A408" s="30"/>
      <c r="B408" s="30"/>
      <c r="C408" s="30"/>
      <c r="D408" s="30"/>
      <c r="E408" s="30"/>
      <c r="F408" s="30"/>
      <c r="G408" s="30"/>
      <c r="H408" s="30"/>
      <c r="I408" s="30"/>
      <c r="J408" s="30"/>
      <c r="K408" s="30"/>
    </row>
    <row r="409" spans="1:11" ht="15">
      <c r="A409" s="30"/>
      <c r="B409" s="30"/>
      <c r="C409" s="30"/>
      <c r="D409" s="30"/>
      <c r="E409" s="30"/>
      <c r="F409" s="30"/>
      <c r="G409" s="30"/>
      <c r="H409" s="30"/>
      <c r="I409" s="30"/>
      <c r="J409" s="30"/>
      <c r="K409" s="30"/>
    </row>
    <row r="410" spans="1:11" ht="15">
      <c r="A410" s="30"/>
      <c r="B410" s="30"/>
      <c r="C410" s="30"/>
      <c r="D410" s="30"/>
      <c r="E410" s="30"/>
      <c r="F410" s="30"/>
      <c r="G410" s="30"/>
      <c r="H410" s="30"/>
      <c r="I410" s="30"/>
      <c r="J410" s="30"/>
      <c r="K410" s="30"/>
    </row>
    <row r="411" spans="1:11" ht="15">
      <c r="A411" s="30"/>
      <c r="B411" s="30"/>
      <c r="C411" s="30"/>
      <c r="D411" s="30"/>
      <c r="E411" s="30"/>
      <c r="F411" s="30"/>
      <c r="G411" s="30"/>
      <c r="H411" s="30"/>
      <c r="I411" s="30"/>
      <c r="J411" s="30"/>
      <c r="K411" s="30"/>
    </row>
    <row r="412" spans="1:11" ht="15">
      <c r="A412" s="30"/>
      <c r="B412" s="30"/>
      <c r="C412" s="30"/>
      <c r="D412" s="30"/>
      <c r="E412" s="30"/>
      <c r="F412" s="30"/>
      <c r="G412" s="30"/>
      <c r="H412" s="30"/>
      <c r="I412" s="30"/>
      <c r="J412" s="30"/>
      <c r="K412" s="30"/>
    </row>
    <row r="413" spans="1:11" ht="15">
      <c r="A413" s="30"/>
      <c r="B413" s="30"/>
      <c r="C413" s="30"/>
      <c r="D413" s="30"/>
      <c r="E413" s="30"/>
      <c r="F413" s="30"/>
      <c r="G413" s="30"/>
      <c r="H413" s="30"/>
      <c r="I413" s="30"/>
      <c r="J413" s="30"/>
      <c r="K413" s="30"/>
    </row>
    <row r="414" spans="1:11" ht="15">
      <c r="A414" s="30"/>
      <c r="B414" s="30"/>
      <c r="C414" s="30"/>
      <c r="D414" s="30"/>
      <c r="E414" s="30"/>
      <c r="F414" s="30"/>
      <c r="G414" s="30"/>
      <c r="H414" s="30"/>
      <c r="I414" s="30"/>
      <c r="J414" s="30"/>
      <c r="K414" s="30"/>
    </row>
    <row r="415" spans="1:11" ht="15">
      <c r="A415" s="30"/>
      <c r="B415" s="30"/>
      <c r="C415" s="30"/>
      <c r="D415" s="30"/>
      <c r="E415" s="30"/>
      <c r="F415" s="30"/>
      <c r="G415" s="30"/>
      <c r="H415" s="30"/>
      <c r="I415" s="30"/>
      <c r="J415" s="30"/>
      <c r="K415" s="30"/>
    </row>
    <row r="416" spans="1:11" ht="15">
      <c r="A416" s="30"/>
      <c r="B416" s="30"/>
      <c r="C416" s="30"/>
      <c r="D416" s="30"/>
      <c r="E416" s="30"/>
      <c r="F416" s="30"/>
      <c r="G416" s="30"/>
      <c r="H416" s="30"/>
      <c r="I416" s="30"/>
      <c r="J416" s="30"/>
      <c r="K416" s="30"/>
    </row>
    <row r="417" spans="1:11" ht="15">
      <c r="A417" s="30"/>
      <c r="B417" s="30"/>
      <c r="C417" s="30"/>
      <c r="D417" s="30"/>
      <c r="E417" s="30"/>
      <c r="F417" s="30"/>
      <c r="G417" s="30"/>
      <c r="H417" s="30"/>
      <c r="I417" s="30"/>
      <c r="J417" s="30"/>
      <c r="K417" s="30"/>
    </row>
    <row r="418" spans="1:11" ht="15">
      <c r="A418" s="30"/>
      <c r="B418" s="30"/>
      <c r="C418" s="30"/>
      <c r="D418" s="30"/>
      <c r="E418" s="30"/>
      <c r="F418" s="30"/>
      <c r="G418" s="30"/>
      <c r="H418" s="30"/>
      <c r="I418" s="30"/>
      <c r="J418" s="30"/>
      <c r="K418" s="30"/>
    </row>
    <row r="419" spans="1:11" ht="15">
      <c r="A419" s="30"/>
      <c r="B419" s="30"/>
      <c r="C419" s="30"/>
      <c r="D419" s="30"/>
      <c r="E419" s="30"/>
      <c r="F419" s="30"/>
      <c r="G419" s="30"/>
      <c r="H419" s="30"/>
      <c r="I419" s="30"/>
      <c r="J419" s="30"/>
      <c r="K419" s="30"/>
    </row>
    <row r="420" spans="1:11" ht="15">
      <c r="A420" s="30"/>
      <c r="B420" s="30"/>
      <c r="C420" s="30"/>
      <c r="D420" s="30"/>
      <c r="E420" s="30"/>
      <c r="F420" s="30"/>
      <c r="G420" s="30"/>
      <c r="H420" s="30"/>
      <c r="I420" s="30"/>
      <c r="J420" s="30"/>
      <c r="K420" s="30"/>
    </row>
    <row r="421" spans="1:11" ht="15">
      <c r="A421" s="30"/>
      <c r="B421" s="30"/>
      <c r="C421" s="30"/>
      <c r="D421" s="30"/>
      <c r="E421" s="30"/>
      <c r="F421" s="30"/>
      <c r="G421" s="30"/>
      <c r="H421" s="30"/>
      <c r="I421" s="30"/>
      <c r="J421" s="30"/>
      <c r="K421" s="30"/>
    </row>
    <row r="422" spans="1:11" ht="15">
      <c r="A422" s="30"/>
      <c r="B422" s="30"/>
      <c r="C422" s="30"/>
      <c r="D422" s="30"/>
      <c r="E422" s="30"/>
      <c r="F422" s="30"/>
      <c r="G422" s="30"/>
      <c r="H422" s="30"/>
      <c r="I422" s="30"/>
      <c r="J422" s="30"/>
      <c r="K422" s="30"/>
    </row>
    <row r="423" spans="1:11" ht="15">
      <c r="A423" s="30"/>
      <c r="B423" s="30"/>
      <c r="C423" s="30"/>
      <c r="D423" s="30"/>
      <c r="E423" s="30"/>
      <c r="F423" s="30"/>
      <c r="G423" s="30"/>
      <c r="H423" s="30"/>
      <c r="I423" s="30"/>
      <c r="J423" s="30"/>
      <c r="K423" s="30"/>
    </row>
    <row r="424" spans="1:11" ht="15">
      <c r="A424" s="30"/>
      <c r="B424" s="30"/>
      <c r="C424" s="30"/>
      <c r="D424" s="30"/>
      <c r="E424" s="30"/>
      <c r="F424" s="30"/>
      <c r="G424" s="30"/>
      <c r="H424" s="30"/>
      <c r="I424" s="30"/>
      <c r="J424" s="30"/>
      <c r="K424" s="30"/>
    </row>
    <row r="425" spans="1:11" ht="15">
      <c r="A425" s="30"/>
      <c r="B425" s="30"/>
      <c r="C425" s="30"/>
      <c r="D425" s="30"/>
      <c r="E425" s="30"/>
      <c r="F425" s="30"/>
      <c r="G425" s="30"/>
      <c r="H425" s="30"/>
      <c r="I425" s="30"/>
      <c r="J425" s="30"/>
      <c r="K425" s="30"/>
    </row>
    <row r="426" spans="1:11" ht="15">
      <c r="A426" s="30"/>
      <c r="B426" s="30"/>
      <c r="C426" s="30"/>
      <c r="D426" s="30"/>
      <c r="E426" s="30"/>
      <c r="F426" s="30"/>
      <c r="G426" s="30"/>
      <c r="H426" s="30"/>
      <c r="I426" s="30"/>
      <c r="J426" s="30"/>
      <c r="K426" s="30"/>
    </row>
    <row r="427" spans="1:11" ht="15">
      <c r="A427" s="30"/>
      <c r="B427" s="30"/>
      <c r="C427" s="30"/>
      <c r="D427" s="30"/>
      <c r="E427" s="30"/>
      <c r="F427" s="30"/>
      <c r="G427" s="30"/>
      <c r="H427" s="30"/>
      <c r="I427" s="30"/>
      <c r="J427" s="30"/>
      <c r="K427" s="30"/>
    </row>
    <row r="428" spans="1:11" ht="15">
      <c r="A428" s="30"/>
      <c r="B428" s="30"/>
      <c r="C428" s="30"/>
      <c r="D428" s="30"/>
      <c r="E428" s="30"/>
      <c r="F428" s="30"/>
      <c r="G428" s="30"/>
      <c r="H428" s="30"/>
      <c r="I428" s="30"/>
      <c r="J428" s="30"/>
      <c r="K428" s="30"/>
    </row>
    <row r="429" spans="1:11" ht="15">
      <c r="A429" s="30"/>
      <c r="B429" s="30"/>
      <c r="C429" s="30"/>
      <c r="D429" s="30"/>
      <c r="E429" s="30"/>
      <c r="F429" s="30"/>
      <c r="G429" s="30"/>
      <c r="H429" s="30"/>
      <c r="I429" s="30"/>
      <c r="J429" s="30"/>
      <c r="K429" s="30"/>
    </row>
    <row r="430" spans="1:11" ht="15">
      <c r="A430" s="30"/>
      <c r="B430" s="30"/>
      <c r="C430" s="30"/>
      <c r="D430" s="30"/>
      <c r="E430" s="30"/>
      <c r="F430" s="30"/>
      <c r="G430" s="30"/>
      <c r="H430" s="30"/>
      <c r="I430" s="30"/>
      <c r="J430" s="30"/>
      <c r="K430" s="30"/>
    </row>
    <row r="431" spans="1:11" ht="15">
      <c r="A431" s="30"/>
      <c r="B431" s="30"/>
      <c r="C431" s="30"/>
      <c r="D431" s="30"/>
      <c r="E431" s="30"/>
      <c r="F431" s="30"/>
      <c r="G431" s="30"/>
      <c r="H431" s="30"/>
      <c r="I431" s="30"/>
      <c r="J431" s="30"/>
      <c r="K431" s="30"/>
    </row>
    <row r="432" spans="1:11" ht="15">
      <c r="A432" s="30"/>
      <c r="B432" s="30"/>
      <c r="C432" s="30"/>
      <c r="D432" s="30"/>
      <c r="E432" s="30"/>
      <c r="F432" s="30"/>
      <c r="G432" s="30"/>
      <c r="H432" s="30"/>
      <c r="I432" s="30"/>
      <c r="J432" s="30"/>
      <c r="K432" s="30"/>
    </row>
    <row r="433" spans="1:11" ht="15">
      <c r="A433" s="30"/>
      <c r="B433" s="30"/>
      <c r="C433" s="30"/>
      <c r="D433" s="30"/>
      <c r="E433" s="30"/>
      <c r="F433" s="30"/>
      <c r="G433" s="30"/>
      <c r="H433" s="30"/>
      <c r="I433" s="30"/>
      <c r="J433" s="30"/>
      <c r="K433" s="30"/>
    </row>
    <row r="434" spans="1:11" ht="15">
      <c r="A434" s="30"/>
      <c r="B434" s="30"/>
      <c r="C434" s="30"/>
      <c r="D434" s="30"/>
      <c r="E434" s="30"/>
      <c r="F434" s="30"/>
      <c r="G434" s="30"/>
      <c r="H434" s="30"/>
      <c r="I434" s="30"/>
      <c r="J434" s="30"/>
      <c r="K434" s="30"/>
    </row>
    <row r="435" spans="1:11" ht="15">
      <c r="A435" s="30"/>
      <c r="B435" s="30"/>
      <c r="C435" s="30"/>
      <c r="D435" s="30"/>
      <c r="E435" s="30"/>
      <c r="F435" s="30"/>
      <c r="G435" s="30"/>
      <c r="H435" s="30"/>
      <c r="I435" s="30"/>
      <c r="J435" s="30"/>
      <c r="K435" s="30"/>
    </row>
    <row r="436" spans="1:11" ht="15">
      <c r="A436" s="30"/>
      <c r="B436" s="30"/>
      <c r="C436" s="30"/>
      <c r="D436" s="30"/>
      <c r="E436" s="30"/>
      <c r="F436" s="30"/>
      <c r="G436" s="30"/>
      <c r="H436" s="30"/>
      <c r="I436" s="30"/>
      <c r="J436" s="30"/>
      <c r="K436" s="30"/>
    </row>
    <row r="437" spans="1:11" ht="15">
      <c r="A437" s="30"/>
      <c r="B437" s="30"/>
      <c r="C437" s="30"/>
      <c r="D437" s="30"/>
      <c r="E437" s="30"/>
      <c r="F437" s="30"/>
      <c r="G437" s="30"/>
      <c r="H437" s="30"/>
      <c r="I437" s="30"/>
      <c r="J437" s="30"/>
      <c r="K437" s="30"/>
    </row>
    <row r="438" spans="1:11" ht="15">
      <c r="A438" s="30"/>
      <c r="B438" s="30"/>
      <c r="C438" s="30"/>
      <c r="D438" s="30"/>
      <c r="E438" s="30"/>
      <c r="F438" s="30"/>
      <c r="G438" s="30"/>
      <c r="H438" s="30"/>
      <c r="I438" s="30"/>
      <c r="J438" s="30"/>
      <c r="K438" s="30"/>
    </row>
    <row r="439" spans="1:11" ht="15">
      <c r="A439" s="30"/>
      <c r="B439" s="30"/>
      <c r="C439" s="30"/>
      <c r="D439" s="30"/>
      <c r="E439" s="30"/>
      <c r="F439" s="30"/>
      <c r="G439" s="30"/>
      <c r="H439" s="30"/>
      <c r="I439" s="30"/>
      <c r="J439" s="30"/>
      <c r="K439" s="30"/>
    </row>
    <row r="440" spans="1:11" ht="15">
      <c r="A440" s="30"/>
      <c r="B440" s="30"/>
      <c r="C440" s="30"/>
      <c r="D440" s="30"/>
      <c r="E440" s="30"/>
      <c r="F440" s="30"/>
      <c r="G440" s="30"/>
      <c r="H440" s="30"/>
      <c r="I440" s="30"/>
      <c r="J440" s="30"/>
      <c r="K440" s="30"/>
    </row>
    <row r="441" spans="1:11" ht="15">
      <c r="A441" s="30"/>
      <c r="B441" s="30"/>
      <c r="C441" s="30"/>
      <c r="D441" s="30"/>
      <c r="E441" s="30"/>
      <c r="F441" s="30"/>
      <c r="G441" s="30"/>
      <c r="H441" s="30"/>
      <c r="I441" s="30"/>
      <c r="J441" s="30"/>
      <c r="K441" s="30"/>
    </row>
    <row r="442" spans="1:11" ht="15">
      <c r="A442" s="30"/>
      <c r="B442" s="30"/>
      <c r="C442" s="30"/>
      <c r="D442" s="30"/>
      <c r="E442" s="30"/>
      <c r="F442" s="30"/>
      <c r="G442" s="30"/>
      <c r="H442" s="30"/>
      <c r="I442" s="30"/>
      <c r="J442" s="30"/>
      <c r="K442" s="30"/>
    </row>
    <row r="443" spans="1:11" ht="15">
      <c r="A443" s="30"/>
      <c r="B443" s="30"/>
      <c r="C443" s="30"/>
      <c r="D443" s="30"/>
      <c r="E443" s="30"/>
      <c r="F443" s="30"/>
      <c r="G443" s="30"/>
      <c r="H443" s="30"/>
      <c r="I443" s="30"/>
      <c r="J443" s="30"/>
      <c r="K443" s="30"/>
    </row>
    <row r="444" spans="1:11" ht="15">
      <c r="A444" s="30"/>
      <c r="B444" s="30"/>
      <c r="C444" s="30"/>
      <c r="D444" s="30"/>
      <c r="E444" s="30"/>
      <c r="F444" s="30"/>
      <c r="G444" s="30"/>
      <c r="H444" s="30"/>
      <c r="I444" s="30"/>
      <c r="J444" s="30"/>
      <c r="K444" s="30"/>
    </row>
    <row r="445" spans="1:11" ht="15">
      <c r="A445" s="30"/>
      <c r="B445" s="30"/>
      <c r="C445" s="30"/>
      <c r="D445" s="30"/>
      <c r="E445" s="30"/>
      <c r="F445" s="30"/>
      <c r="G445" s="30"/>
      <c r="H445" s="30"/>
      <c r="I445" s="30"/>
      <c r="J445" s="30"/>
      <c r="K445" s="30"/>
    </row>
    <row r="446" spans="1:11" ht="15">
      <c r="A446" s="30"/>
      <c r="B446" s="30"/>
      <c r="C446" s="30"/>
      <c r="D446" s="30"/>
      <c r="E446" s="30"/>
      <c r="F446" s="30"/>
      <c r="G446" s="30"/>
      <c r="H446" s="30"/>
      <c r="I446" s="30"/>
      <c r="J446" s="30"/>
      <c r="K446" s="30"/>
    </row>
    <row r="447" spans="1:11" ht="15">
      <c r="A447" s="30"/>
      <c r="B447" s="30"/>
      <c r="C447" s="30"/>
      <c r="D447" s="30"/>
      <c r="E447" s="30"/>
      <c r="F447" s="30"/>
      <c r="G447" s="30"/>
      <c r="H447" s="30"/>
      <c r="I447" s="30"/>
      <c r="J447" s="30"/>
      <c r="K447" s="30"/>
    </row>
    <row r="448" spans="1:11" ht="15">
      <c r="A448" s="30"/>
      <c r="B448" s="30"/>
      <c r="C448" s="30"/>
      <c r="D448" s="30"/>
      <c r="E448" s="30"/>
      <c r="F448" s="30"/>
      <c r="G448" s="30"/>
      <c r="H448" s="30"/>
      <c r="I448" s="30"/>
      <c r="J448" s="30"/>
      <c r="K448" s="30"/>
    </row>
    <row r="449" spans="1:11" ht="15">
      <c r="A449" s="30"/>
      <c r="B449" s="30"/>
      <c r="C449" s="30"/>
      <c r="D449" s="30"/>
      <c r="E449" s="30"/>
      <c r="F449" s="30"/>
      <c r="G449" s="30"/>
      <c r="H449" s="30"/>
      <c r="I449" s="30"/>
      <c r="J449" s="30"/>
      <c r="K449" s="30"/>
    </row>
    <row r="450" spans="1:11" ht="15">
      <c r="A450" s="30"/>
      <c r="B450" s="30"/>
      <c r="C450" s="30"/>
      <c r="D450" s="30"/>
      <c r="E450" s="30"/>
      <c r="F450" s="30"/>
      <c r="G450" s="30"/>
      <c r="H450" s="30"/>
      <c r="I450" s="30"/>
      <c r="J450" s="30"/>
      <c r="K450" s="30"/>
    </row>
    <row r="451" spans="1:11" ht="15">
      <c r="A451" s="30"/>
      <c r="B451" s="30"/>
      <c r="C451" s="30"/>
      <c r="D451" s="30"/>
      <c r="E451" s="30"/>
      <c r="F451" s="30"/>
      <c r="G451" s="30"/>
      <c r="H451" s="30"/>
      <c r="I451" s="30"/>
      <c r="J451" s="30"/>
      <c r="K451" s="30"/>
    </row>
    <row r="452" spans="1:11" ht="15">
      <c r="A452" s="30"/>
      <c r="B452" s="30"/>
      <c r="C452" s="30"/>
      <c r="D452" s="30"/>
      <c r="E452" s="30"/>
      <c r="F452" s="30"/>
      <c r="G452" s="30"/>
      <c r="H452" s="30"/>
      <c r="I452" s="30"/>
      <c r="J452" s="30"/>
      <c r="K452" s="30"/>
    </row>
    <row r="453" spans="1:11" ht="15">
      <c r="A453" s="30"/>
      <c r="B453" s="30"/>
      <c r="C453" s="30"/>
      <c r="D453" s="30"/>
      <c r="E453" s="30"/>
      <c r="F453" s="30"/>
      <c r="G453" s="30"/>
      <c r="H453" s="30"/>
      <c r="I453" s="30"/>
      <c r="J453" s="30"/>
      <c r="K453" s="30"/>
    </row>
    <row r="454" spans="1:11" ht="15">
      <c r="A454" s="30"/>
      <c r="B454" s="30"/>
      <c r="C454" s="30"/>
      <c r="D454" s="30"/>
      <c r="E454" s="30"/>
      <c r="F454" s="30"/>
      <c r="G454" s="30"/>
      <c r="H454" s="30"/>
      <c r="I454" s="30"/>
      <c r="J454" s="30"/>
      <c r="K454" s="30"/>
    </row>
    <row r="455" spans="1:11" ht="15">
      <c r="A455" s="30"/>
      <c r="B455" s="30"/>
      <c r="C455" s="30"/>
      <c r="D455" s="30"/>
      <c r="E455" s="30"/>
      <c r="F455" s="30"/>
      <c r="G455" s="30"/>
      <c r="H455" s="30"/>
      <c r="I455" s="30"/>
      <c r="J455" s="30"/>
      <c r="K455" s="30"/>
    </row>
    <row r="456" spans="1:11" ht="15">
      <c r="A456" s="30"/>
      <c r="B456" s="30"/>
      <c r="C456" s="30"/>
      <c r="D456" s="30"/>
      <c r="E456" s="30"/>
      <c r="F456" s="30"/>
      <c r="G456" s="30"/>
      <c r="H456" s="30"/>
      <c r="I456" s="30"/>
      <c r="J456" s="30"/>
      <c r="K456" s="30"/>
    </row>
    <row r="457" spans="1:11" ht="15">
      <c r="A457" s="30"/>
      <c r="B457" s="30"/>
      <c r="C457" s="30"/>
      <c r="D457" s="30"/>
      <c r="E457" s="30"/>
      <c r="F457" s="30"/>
      <c r="G457" s="30"/>
      <c r="H457" s="30"/>
      <c r="I457" s="30"/>
      <c r="J457" s="30"/>
      <c r="K457" s="30"/>
    </row>
    <row r="458" spans="1:11" ht="15">
      <c r="A458" s="30"/>
      <c r="B458" s="30"/>
      <c r="C458" s="30"/>
      <c r="D458" s="30"/>
      <c r="E458" s="30"/>
      <c r="F458" s="30"/>
      <c r="G458" s="30"/>
      <c r="H458" s="30"/>
      <c r="I458" s="30"/>
      <c r="J458" s="30"/>
      <c r="K458" s="30"/>
    </row>
    <row r="459" spans="1:11" ht="15">
      <c r="A459" s="30"/>
      <c r="B459" s="30"/>
      <c r="C459" s="30"/>
      <c r="D459" s="30"/>
      <c r="E459" s="30"/>
      <c r="F459" s="30"/>
      <c r="G459" s="30"/>
      <c r="H459" s="30"/>
      <c r="I459" s="30"/>
      <c r="J459" s="30"/>
      <c r="K459" s="30"/>
    </row>
    <row r="460" spans="1:11" ht="15">
      <c r="A460" s="30"/>
      <c r="B460" s="30"/>
      <c r="C460" s="30"/>
      <c r="D460" s="30"/>
      <c r="E460" s="30"/>
      <c r="F460" s="30"/>
      <c r="G460" s="30"/>
      <c r="H460" s="30"/>
      <c r="I460" s="30"/>
      <c r="J460" s="30"/>
      <c r="K460" s="30"/>
    </row>
    <row r="461" spans="1:11" ht="15">
      <c r="A461" s="30"/>
      <c r="B461" s="30"/>
      <c r="C461" s="30"/>
      <c r="D461" s="30"/>
      <c r="E461" s="30"/>
      <c r="F461" s="30"/>
      <c r="G461" s="30"/>
      <c r="H461" s="30"/>
      <c r="I461" s="30"/>
      <c r="J461" s="30"/>
      <c r="K461" s="30"/>
    </row>
    <row r="462" spans="1:11" ht="15">
      <c r="A462" s="30"/>
      <c r="B462" s="30"/>
      <c r="C462" s="30"/>
      <c r="D462" s="30"/>
      <c r="E462" s="30"/>
      <c r="F462" s="30"/>
      <c r="G462" s="30"/>
      <c r="H462" s="30"/>
      <c r="I462" s="30"/>
      <c r="J462" s="30"/>
      <c r="K462" s="30"/>
    </row>
    <row r="463" spans="1:11" ht="15">
      <c r="A463" s="30"/>
      <c r="B463" s="30"/>
      <c r="C463" s="30"/>
      <c r="D463" s="30"/>
      <c r="E463" s="30"/>
      <c r="F463" s="30"/>
      <c r="G463" s="30"/>
      <c r="H463" s="30"/>
      <c r="I463" s="30"/>
      <c r="J463" s="30"/>
      <c r="K463" s="30"/>
    </row>
    <row r="464" spans="1:11" ht="15">
      <c r="A464" s="30"/>
      <c r="B464" s="30"/>
      <c r="C464" s="30"/>
      <c r="D464" s="30"/>
      <c r="E464" s="30"/>
      <c r="F464" s="30"/>
      <c r="G464" s="30"/>
      <c r="H464" s="30"/>
      <c r="I464" s="30"/>
      <c r="J464" s="30"/>
      <c r="K464" s="30"/>
    </row>
    <row r="465" spans="1:11" ht="15">
      <c r="A465" s="30"/>
      <c r="B465" s="30"/>
      <c r="C465" s="30"/>
      <c r="D465" s="30"/>
      <c r="E465" s="30"/>
      <c r="F465" s="30"/>
      <c r="G465" s="30"/>
      <c r="H465" s="30"/>
      <c r="I465" s="30"/>
      <c r="J465" s="30"/>
      <c r="K465" s="30"/>
    </row>
    <row r="466" spans="1:11" ht="15">
      <c r="A466" s="30"/>
      <c r="B466" s="30"/>
      <c r="C466" s="30"/>
      <c r="D466" s="30"/>
      <c r="E466" s="30"/>
      <c r="F466" s="30"/>
      <c r="G466" s="30"/>
      <c r="H466" s="30"/>
      <c r="I466" s="30"/>
      <c r="J466" s="30"/>
      <c r="K466" s="30"/>
    </row>
    <row r="467" spans="1:11" ht="15">
      <c r="A467" s="30"/>
      <c r="B467" s="30"/>
      <c r="C467" s="30"/>
      <c r="D467" s="30"/>
      <c r="E467" s="30"/>
      <c r="F467" s="30"/>
      <c r="G467" s="30"/>
      <c r="H467" s="30"/>
      <c r="I467" s="30"/>
      <c r="J467" s="30"/>
      <c r="K467" s="30"/>
    </row>
    <row r="468" spans="1:11" ht="15">
      <c r="A468" s="30"/>
      <c r="B468" s="30"/>
      <c r="C468" s="30"/>
      <c r="D468" s="30"/>
      <c r="E468" s="30"/>
      <c r="F468" s="30"/>
      <c r="G468" s="30"/>
      <c r="H468" s="30"/>
      <c r="I468" s="30"/>
      <c r="J468" s="30"/>
      <c r="K468" s="30"/>
    </row>
    <row r="469" spans="1:11" ht="15">
      <c r="A469" s="30"/>
      <c r="B469" s="30"/>
      <c r="C469" s="30"/>
      <c r="D469" s="30"/>
      <c r="E469" s="30"/>
      <c r="F469" s="30"/>
      <c r="G469" s="30"/>
      <c r="H469" s="30"/>
      <c r="I469" s="30"/>
      <c r="J469" s="30"/>
      <c r="K469" s="30"/>
    </row>
    <row r="470" spans="1:11" ht="15">
      <c r="A470" s="30"/>
      <c r="B470" s="30"/>
      <c r="C470" s="30"/>
      <c r="D470" s="30"/>
      <c r="E470" s="30"/>
      <c r="F470" s="30"/>
      <c r="G470" s="30"/>
      <c r="H470" s="30"/>
      <c r="I470" s="30"/>
      <c r="J470" s="30"/>
      <c r="K470" s="30"/>
    </row>
    <row r="471" spans="1:11" ht="15">
      <c r="A471" s="30"/>
      <c r="B471" s="30"/>
      <c r="C471" s="30"/>
      <c r="D471" s="30"/>
      <c r="E471" s="30"/>
      <c r="F471" s="30"/>
      <c r="G471" s="30"/>
      <c r="H471" s="30"/>
      <c r="I471" s="30"/>
      <c r="J471" s="30"/>
      <c r="K471" s="30"/>
    </row>
    <row r="472" spans="1:11" ht="15">
      <c r="A472" s="30"/>
      <c r="B472" s="30"/>
      <c r="C472" s="30"/>
      <c r="D472" s="30"/>
      <c r="E472" s="30"/>
      <c r="F472" s="30"/>
      <c r="G472" s="30"/>
      <c r="H472" s="30"/>
      <c r="I472" s="30"/>
      <c r="J472" s="30"/>
      <c r="K472" s="30"/>
    </row>
    <row r="473" spans="1:11" ht="15">
      <c r="A473" s="30"/>
      <c r="B473" s="30"/>
      <c r="C473" s="30"/>
      <c r="D473" s="30"/>
      <c r="E473" s="30"/>
      <c r="F473" s="30"/>
      <c r="G473" s="30"/>
      <c r="H473" s="30"/>
      <c r="I473" s="30"/>
      <c r="J473" s="30"/>
      <c r="K473" s="30"/>
    </row>
    <row r="474" spans="1:11" ht="15">
      <c r="A474" s="30"/>
      <c r="B474" s="30"/>
      <c r="C474" s="30"/>
      <c r="D474" s="30"/>
      <c r="E474" s="30"/>
      <c r="F474" s="30"/>
      <c r="G474" s="30"/>
      <c r="H474" s="30"/>
      <c r="I474" s="30"/>
      <c r="J474" s="30"/>
      <c r="K474" s="30"/>
    </row>
    <row r="475" spans="1:11" ht="15">
      <c r="A475" s="30"/>
      <c r="B475" s="30"/>
      <c r="C475" s="30"/>
      <c r="D475" s="30"/>
      <c r="E475" s="30"/>
      <c r="F475" s="30"/>
      <c r="G475" s="30"/>
      <c r="H475" s="30"/>
      <c r="I475" s="30"/>
      <c r="J475" s="30"/>
      <c r="K475" s="30"/>
    </row>
    <row r="476" spans="1:11" ht="15">
      <c r="A476" s="30"/>
      <c r="B476" s="30"/>
      <c r="C476" s="30"/>
      <c r="D476" s="30"/>
      <c r="E476" s="30"/>
      <c r="F476" s="30"/>
      <c r="G476" s="30"/>
      <c r="H476" s="30"/>
      <c r="I476" s="30"/>
      <c r="J476" s="30"/>
      <c r="K476" s="30"/>
    </row>
    <row r="477" spans="1:11" ht="15">
      <c r="A477" s="30"/>
      <c r="B477" s="30"/>
      <c r="C477" s="30"/>
      <c r="D477" s="30"/>
      <c r="E477" s="30"/>
      <c r="F477" s="30"/>
      <c r="G477" s="30"/>
      <c r="H477" s="30"/>
      <c r="I477" s="30"/>
      <c r="J477" s="30"/>
      <c r="K477" s="30"/>
    </row>
    <row r="478" spans="1:11" ht="15">
      <c r="A478" s="30"/>
      <c r="B478" s="30"/>
      <c r="C478" s="30"/>
      <c r="D478" s="30"/>
      <c r="E478" s="30"/>
      <c r="F478" s="30"/>
      <c r="G478" s="30"/>
      <c r="H478" s="30"/>
      <c r="I478" s="30"/>
      <c r="J478" s="30"/>
      <c r="K478" s="30"/>
    </row>
    <row r="479" spans="1:11" ht="15">
      <c r="A479" s="30"/>
      <c r="B479" s="30"/>
      <c r="C479" s="30"/>
      <c r="D479" s="30"/>
      <c r="E479" s="30"/>
      <c r="F479" s="30"/>
      <c r="G479" s="30"/>
      <c r="H479" s="30"/>
      <c r="I479" s="30"/>
      <c r="J479" s="30"/>
      <c r="K479" s="30"/>
    </row>
    <row r="480" spans="1:11" ht="15">
      <c r="A480" s="30"/>
      <c r="B480" s="30"/>
      <c r="C480" s="30"/>
      <c r="D480" s="30"/>
      <c r="E480" s="30"/>
      <c r="F480" s="30"/>
      <c r="G480" s="30"/>
      <c r="H480" s="30"/>
      <c r="I480" s="30"/>
      <c r="J480" s="30"/>
      <c r="K480" s="30"/>
    </row>
    <row r="481" spans="1:11" ht="15">
      <c r="A481" s="30"/>
      <c r="B481" s="30"/>
      <c r="C481" s="30"/>
      <c r="D481" s="30"/>
      <c r="E481" s="30"/>
      <c r="F481" s="30"/>
      <c r="G481" s="30"/>
      <c r="H481" s="30"/>
      <c r="I481" s="30"/>
      <c r="J481" s="30"/>
      <c r="K481" s="30"/>
    </row>
    <row r="482" spans="1:11" ht="15">
      <c r="A482" s="30"/>
      <c r="B482" s="30"/>
      <c r="C482" s="30"/>
      <c r="D482" s="30"/>
      <c r="E482" s="30"/>
      <c r="F482" s="30"/>
      <c r="G482" s="30"/>
      <c r="H482" s="30"/>
      <c r="I482" s="30"/>
      <c r="J482" s="30"/>
      <c r="K482" s="30"/>
    </row>
    <row r="483" spans="1:11" ht="15">
      <c r="A483" s="30"/>
      <c r="B483" s="30"/>
      <c r="C483" s="30"/>
      <c r="D483" s="30"/>
      <c r="E483" s="30"/>
      <c r="F483" s="30"/>
      <c r="G483" s="30"/>
      <c r="H483" s="30"/>
      <c r="I483" s="30"/>
      <c r="J483" s="30"/>
      <c r="K483" s="30"/>
    </row>
    <row r="484" spans="1:11" ht="15">
      <c r="A484" s="30"/>
      <c r="B484" s="30"/>
      <c r="C484" s="30"/>
      <c r="D484" s="30"/>
      <c r="E484" s="30"/>
      <c r="F484" s="30"/>
      <c r="G484" s="30"/>
      <c r="H484" s="30"/>
      <c r="I484" s="30"/>
      <c r="J484" s="30"/>
      <c r="K484" s="30"/>
    </row>
    <row r="485" spans="1:11" ht="15">
      <c r="A485" s="30"/>
      <c r="B485" s="30"/>
      <c r="C485" s="30"/>
      <c r="D485" s="30"/>
      <c r="E485" s="30"/>
      <c r="F485" s="30"/>
      <c r="G485" s="30"/>
      <c r="H485" s="30"/>
      <c r="I485" s="30"/>
      <c r="J485" s="30"/>
      <c r="K485" s="30"/>
    </row>
    <row r="486" spans="1:11" ht="15">
      <c r="A486" s="30"/>
      <c r="B486" s="30"/>
      <c r="C486" s="30"/>
      <c r="D486" s="30"/>
      <c r="E486" s="30"/>
      <c r="F486" s="30"/>
      <c r="G486" s="30"/>
      <c r="H486" s="30"/>
      <c r="I486" s="30"/>
      <c r="J486" s="30"/>
      <c r="K486" s="30"/>
    </row>
    <row r="487" spans="1:11" ht="15">
      <c r="A487" s="30"/>
      <c r="B487" s="30"/>
      <c r="C487" s="30"/>
      <c r="D487" s="30"/>
      <c r="E487" s="30"/>
      <c r="F487" s="30"/>
      <c r="G487" s="30"/>
      <c r="H487" s="30"/>
      <c r="I487" s="30"/>
      <c r="J487" s="30"/>
      <c r="K487" s="30"/>
    </row>
    <row r="488" spans="1:11" ht="15">
      <c r="A488" s="30"/>
      <c r="B488" s="30"/>
      <c r="C488" s="30"/>
      <c r="D488" s="30"/>
      <c r="E488" s="30"/>
      <c r="F488" s="30"/>
      <c r="G488" s="30"/>
      <c r="H488" s="30"/>
      <c r="I488" s="30"/>
      <c r="J488" s="30"/>
      <c r="K488" s="30"/>
    </row>
    <row r="489" spans="1:11" ht="15">
      <c r="A489" s="30"/>
      <c r="B489" s="30"/>
      <c r="C489" s="30"/>
      <c r="D489" s="30"/>
      <c r="E489" s="30"/>
      <c r="F489" s="30"/>
      <c r="G489" s="30"/>
      <c r="H489" s="30"/>
      <c r="I489" s="30"/>
      <c r="J489" s="30"/>
      <c r="K489" s="30"/>
    </row>
    <row r="490" spans="1:11" ht="15">
      <c r="A490" s="30"/>
      <c r="B490" s="30"/>
      <c r="C490" s="30"/>
      <c r="D490" s="30"/>
      <c r="E490" s="30"/>
      <c r="F490" s="30"/>
      <c r="G490" s="30"/>
      <c r="H490" s="30"/>
      <c r="I490" s="30"/>
      <c r="J490" s="30"/>
      <c r="K490" s="30"/>
    </row>
    <row r="491" spans="1:11" ht="15">
      <c r="A491" s="30"/>
      <c r="B491" s="30"/>
      <c r="C491" s="30"/>
      <c r="D491" s="30"/>
      <c r="E491" s="30"/>
      <c r="F491" s="30"/>
      <c r="G491" s="30"/>
      <c r="H491" s="30"/>
      <c r="I491" s="30"/>
      <c r="J491" s="30"/>
      <c r="K491" s="30"/>
    </row>
    <row r="492" spans="1:11" ht="15">
      <c r="A492" s="30"/>
      <c r="B492" s="30"/>
      <c r="C492" s="30"/>
      <c r="D492" s="30"/>
      <c r="E492" s="30"/>
      <c r="F492" s="30"/>
      <c r="G492" s="30"/>
      <c r="H492" s="30"/>
      <c r="I492" s="30"/>
      <c r="J492" s="30"/>
      <c r="K492" s="30"/>
    </row>
    <row r="493" spans="1:11" ht="15">
      <c r="A493" s="30"/>
      <c r="B493" s="30"/>
      <c r="C493" s="30"/>
      <c r="D493" s="30"/>
      <c r="E493" s="30"/>
      <c r="F493" s="30"/>
      <c r="G493" s="30"/>
      <c r="H493" s="30"/>
      <c r="I493" s="30"/>
      <c r="J493" s="30"/>
      <c r="K493" s="30"/>
    </row>
    <row r="494" spans="1:11" ht="15">
      <c r="A494" s="30"/>
      <c r="B494" s="30"/>
      <c r="C494" s="30"/>
      <c r="D494" s="30"/>
      <c r="E494" s="30"/>
      <c r="F494" s="30"/>
      <c r="G494" s="30"/>
      <c r="H494" s="30"/>
      <c r="I494" s="30"/>
      <c r="J494" s="30"/>
      <c r="K494" s="30"/>
    </row>
    <row r="495" spans="1:11" ht="15">
      <c r="A495" s="30"/>
      <c r="B495" s="30"/>
      <c r="C495" s="30"/>
      <c r="D495" s="30"/>
      <c r="E495" s="30"/>
      <c r="F495" s="30"/>
      <c r="G495" s="30"/>
      <c r="H495" s="30"/>
      <c r="I495" s="30"/>
      <c r="J495" s="30"/>
      <c r="K495" s="30"/>
    </row>
    <row r="496" spans="1:11" ht="15">
      <c r="A496" s="30"/>
      <c r="B496" s="30"/>
      <c r="C496" s="30"/>
      <c r="D496" s="30"/>
      <c r="E496" s="30"/>
      <c r="F496" s="30"/>
      <c r="G496" s="30"/>
      <c r="H496" s="30"/>
      <c r="I496" s="30"/>
      <c r="J496" s="30"/>
      <c r="K496" s="30"/>
    </row>
    <row r="497" spans="1:11" ht="15">
      <c r="A497" s="30"/>
      <c r="B497" s="30"/>
      <c r="C497" s="30"/>
      <c r="D497" s="30"/>
      <c r="E497" s="30"/>
      <c r="F497" s="30"/>
      <c r="G497" s="30"/>
      <c r="H497" s="30"/>
      <c r="I497" s="30"/>
      <c r="J497" s="30"/>
      <c r="K497" s="30"/>
    </row>
    <row r="498" spans="1:11" ht="15">
      <c r="A498" s="30"/>
      <c r="B498" s="30"/>
      <c r="C498" s="30"/>
      <c r="D498" s="30"/>
      <c r="E498" s="30"/>
      <c r="F498" s="30"/>
      <c r="G498" s="30"/>
      <c r="H498" s="30"/>
      <c r="I498" s="30"/>
      <c r="J498" s="30"/>
      <c r="K498" s="30"/>
    </row>
    <row r="499" spans="1:11" ht="15">
      <c r="A499" s="30"/>
      <c r="B499" s="30"/>
      <c r="C499" s="30"/>
      <c r="D499" s="30"/>
      <c r="E499" s="30"/>
      <c r="F499" s="30"/>
      <c r="G499" s="30"/>
      <c r="H499" s="30"/>
      <c r="I499" s="30"/>
      <c r="J499" s="30"/>
      <c r="K499" s="30"/>
    </row>
    <row r="500" spans="1:11" ht="15">
      <c r="A500" s="30"/>
      <c r="B500" s="30"/>
      <c r="C500" s="30"/>
      <c r="D500" s="30"/>
      <c r="E500" s="30"/>
      <c r="F500" s="30"/>
      <c r="G500" s="30"/>
      <c r="H500" s="30"/>
      <c r="I500" s="30"/>
      <c r="J500" s="30"/>
      <c r="K500" s="30"/>
    </row>
    <row r="501" spans="1:11" ht="15">
      <c r="A501" s="30"/>
      <c r="B501" s="30"/>
      <c r="C501" s="30"/>
      <c r="D501" s="30"/>
      <c r="E501" s="30"/>
      <c r="F501" s="30"/>
      <c r="G501" s="30"/>
      <c r="H501" s="30"/>
      <c r="I501" s="30"/>
      <c r="J501" s="30"/>
      <c r="K501" s="30"/>
    </row>
    <row r="502" spans="1:11" ht="15">
      <c r="A502" s="30"/>
      <c r="B502" s="30"/>
      <c r="C502" s="30"/>
      <c r="D502" s="30"/>
      <c r="E502" s="30"/>
      <c r="F502" s="30"/>
      <c r="G502" s="30"/>
      <c r="H502" s="30"/>
      <c r="I502" s="30"/>
      <c r="J502" s="30"/>
      <c r="K502" s="30"/>
    </row>
    <row r="503" spans="1:11" ht="15">
      <c r="A503" s="30"/>
      <c r="B503" s="30"/>
      <c r="C503" s="30"/>
      <c r="D503" s="30"/>
      <c r="E503" s="30"/>
      <c r="F503" s="30"/>
      <c r="G503" s="30"/>
      <c r="H503" s="30"/>
      <c r="I503" s="30"/>
      <c r="J503" s="30"/>
      <c r="K503" s="30"/>
    </row>
    <row r="504" spans="1:11" ht="15">
      <c r="A504" s="30"/>
      <c r="B504" s="30"/>
      <c r="C504" s="30"/>
      <c r="D504" s="30"/>
      <c r="E504" s="30"/>
      <c r="F504" s="30"/>
      <c r="G504" s="30"/>
      <c r="H504" s="30"/>
      <c r="I504" s="30"/>
      <c r="J504" s="30"/>
      <c r="K504" s="30"/>
    </row>
    <row r="505" spans="1:11" ht="15">
      <c r="A505" s="30"/>
      <c r="B505" s="30"/>
      <c r="C505" s="30"/>
      <c r="D505" s="30"/>
      <c r="E505" s="30"/>
      <c r="F505" s="30"/>
      <c r="G505" s="30"/>
      <c r="H505" s="30"/>
      <c r="I505" s="30"/>
      <c r="J505" s="30"/>
      <c r="K505" s="30"/>
    </row>
    <row r="506" spans="1:11" ht="15">
      <c r="A506" s="30"/>
      <c r="B506" s="30"/>
      <c r="C506" s="30"/>
      <c r="D506" s="30"/>
      <c r="E506" s="30"/>
      <c r="F506" s="30"/>
      <c r="G506" s="30"/>
      <c r="H506" s="30"/>
      <c r="I506" s="30"/>
      <c r="J506" s="30"/>
      <c r="K506" s="30"/>
    </row>
    <row r="507" spans="1:11" ht="15">
      <c r="A507" s="30"/>
      <c r="B507" s="30"/>
      <c r="C507" s="30"/>
      <c r="D507" s="30"/>
      <c r="E507" s="30"/>
      <c r="F507" s="30"/>
      <c r="G507" s="30"/>
      <c r="H507" s="30"/>
      <c r="I507" s="30"/>
      <c r="J507" s="30"/>
      <c r="K507" s="30"/>
    </row>
    <row r="508" spans="1:11" ht="15">
      <c r="A508" s="30"/>
      <c r="B508" s="30"/>
      <c r="C508" s="30"/>
      <c r="D508" s="30"/>
      <c r="E508" s="30"/>
      <c r="F508" s="30"/>
      <c r="G508" s="30"/>
      <c r="H508" s="30"/>
      <c r="I508" s="30"/>
      <c r="J508" s="30"/>
      <c r="K508" s="30"/>
    </row>
    <row r="509" spans="1:11" ht="15">
      <c r="A509" s="30"/>
      <c r="B509" s="30"/>
      <c r="C509" s="30"/>
      <c r="D509" s="30"/>
      <c r="E509" s="30"/>
      <c r="F509" s="30"/>
      <c r="G509" s="30"/>
      <c r="H509" s="30"/>
      <c r="I509" s="30"/>
      <c r="J509" s="30"/>
      <c r="K509" s="30"/>
    </row>
    <row r="510" spans="1:11" ht="15">
      <c r="A510" s="30"/>
      <c r="B510" s="30"/>
      <c r="C510" s="30"/>
      <c r="D510" s="30"/>
      <c r="E510" s="30"/>
      <c r="F510" s="30"/>
      <c r="G510" s="30"/>
      <c r="H510" s="30"/>
      <c r="I510" s="30"/>
      <c r="J510" s="30"/>
      <c r="K510" s="30"/>
    </row>
    <row r="511" spans="1:11" ht="15">
      <c r="A511" s="30"/>
      <c r="B511" s="30"/>
      <c r="C511" s="30"/>
      <c r="D511" s="30"/>
      <c r="E511" s="30"/>
      <c r="F511" s="30"/>
      <c r="G511" s="30"/>
      <c r="H511" s="30"/>
      <c r="I511" s="30"/>
      <c r="J511" s="30"/>
      <c r="K511" s="30"/>
    </row>
    <row r="512" spans="1:11" ht="15">
      <c r="A512" s="30"/>
      <c r="B512" s="30"/>
      <c r="C512" s="30"/>
      <c r="D512" s="30"/>
      <c r="E512" s="30"/>
      <c r="F512" s="30"/>
      <c r="G512" s="30"/>
      <c r="H512" s="30"/>
      <c r="I512" s="30"/>
      <c r="J512" s="30"/>
      <c r="K512" s="30"/>
    </row>
    <row r="513" spans="1:11" ht="15">
      <c r="A513" s="30"/>
      <c r="B513" s="30"/>
      <c r="C513" s="30"/>
      <c r="D513" s="30"/>
      <c r="E513" s="30"/>
      <c r="F513" s="30"/>
      <c r="G513" s="30"/>
      <c r="H513" s="30"/>
      <c r="I513" s="30"/>
      <c r="J513" s="30"/>
      <c r="K513" s="30"/>
    </row>
    <row r="514" spans="1:11" ht="15">
      <c r="A514" s="30"/>
      <c r="B514" s="30"/>
      <c r="C514" s="30"/>
      <c r="D514" s="30"/>
      <c r="E514" s="30"/>
      <c r="F514" s="30"/>
      <c r="G514" s="30"/>
      <c r="H514" s="30"/>
      <c r="I514" s="30"/>
      <c r="J514" s="30"/>
      <c r="K514" s="30"/>
    </row>
    <row r="515" spans="1:11" ht="15">
      <c r="A515" s="30"/>
      <c r="B515" s="30"/>
      <c r="C515" s="30"/>
      <c r="D515" s="30"/>
      <c r="E515" s="30"/>
      <c r="F515" s="30"/>
      <c r="G515" s="30"/>
      <c r="H515" s="30"/>
      <c r="I515" s="30"/>
      <c r="J515" s="30"/>
      <c r="K515" s="30"/>
    </row>
    <row r="516" spans="1:11" ht="15">
      <c r="A516" s="30"/>
      <c r="B516" s="30"/>
      <c r="C516" s="30"/>
      <c r="D516" s="30"/>
      <c r="E516" s="30"/>
      <c r="F516" s="30"/>
      <c r="G516" s="30"/>
      <c r="H516" s="30"/>
      <c r="I516" s="30"/>
      <c r="J516" s="30"/>
      <c r="K516" s="30"/>
    </row>
    <row r="517" spans="1:11" ht="15">
      <c r="A517" s="30"/>
      <c r="B517" s="30"/>
      <c r="C517" s="30"/>
      <c r="D517" s="30"/>
      <c r="E517" s="30"/>
      <c r="F517" s="30"/>
      <c r="G517" s="30"/>
      <c r="H517" s="30"/>
      <c r="I517" s="30"/>
      <c r="J517" s="30"/>
      <c r="K517" s="30"/>
    </row>
    <row r="518" spans="1:11" ht="15">
      <c r="A518" s="30"/>
      <c r="B518" s="30"/>
      <c r="C518" s="30"/>
      <c r="D518" s="30"/>
      <c r="E518" s="30"/>
      <c r="F518" s="30"/>
      <c r="G518" s="30"/>
      <c r="H518" s="30"/>
      <c r="I518" s="30"/>
      <c r="J518" s="30"/>
      <c r="K518" s="30"/>
    </row>
    <row r="519" spans="1:11" ht="15">
      <c r="A519" s="30"/>
      <c r="B519" s="30"/>
      <c r="C519" s="30"/>
      <c r="D519" s="30"/>
      <c r="E519" s="30"/>
      <c r="F519" s="30"/>
      <c r="G519" s="30"/>
      <c r="H519" s="30"/>
      <c r="I519" s="30"/>
      <c r="J519" s="30"/>
      <c r="K519" s="30"/>
    </row>
    <row r="520" spans="1:11" ht="15">
      <c r="A520" s="30"/>
      <c r="B520" s="30"/>
      <c r="C520" s="30"/>
      <c r="D520" s="30"/>
      <c r="E520" s="30"/>
      <c r="F520" s="30"/>
      <c r="G520" s="30"/>
      <c r="H520" s="30"/>
      <c r="I520" s="30"/>
      <c r="J520" s="30"/>
      <c r="K520" s="30"/>
    </row>
    <row r="521" spans="1:11" ht="15">
      <c r="A521" s="30"/>
      <c r="B521" s="30"/>
      <c r="C521" s="30"/>
      <c r="D521" s="30"/>
      <c r="E521" s="30"/>
      <c r="F521" s="30"/>
      <c r="G521" s="30"/>
      <c r="H521" s="30"/>
      <c r="I521" s="30"/>
      <c r="J521" s="30"/>
      <c r="K521" s="30"/>
    </row>
    <row r="522" spans="1:11" ht="15">
      <c r="A522" s="30"/>
      <c r="B522" s="30"/>
      <c r="C522" s="30"/>
      <c r="D522" s="30"/>
      <c r="E522" s="30"/>
      <c r="F522" s="30"/>
      <c r="G522" s="30"/>
      <c r="H522" s="30"/>
      <c r="I522" s="30"/>
      <c r="J522" s="30"/>
      <c r="K522" s="30"/>
    </row>
    <row r="523" spans="1:11" ht="15">
      <c r="A523" s="30"/>
      <c r="B523" s="30"/>
      <c r="C523" s="30"/>
      <c r="D523" s="30"/>
      <c r="E523" s="30"/>
      <c r="F523" s="30"/>
      <c r="G523" s="30"/>
      <c r="H523" s="30"/>
      <c r="I523" s="30"/>
      <c r="J523" s="30"/>
      <c r="K523" s="30"/>
    </row>
    <row r="524" spans="1:11" ht="15">
      <c r="A524" s="30"/>
      <c r="B524" s="30"/>
      <c r="C524" s="30"/>
      <c r="D524" s="30"/>
      <c r="E524" s="30"/>
      <c r="F524" s="30"/>
      <c r="G524" s="30"/>
      <c r="H524" s="30"/>
      <c r="I524" s="30"/>
      <c r="J524" s="30"/>
      <c r="K524" s="30"/>
    </row>
    <row r="525" spans="1:11" ht="15">
      <c r="A525" s="30"/>
      <c r="B525" s="30"/>
      <c r="C525" s="30"/>
      <c r="D525" s="30"/>
      <c r="E525" s="30"/>
      <c r="F525" s="30"/>
      <c r="G525" s="30"/>
      <c r="H525" s="30"/>
      <c r="I525" s="30"/>
      <c r="J525" s="30"/>
      <c r="K525" s="30"/>
    </row>
    <row r="526" spans="1:11" ht="15">
      <c r="A526" s="30"/>
      <c r="B526" s="30"/>
      <c r="C526" s="30"/>
      <c r="D526" s="30"/>
      <c r="E526" s="30"/>
      <c r="F526" s="30"/>
      <c r="G526" s="30"/>
      <c r="H526" s="30"/>
      <c r="I526" s="30"/>
      <c r="J526" s="30"/>
      <c r="K526" s="30"/>
    </row>
    <row r="527" spans="1:11" ht="15">
      <c r="A527" s="30"/>
      <c r="B527" s="30"/>
      <c r="C527" s="30"/>
      <c r="D527" s="30"/>
      <c r="E527" s="30"/>
      <c r="F527" s="30"/>
      <c r="G527" s="30"/>
      <c r="H527" s="30"/>
      <c r="I527" s="30"/>
      <c r="J527" s="30"/>
      <c r="K527" s="30"/>
    </row>
    <row r="528" spans="1:11" ht="15">
      <c r="A528" s="30"/>
      <c r="B528" s="30"/>
      <c r="C528" s="30"/>
      <c r="D528" s="30"/>
      <c r="E528" s="30"/>
      <c r="F528" s="30"/>
      <c r="G528" s="30"/>
      <c r="H528" s="30"/>
      <c r="I528" s="30"/>
      <c r="J528" s="30"/>
      <c r="K528" s="30"/>
    </row>
    <row r="529" spans="1:11" ht="15">
      <c r="A529" s="30"/>
      <c r="B529" s="30"/>
      <c r="C529" s="30"/>
      <c r="D529" s="30"/>
      <c r="E529" s="30"/>
      <c r="F529" s="30"/>
      <c r="G529" s="30"/>
      <c r="H529" s="30"/>
      <c r="I529" s="30"/>
      <c r="J529" s="30"/>
      <c r="K529" s="30"/>
    </row>
    <row r="530" spans="1:11" ht="15">
      <c r="A530" s="30"/>
      <c r="B530" s="30"/>
      <c r="C530" s="30"/>
      <c r="D530" s="30"/>
      <c r="E530" s="30"/>
      <c r="F530" s="30"/>
      <c r="G530" s="30"/>
      <c r="H530" s="30"/>
      <c r="I530" s="30"/>
      <c r="J530" s="30"/>
      <c r="K530" s="30"/>
    </row>
    <row r="531" spans="1:11" ht="15">
      <c r="A531" s="30"/>
      <c r="B531" s="30"/>
      <c r="C531" s="30"/>
      <c r="D531" s="30"/>
      <c r="E531" s="30"/>
      <c r="F531" s="30"/>
      <c r="G531" s="30"/>
      <c r="H531" s="30"/>
      <c r="I531" s="30"/>
      <c r="J531" s="30"/>
      <c r="K531" s="30"/>
    </row>
    <row r="532" spans="1:11" ht="15">
      <c r="A532" s="30"/>
      <c r="B532" s="30"/>
      <c r="C532" s="30"/>
      <c r="D532" s="30"/>
      <c r="E532" s="30"/>
      <c r="F532" s="30"/>
      <c r="G532" s="30"/>
      <c r="H532" s="30"/>
      <c r="I532" s="30"/>
      <c r="J532" s="30"/>
      <c r="K532" s="30"/>
    </row>
    <row r="533" spans="1:11" ht="15">
      <c r="A533" s="30"/>
      <c r="B533" s="30"/>
      <c r="C533" s="30"/>
      <c r="D533" s="30"/>
      <c r="E533" s="30"/>
      <c r="F533" s="30"/>
      <c r="G533" s="30"/>
      <c r="H533" s="30"/>
      <c r="I533" s="30"/>
      <c r="J533" s="30"/>
      <c r="K533" s="30"/>
    </row>
    <row r="534" spans="1:11" ht="15">
      <c r="A534" s="30"/>
      <c r="B534" s="30"/>
      <c r="C534" s="30"/>
      <c r="D534" s="30"/>
      <c r="E534" s="30"/>
      <c r="F534" s="30"/>
      <c r="G534" s="30"/>
      <c r="H534" s="30"/>
      <c r="I534" s="30"/>
      <c r="J534" s="30"/>
      <c r="K534" s="30"/>
    </row>
    <row r="535" spans="1:11" ht="15">
      <c r="A535" s="30"/>
      <c r="B535" s="30"/>
      <c r="C535" s="30"/>
      <c r="D535" s="30"/>
      <c r="E535" s="30"/>
      <c r="F535" s="30"/>
      <c r="G535" s="30"/>
      <c r="H535" s="30"/>
      <c r="I535" s="30"/>
      <c r="J535" s="30"/>
      <c r="K535" s="30"/>
    </row>
    <row r="536" spans="1:11" ht="15">
      <c r="A536" s="30"/>
      <c r="B536" s="30"/>
      <c r="C536" s="30"/>
      <c r="D536" s="30"/>
      <c r="E536" s="30"/>
      <c r="F536" s="30"/>
      <c r="G536" s="30"/>
      <c r="H536" s="30"/>
      <c r="I536" s="30"/>
      <c r="J536" s="30"/>
      <c r="K536" s="30"/>
    </row>
    <row r="537" spans="1:11" ht="15">
      <c r="A537" s="30"/>
      <c r="B537" s="30"/>
      <c r="C537" s="30"/>
      <c r="D537" s="30"/>
      <c r="E537" s="30"/>
      <c r="F537" s="30"/>
      <c r="G537" s="30"/>
      <c r="H537" s="30"/>
      <c r="I537" s="30"/>
      <c r="J537" s="30"/>
      <c r="K537" s="30"/>
    </row>
    <row r="538" spans="1:11" ht="15">
      <c r="A538" s="30"/>
      <c r="B538" s="30"/>
      <c r="C538" s="30"/>
      <c r="D538" s="30"/>
      <c r="E538" s="30"/>
      <c r="F538" s="30"/>
      <c r="G538" s="30"/>
      <c r="H538" s="30"/>
      <c r="I538" s="30"/>
      <c r="J538" s="30"/>
      <c r="K538" s="30"/>
    </row>
    <row r="539" spans="1:11" ht="15">
      <c r="A539" s="30"/>
      <c r="B539" s="30"/>
      <c r="C539" s="30"/>
      <c r="D539" s="30"/>
      <c r="E539" s="30"/>
      <c r="F539" s="30"/>
      <c r="G539" s="30"/>
      <c r="H539" s="30"/>
      <c r="I539" s="30"/>
      <c r="J539" s="30"/>
      <c r="K539" s="30"/>
    </row>
    <row r="540" spans="1:11" ht="15">
      <c r="A540" s="30"/>
      <c r="B540" s="30"/>
      <c r="C540" s="30"/>
      <c r="D540" s="30"/>
      <c r="E540" s="30"/>
      <c r="F540" s="30"/>
      <c r="G540" s="30"/>
      <c r="H540" s="30"/>
      <c r="I540" s="30"/>
      <c r="J540" s="30"/>
      <c r="K540" s="30"/>
    </row>
    <row r="541" spans="1:11" ht="15">
      <c r="A541" s="30"/>
      <c r="B541" s="30"/>
      <c r="C541" s="30"/>
      <c r="D541" s="30"/>
      <c r="E541" s="30"/>
      <c r="F541" s="30"/>
      <c r="G541" s="30"/>
      <c r="H541" s="30"/>
      <c r="I541" s="30"/>
      <c r="J541" s="30"/>
      <c r="K541" s="30"/>
    </row>
    <row r="542" spans="1:11" ht="15">
      <c r="A542" s="30"/>
      <c r="B542" s="30"/>
      <c r="C542" s="30"/>
      <c r="D542" s="30"/>
      <c r="E542" s="30"/>
      <c r="F542" s="30"/>
      <c r="G542" s="30"/>
      <c r="H542" s="30"/>
      <c r="I542" s="30"/>
      <c r="J542" s="30"/>
      <c r="K542" s="30"/>
    </row>
    <row r="543" spans="1:11" ht="15">
      <c r="A543" s="30"/>
      <c r="B543" s="30"/>
      <c r="C543" s="30"/>
      <c r="D543" s="30"/>
      <c r="E543" s="30"/>
      <c r="F543" s="30"/>
      <c r="G543" s="30"/>
      <c r="H543" s="30"/>
      <c r="I543" s="30"/>
      <c r="J543" s="30"/>
      <c r="K543" s="30"/>
    </row>
    <row r="544" spans="1:11" ht="15">
      <c r="A544" s="30"/>
      <c r="B544" s="30"/>
      <c r="C544" s="30"/>
      <c r="D544" s="30"/>
      <c r="E544" s="30"/>
      <c r="F544" s="30"/>
      <c r="G544" s="30"/>
      <c r="H544" s="30"/>
      <c r="I544" s="30"/>
      <c r="J544" s="30"/>
      <c r="K544" s="30"/>
    </row>
    <row r="545" spans="1:11" ht="15">
      <c r="A545" s="30"/>
      <c r="B545" s="30"/>
      <c r="C545" s="30"/>
      <c r="D545" s="30"/>
      <c r="E545" s="30"/>
      <c r="F545" s="30"/>
      <c r="G545" s="30"/>
      <c r="H545" s="30"/>
      <c r="I545" s="30"/>
      <c r="J545" s="30"/>
      <c r="K545" s="30"/>
    </row>
    <row r="546" spans="1:11" ht="15">
      <c r="A546" s="30"/>
      <c r="B546" s="30"/>
      <c r="C546" s="30"/>
      <c r="D546" s="30"/>
      <c r="E546" s="30"/>
      <c r="F546" s="30"/>
      <c r="G546" s="30"/>
      <c r="H546" s="30"/>
      <c r="I546" s="30"/>
      <c r="J546" s="30"/>
      <c r="K546" s="30"/>
    </row>
    <row r="547" spans="1:11" ht="15">
      <c r="A547" s="30"/>
      <c r="B547" s="30"/>
      <c r="C547" s="30"/>
      <c r="D547" s="30"/>
      <c r="E547" s="30"/>
      <c r="F547" s="30"/>
      <c r="G547" s="30"/>
      <c r="H547" s="30"/>
      <c r="I547" s="30"/>
      <c r="J547" s="30"/>
      <c r="K547" s="30"/>
    </row>
    <row r="548" spans="1:11" ht="15">
      <c r="A548" s="30"/>
      <c r="B548" s="30"/>
      <c r="C548" s="30"/>
      <c r="D548" s="30"/>
      <c r="E548" s="30"/>
      <c r="F548" s="30"/>
      <c r="G548" s="30"/>
      <c r="H548" s="30"/>
      <c r="I548" s="30"/>
      <c r="J548" s="30"/>
      <c r="K548" s="30"/>
    </row>
    <row r="549" spans="1:11" ht="15">
      <c r="A549" s="30"/>
      <c r="B549" s="30"/>
      <c r="C549" s="30"/>
      <c r="D549" s="30"/>
      <c r="E549" s="30"/>
      <c r="F549" s="30"/>
      <c r="G549" s="30"/>
      <c r="H549" s="30"/>
      <c r="I549" s="30"/>
      <c r="J549" s="30"/>
      <c r="K549" s="30"/>
    </row>
    <row r="550" spans="1:11" ht="15">
      <c r="A550" s="30"/>
      <c r="B550" s="30"/>
      <c r="C550" s="30"/>
      <c r="D550" s="30"/>
      <c r="E550" s="30"/>
      <c r="F550" s="30"/>
      <c r="G550" s="30"/>
      <c r="H550" s="30"/>
      <c r="I550" s="30"/>
      <c r="J550" s="30"/>
      <c r="K550" s="30"/>
    </row>
    <row r="551" spans="1:11" ht="15">
      <c r="A551" s="30"/>
      <c r="B551" s="30"/>
      <c r="C551" s="30"/>
      <c r="D551" s="30"/>
      <c r="E551" s="30"/>
      <c r="F551" s="30"/>
      <c r="G551" s="30"/>
      <c r="H551" s="30"/>
      <c r="I551" s="30"/>
      <c r="J551" s="30"/>
      <c r="K551" s="30"/>
    </row>
    <row r="552" spans="1:11" ht="15">
      <c r="A552" s="30"/>
      <c r="B552" s="30"/>
      <c r="C552" s="30"/>
      <c r="D552" s="30"/>
      <c r="E552" s="30"/>
      <c r="F552" s="30"/>
      <c r="G552" s="30"/>
      <c r="H552" s="30"/>
      <c r="I552" s="30"/>
      <c r="J552" s="30"/>
      <c r="K552" s="30"/>
    </row>
    <row r="553" spans="1:11" ht="15">
      <c r="A553" s="30"/>
      <c r="B553" s="30"/>
      <c r="C553" s="30"/>
      <c r="D553" s="30"/>
      <c r="E553" s="30"/>
      <c r="F553" s="30"/>
      <c r="G553" s="30"/>
      <c r="H553" s="30"/>
      <c r="I553" s="30"/>
      <c r="J553" s="30"/>
      <c r="K553" s="30"/>
    </row>
    <row r="554" spans="1:11" ht="15">
      <c r="A554" s="30"/>
      <c r="B554" s="30"/>
      <c r="C554" s="30"/>
      <c r="D554" s="30"/>
      <c r="E554" s="30"/>
      <c r="F554" s="30"/>
      <c r="G554" s="30"/>
      <c r="H554" s="30"/>
      <c r="I554" s="30"/>
      <c r="J554" s="30"/>
      <c r="K554" s="30"/>
    </row>
    <row r="555" spans="1:11" ht="15">
      <c r="A555" s="30"/>
      <c r="B555" s="30"/>
      <c r="C555" s="30"/>
      <c r="D555" s="30"/>
      <c r="E555" s="30"/>
      <c r="F555" s="30"/>
      <c r="G555" s="30"/>
      <c r="H555" s="30"/>
      <c r="I555" s="30"/>
      <c r="J555" s="30"/>
      <c r="K555" s="30"/>
    </row>
    <row r="556" spans="1:11" ht="15">
      <c r="A556" s="30"/>
      <c r="B556" s="30"/>
      <c r="C556" s="30"/>
      <c r="D556" s="30"/>
      <c r="E556" s="30"/>
      <c r="F556" s="30"/>
      <c r="G556" s="30"/>
      <c r="H556" s="30"/>
      <c r="I556" s="30"/>
      <c r="J556" s="30"/>
      <c r="K556" s="30"/>
    </row>
    <row r="557" spans="1:11" ht="15">
      <c r="A557" s="30"/>
      <c r="B557" s="30"/>
      <c r="C557" s="30"/>
      <c r="D557" s="30"/>
      <c r="E557" s="30"/>
      <c r="F557" s="30"/>
      <c r="G557" s="30"/>
      <c r="H557" s="30"/>
      <c r="I557" s="30"/>
      <c r="J557" s="30"/>
      <c r="K557" s="30"/>
    </row>
    <row r="558" spans="1:11" ht="15">
      <c r="A558" s="30"/>
      <c r="B558" s="30"/>
      <c r="C558" s="30"/>
      <c r="D558" s="30"/>
      <c r="E558" s="30"/>
      <c r="F558" s="30"/>
      <c r="G558" s="30"/>
      <c r="H558" s="30"/>
      <c r="I558" s="30"/>
      <c r="J558" s="30"/>
      <c r="K558" s="30"/>
    </row>
    <row r="559" spans="1:11" ht="15">
      <c r="A559" s="30"/>
      <c r="B559" s="30"/>
      <c r="C559" s="30"/>
      <c r="D559" s="30"/>
      <c r="E559" s="30"/>
      <c r="F559" s="30"/>
      <c r="G559" s="30"/>
      <c r="H559" s="30"/>
      <c r="I559" s="30"/>
      <c r="J559" s="30"/>
      <c r="K559" s="30"/>
    </row>
    <row r="560" spans="1:11" ht="15">
      <c r="A560" s="30"/>
      <c r="B560" s="30"/>
      <c r="C560" s="30"/>
      <c r="D560" s="30"/>
      <c r="E560" s="30"/>
      <c r="F560" s="30"/>
      <c r="G560" s="30"/>
      <c r="H560" s="30"/>
      <c r="I560" s="30"/>
      <c r="J560" s="30"/>
      <c r="K560" s="30"/>
    </row>
    <row r="561" spans="1:11" ht="15">
      <c r="A561" s="30"/>
      <c r="B561" s="30"/>
      <c r="C561" s="30"/>
      <c r="D561" s="30"/>
      <c r="E561" s="30"/>
      <c r="F561" s="30"/>
      <c r="G561" s="30"/>
      <c r="H561" s="30"/>
      <c r="I561" s="30"/>
      <c r="J561" s="30"/>
      <c r="K561" s="30"/>
    </row>
    <row r="562" spans="1:11" ht="15">
      <c r="A562" s="30"/>
      <c r="B562" s="30"/>
      <c r="C562" s="30"/>
      <c r="D562" s="30"/>
      <c r="E562" s="30"/>
      <c r="F562" s="30"/>
      <c r="G562" s="30"/>
      <c r="H562" s="30"/>
      <c r="I562" s="30"/>
      <c r="J562" s="30"/>
      <c r="K562" s="30"/>
    </row>
    <row r="563" spans="1:11" ht="15">
      <c r="A563" s="30"/>
      <c r="B563" s="30"/>
      <c r="C563" s="30"/>
      <c r="D563" s="30"/>
      <c r="E563" s="30"/>
      <c r="F563" s="30"/>
      <c r="G563" s="30"/>
      <c r="H563" s="30"/>
      <c r="I563" s="30"/>
      <c r="J563" s="30"/>
      <c r="K563" s="30"/>
    </row>
    <row r="564" spans="1:11" ht="15">
      <c r="A564" s="30"/>
      <c r="B564" s="30"/>
      <c r="C564" s="30"/>
      <c r="D564" s="30"/>
      <c r="E564" s="30"/>
      <c r="F564" s="30"/>
      <c r="G564" s="30"/>
      <c r="H564" s="30"/>
      <c r="I564" s="30"/>
      <c r="J564" s="30"/>
      <c r="K564" s="30"/>
    </row>
    <row r="565" spans="1:11" ht="15">
      <c r="A565" s="30"/>
      <c r="B565" s="30"/>
      <c r="C565" s="30"/>
      <c r="D565" s="30"/>
      <c r="E565" s="30"/>
      <c r="F565" s="30"/>
      <c r="G565" s="30"/>
      <c r="H565" s="30"/>
      <c r="I565" s="30"/>
      <c r="J565" s="30"/>
      <c r="K565" s="30"/>
    </row>
    <row r="566" spans="1:11" ht="15">
      <c r="A566" s="30"/>
      <c r="B566" s="30"/>
      <c r="C566" s="30"/>
      <c r="D566" s="30"/>
      <c r="E566" s="30"/>
      <c r="F566" s="30"/>
      <c r="G566" s="30"/>
      <c r="H566" s="30"/>
      <c r="I566" s="30"/>
      <c r="J566" s="30"/>
      <c r="K566" s="30"/>
    </row>
    <row r="567" spans="1:11" ht="15">
      <c r="A567" s="30"/>
      <c r="B567" s="30"/>
      <c r="C567" s="30"/>
      <c r="D567" s="30"/>
      <c r="E567" s="30"/>
      <c r="F567" s="30"/>
      <c r="G567" s="30"/>
      <c r="H567" s="30"/>
      <c r="I567" s="30"/>
      <c r="J567" s="30"/>
      <c r="K567" s="30"/>
    </row>
    <row r="568" spans="1:11" ht="15">
      <c r="A568" s="30"/>
      <c r="B568" s="30"/>
      <c r="C568" s="30"/>
      <c r="D568" s="30"/>
      <c r="E568" s="30"/>
      <c r="F568" s="30"/>
      <c r="G568" s="30"/>
      <c r="H568" s="30"/>
      <c r="I568" s="30"/>
      <c r="J568" s="30"/>
      <c r="K568" s="30"/>
    </row>
    <row r="569" spans="1:11" ht="15">
      <c r="A569" s="30"/>
      <c r="B569" s="30"/>
      <c r="C569" s="30"/>
      <c r="D569" s="30"/>
      <c r="E569" s="30"/>
      <c r="F569" s="30"/>
      <c r="G569" s="30"/>
      <c r="H569" s="30"/>
      <c r="I569" s="30"/>
      <c r="J569" s="30"/>
      <c r="K569" s="30"/>
    </row>
    <row r="570" spans="1:11" ht="15">
      <c r="A570" s="30"/>
      <c r="B570" s="30"/>
      <c r="C570" s="30"/>
      <c r="D570" s="30"/>
      <c r="E570" s="30"/>
      <c r="F570" s="30"/>
      <c r="G570" s="30"/>
      <c r="H570" s="30"/>
      <c r="I570" s="30"/>
      <c r="J570" s="30"/>
      <c r="K570" s="30"/>
    </row>
    <row r="571" spans="1:11" ht="15">
      <c r="A571" s="30"/>
      <c r="B571" s="30"/>
      <c r="C571" s="30"/>
      <c r="D571" s="30"/>
      <c r="E571" s="30"/>
      <c r="F571" s="30"/>
      <c r="G571" s="30"/>
      <c r="H571" s="30"/>
      <c r="I571" s="30"/>
      <c r="J571" s="30"/>
      <c r="K571" s="30"/>
    </row>
    <row r="572" spans="1:11" ht="15">
      <c r="A572" s="30"/>
      <c r="B572" s="30"/>
      <c r="C572" s="30"/>
      <c r="D572" s="30"/>
      <c r="E572" s="30"/>
      <c r="F572" s="30"/>
      <c r="G572" s="30"/>
      <c r="H572" s="30"/>
      <c r="I572" s="30"/>
      <c r="J572" s="30"/>
      <c r="K572" s="30"/>
    </row>
    <row r="573" spans="1:11" ht="15">
      <c r="A573" s="30"/>
      <c r="B573" s="30"/>
      <c r="C573" s="30"/>
      <c r="D573" s="30"/>
      <c r="E573" s="30"/>
      <c r="F573" s="30"/>
      <c r="G573" s="30"/>
      <c r="H573" s="30"/>
      <c r="I573" s="30"/>
      <c r="J573" s="30"/>
      <c r="K573" s="30"/>
    </row>
    <row r="574" spans="1:11" ht="15">
      <c r="A574" s="30"/>
      <c r="B574" s="30"/>
      <c r="C574" s="30"/>
      <c r="D574" s="30"/>
      <c r="E574" s="30"/>
      <c r="F574" s="30"/>
      <c r="G574" s="30"/>
      <c r="H574" s="30"/>
      <c r="I574" s="30"/>
      <c r="J574" s="30"/>
      <c r="K574" s="30"/>
    </row>
    <row r="575" spans="1:11" ht="15">
      <c r="A575" s="30"/>
      <c r="B575" s="30"/>
      <c r="C575" s="30"/>
      <c r="D575" s="30"/>
      <c r="E575" s="30"/>
      <c r="F575" s="30"/>
      <c r="G575" s="30"/>
      <c r="H575" s="30"/>
      <c r="I575" s="30"/>
      <c r="J575" s="30"/>
      <c r="K575" s="30"/>
    </row>
    <row r="576" spans="1:11" ht="15">
      <c r="A576" s="30"/>
      <c r="B576" s="30"/>
      <c r="C576" s="30"/>
      <c r="D576" s="30"/>
      <c r="E576" s="30"/>
      <c r="F576" s="30"/>
      <c r="G576" s="30"/>
      <c r="H576" s="30"/>
      <c r="I576" s="30"/>
      <c r="J576" s="30"/>
      <c r="K576" s="30"/>
    </row>
    <row r="577" spans="1:11" ht="15">
      <c r="A577" s="30"/>
      <c r="B577" s="30"/>
      <c r="C577" s="30"/>
      <c r="D577" s="30"/>
      <c r="E577" s="30"/>
      <c r="F577" s="30"/>
      <c r="G577" s="30"/>
      <c r="H577" s="30"/>
      <c r="I577" s="30"/>
      <c r="J577" s="30"/>
      <c r="K577" s="30"/>
    </row>
    <row r="578" spans="1:11" ht="15">
      <c r="A578" s="30"/>
      <c r="B578" s="30"/>
      <c r="C578" s="30"/>
      <c r="D578" s="30"/>
      <c r="E578" s="30"/>
      <c r="F578" s="30"/>
      <c r="G578" s="30"/>
      <c r="H578" s="30"/>
      <c r="I578" s="30"/>
      <c r="J578" s="30"/>
      <c r="K578" s="30"/>
    </row>
    <row r="579" spans="1:11" ht="15">
      <c r="A579" s="30"/>
      <c r="B579" s="30"/>
      <c r="C579" s="30"/>
      <c r="D579" s="30"/>
      <c r="E579" s="30"/>
      <c r="F579" s="30"/>
      <c r="G579" s="30"/>
      <c r="H579" s="30"/>
      <c r="I579" s="30"/>
      <c r="J579" s="30"/>
      <c r="K579" s="30"/>
    </row>
    <row r="580" spans="1:11" ht="15">
      <c r="A580" s="30"/>
      <c r="B580" s="30"/>
      <c r="C580" s="30"/>
      <c r="D580" s="30"/>
      <c r="E580" s="30"/>
      <c r="F580" s="30"/>
      <c r="G580" s="30"/>
      <c r="H580" s="30"/>
      <c r="I580" s="30"/>
      <c r="J580" s="30"/>
      <c r="K580" s="30"/>
    </row>
    <row r="581" spans="1:11" ht="15">
      <c r="A581" s="30"/>
      <c r="B581" s="30"/>
      <c r="C581" s="30"/>
      <c r="D581" s="30"/>
      <c r="E581" s="30"/>
      <c r="F581" s="30"/>
      <c r="G581" s="30"/>
      <c r="H581" s="30"/>
      <c r="I581" s="30"/>
      <c r="J581" s="30"/>
      <c r="K581" s="30"/>
    </row>
    <row r="582" spans="1:11" ht="15">
      <c r="A582" s="30"/>
      <c r="B582" s="30"/>
      <c r="C582" s="30"/>
      <c r="D582" s="30"/>
      <c r="E582" s="30"/>
      <c r="F582" s="30"/>
      <c r="G582" s="30"/>
      <c r="H582" s="30"/>
      <c r="I582" s="30"/>
      <c r="J582" s="30"/>
      <c r="K582" s="30"/>
    </row>
    <row r="583" spans="1:11" ht="15">
      <c r="A583" s="30"/>
      <c r="B583" s="30"/>
      <c r="C583" s="30"/>
      <c r="D583" s="30"/>
      <c r="E583" s="30"/>
      <c r="F583" s="30"/>
      <c r="G583" s="30"/>
      <c r="H583" s="30"/>
      <c r="I583" s="30"/>
      <c r="J583" s="30"/>
      <c r="K583" s="30"/>
    </row>
    <row r="584" spans="1:11" ht="15">
      <c r="A584" s="30"/>
      <c r="B584" s="30"/>
      <c r="C584" s="30"/>
      <c r="D584" s="30"/>
      <c r="E584" s="30"/>
      <c r="F584" s="30"/>
      <c r="G584" s="30"/>
      <c r="H584" s="30"/>
      <c r="I584" s="30"/>
      <c r="J584" s="30"/>
      <c r="K584" s="30"/>
    </row>
    <row r="585" spans="1:11" ht="15">
      <c r="A585" s="30"/>
      <c r="B585" s="30"/>
      <c r="C585" s="30"/>
      <c r="D585" s="30"/>
      <c r="E585" s="30"/>
      <c r="F585" s="30"/>
      <c r="G585" s="30"/>
      <c r="H585" s="30"/>
      <c r="I585" s="30"/>
      <c r="J585" s="30"/>
      <c r="K585" s="30"/>
    </row>
    <row r="586" spans="1:11" ht="15">
      <c r="A586" s="30"/>
      <c r="B586" s="30"/>
      <c r="C586" s="30"/>
      <c r="D586" s="30"/>
      <c r="E586" s="30"/>
      <c r="F586" s="30"/>
      <c r="G586" s="30"/>
      <c r="H586" s="30"/>
      <c r="I586" s="30"/>
      <c r="J586" s="30"/>
      <c r="K586" s="30"/>
    </row>
    <row r="587" spans="1:11" ht="15">
      <c r="A587" s="30"/>
      <c r="B587" s="30"/>
      <c r="C587" s="30"/>
      <c r="D587" s="30"/>
      <c r="E587" s="30"/>
      <c r="F587" s="30"/>
      <c r="G587" s="30"/>
      <c r="H587" s="30"/>
      <c r="I587" s="30"/>
      <c r="J587" s="30"/>
      <c r="K587" s="30"/>
    </row>
    <row r="588" spans="1:11" ht="15">
      <c r="A588" s="30"/>
      <c r="B588" s="30"/>
      <c r="C588" s="30"/>
      <c r="D588" s="30"/>
      <c r="E588" s="30"/>
      <c r="F588" s="30"/>
      <c r="G588" s="30"/>
      <c r="H588" s="30"/>
      <c r="I588" s="30"/>
      <c r="J588" s="30"/>
      <c r="K588" s="30"/>
    </row>
    <row r="589" spans="1:11" ht="15">
      <c r="A589" s="30"/>
      <c r="B589" s="30"/>
      <c r="C589" s="30"/>
      <c r="D589" s="30"/>
      <c r="E589" s="30"/>
      <c r="F589" s="30"/>
      <c r="G589" s="30"/>
      <c r="H589" s="30"/>
      <c r="I589" s="30"/>
      <c r="J589" s="30"/>
      <c r="K589" s="30"/>
    </row>
    <row r="590" spans="1:11" ht="15">
      <c r="A590" s="30"/>
      <c r="B590" s="30"/>
      <c r="C590" s="30"/>
      <c r="D590" s="30"/>
      <c r="E590" s="30"/>
      <c r="F590" s="30"/>
      <c r="G590" s="30"/>
      <c r="H590" s="30"/>
      <c r="I590" s="30"/>
      <c r="J590" s="30"/>
      <c r="K590" s="30"/>
    </row>
    <row r="591" spans="1:11" ht="15">
      <c r="A591" s="30"/>
      <c r="B591" s="30"/>
      <c r="C591" s="30"/>
      <c r="D591" s="30"/>
      <c r="E591" s="30"/>
      <c r="F591" s="30"/>
      <c r="G591" s="30"/>
      <c r="H591" s="30"/>
      <c r="I591" s="30"/>
      <c r="J591" s="30"/>
      <c r="K591" s="30"/>
    </row>
    <row r="592" spans="1:11" ht="15">
      <c r="A592" s="30"/>
      <c r="B592" s="30"/>
      <c r="C592" s="30"/>
      <c r="D592" s="30"/>
      <c r="E592" s="30"/>
      <c r="F592" s="30"/>
      <c r="G592" s="30"/>
      <c r="H592" s="30"/>
      <c r="I592" s="30"/>
      <c r="J592" s="30"/>
      <c r="K592" s="30"/>
    </row>
    <row r="593" spans="1:11" ht="15">
      <c r="A593" s="30"/>
      <c r="B593" s="30"/>
      <c r="C593" s="30"/>
      <c r="D593" s="30"/>
      <c r="E593" s="30"/>
      <c r="F593" s="30"/>
      <c r="G593" s="30"/>
      <c r="H593" s="30"/>
      <c r="I593" s="30"/>
      <c r="J593" s="30"/>
      <c r="K593" s="30"/>
    </row>
    <row r="594" spans="1:11" ht="15">
      <c r="A594" s="30"/>
      <c r="B594" s="30"/>
      <c r="C594" s="30"/>
      <c r="D594" s="30"/>
      <c r="E594" s="30"/>
      <c r="F594" s="30"/>
      <c r="G594" s="30"/>
      <c r="H594" s="30"/>
      <c r="I594" s="30"/>
      <c r="J594" s="30"/>
      <c r="K594" s="30"/>
    </row>
    <row r="595" spans="1:11" ht="15">
      <c r="A595" s="30"/>
      <c r="B595" s="30"/>
      <c r="C595" s="30"/>
      <c r="D595" s="30"/>
      <c r="E595" s="30"/>
      <c r="F595" s="30"/>
      <c r="G595" s="30"/>
      <c r="H595" s="30"/>
      <c r="I595" s="30"/>
      <c r="J595" s="30"/>
      <c r="K595" s="30"/>
    </row>
    <row r="596" spans="1:11" ht="15">
      <c r="A596" s="30"/>
      <c r="B596" s="30"/>
      <c r="C596" s="30"/>
      <c r="D596" s="30"/>
      <c r="E596" s="30"/>
      <c r="F596" s="30"/>
      <c r="G596" s="30"/>
      <c r="H596" s="30"/>
      <c r="I596" s="30"/>
      <c r="J596" s="30"/>
      <c r="K596" s="30"/>
    </row>
    <row r="597" spans="1:11" ht="15">
      <c r="A597" s="30"/>
      <c r="B597" s="30"/>
      <c r="C597" s="30"/>
      <c r="D597" s="30"/>
      <c r="E597" s="30"/>
      <c r="F597" s="30"/>
      <c r="G597" s="30"/>
      <c r="H597" s="30"/>
      <c r="I597" s="30"/>
      <c r="J597" s="30"/>
      <c r="K597" s="30"/>
    </row>
    <row r="598" spans="1:11" ht="15">
      <c r="A598" s="30"/>
      <c r="B598" s="30"/>
      <c r="C598" s="30"/>
      <c r="D598" s="30"/>
      <c r="E598" s="30"/>
      <c r="F598" s="30"/>
      <c r="G598" s="30"/>
      <c r="H598" s="30"/>
      <c r="I598" s="30"/>
      <c r="J598" s="30"/>
      <c r="K598" s="30"/>
    </row>
    <row r="599" spans="1:11" ht="15">
      <c r="A599" s="30"/>
      <c r="B599" s="30"/>
      <c r="C599" s="30"/>
      <c r="D599" s="30"/>
      <c r="E599" s="30"/>
      <c r="F599" s="30"/>
      <c r="G599" s="30"/>
      <c r="H599" s="30"/>
      <c r="I599" s="30"/>
      <c r="J599" s="30"/>
      <c r="K599" s="30"/>
    </row>
    <row r="600" spans="1:11" ht="15">
      <c r="A600" s="30"/>
      <c r="B600" s="30"/>
      <c r="C600" s="30"/>
      <c r="D600" s="30"/>
      <c r="E600" s="30"/>
      <c r="F600" s="30"/>
      <c r="G600" s="30"/>
      <c r="H600" s="30"/>
      <c r="I600" s="30"/>
      <c r="J600" s="30"/>
      <c r="K600" s="30"/>
    </row>
    <row r="601" spans="1:11" ht="15">
      <c r="A601" s="30"/>
      <c r="B601" s="30"/>
      <c r="C601" s="30"/>
      <c r="D601" s="30"/>
      <c r="E601" s="30"/>
      <c r="F601" s="30"/>
      <c r="G601" s="30"/>
      <c r="H601" s="30"/>
      <c r="I601" s="30"/>
      <c r="J601" s="30"/>
      <c r="K601" s="30"/>
    </row>
    <row r="602" spans="1:11" ht="15">
      <c r="A602" s="30"/>
      <c r="B602" s="30"/>
      <c r="C602" s="30"/>
      <c r="D602" s="30"/>
      <c r="E602" s="30"/>
      <c r="F602" s="30"/>
      <c r="G602" s="30"/>
      <c r="H602" s="30"/>
      <c r="I602" s="30"/>
      <c r="J602" s="30"/>
      <c r="K602" s="30"/>
    </row>
    <row r="603" spans="1:11" ht="15">
      <c r="A603" s="30"/>
      <c r="B603" s="30"/>
      <c r="C603" s="30"/>
      <c r="D603" s="30"/>
      <c r="E603" s="30"/>
      <c r="F603" s="30"/>
      <c r="G603" s="30"/>
      <c r="H603" s="30"/>
      <c r="I603" s="30"/>
      <c r="J603" s="30"/>
      <c r="K603" s="30"/>
    </row>
    <row r="604" spans="1:11" ht="15">
      <c r="A604" s="30"/>
      <c r="B604" s="30"/>
      <c r="C604" s="30"/>
      <c r="D604" s="30"/>
      <c r="E604" s="30"/>
      <c r="F604" s="30"/>
      <c r="G604" s="30"/>
      <c r="H604" s="30"/>
      <c r="I604" s="30"/>
      <c r="J604" s="30"/>
      <c r="K604" s="30"/>
    </row>
    <row r="605" spans="1:11" ht="15">
      <c r="A605" s="30"/>
      <c r="B605" s="30"/>
      <c r="C605" s="30"/>
      <c r="D605" s="30"/>
      <c r="E605" s="30"/>
      <c r="F605" s="30"/>
      <c r="G605" s="30"/>
      <c r="H605" s="30"/>
      <c r="I605" s="30"/>
      <c r="J605" s="30"/>
      <c r="K605" s="30"/>
    </row>
    <row r="606" spans="1:11" ht="15">
      <c r="A606" s="30"/>
      <c r="B606" s="30"/>
      <c r="C606" s="30"/>
      <c r="D606" s="30"/>
      <c r="E606" s="30"/>
      <c r="F606" s="30"/>
      <c r="G606" s="30"/>
      <c r="H606" s="30"/>
      <c r="I606" s="30"/>
      <c r="J606" s="30"/>
      <c r="K606" s="30"/>
    </row>
    <row r="607" spans="1:11" ht="15">
      <c r="A607" s="30"/>
      <c r="B607" s="30"/>
      <c r="C607" s="30"/>
      <c r="D607" s="30"/>
      <c r="E607" s="30"/>
      <c r="F607" s="30"/>
      <c r="G607" s="30"/>
      <c r="H607" s="30"/>
      <c r="I607" s="30"/>
      <c r="J607" s="30"/>
      <c r="K607" s="30"/>
    </row>
    <row r="608" spans="1:11" ht="15">
      <c r="A608" s="30"/>
      <c r="B608" s="30"/>
      <c r="C608" s="30"/>
      <c r="D608" s="30"/>
      <c r="E608" s="30"/>
      <c r="F608" s="30"/>
      <c r="G608" s="30"/>
      <c r="H608" s="30"/>
      <c r="I608" s="30"/>
      <c r="J608" s="30"/>
      <c r="K608" s="30"/>
    </row>
    <row r="609" spans="1:11" ht="15">
      <c r="A609" s="30"/>
      <c r="B609" s="30"/>
      <c r="C609" s="30"/>
      <c r="D609" s="30"/>
      <c r="E609" s="30"/>
      <c r="F609" s="30"/>
      <c r="G609" s="30"/>
      <c r="H609" s="30"/>
      <c r="I609" s="30"/>
      <c r="J609" s="30"/>
      <c r="K609" s="30"/>
    </row>
    <row r="610" spans="1:11" ht="15">
      <c r="A610" s="30"/>
      <c r="B610" s="30"/>
      <c r="C610" s="30"/>
      <c r="D610" s="30"/>
      <c r="E610" s="30"/>
      <c r="F610" s="30"/>
      <c r="G610" s="30"/>
      <c r="H610" s="30"/>
      <c r="I610" s="30"/>
      <c r="J610" s="30"/>
      <c r="K610" s="30"/>
    </row>
    <row r="611" spans="1:11" ht="15">
      <c r="A611" s="30"/>
      <c r="B611" s="30"/>
      <c r="C611" s="30"/>
      <c r="D611" s="30"/>
      <c r="E611" s="30"/>
      <c r="F611" s="30"/>
      <c r="G611" s="30"/>
      <c r="H611" s="30"/>
      <c r="I611" s="30"/>
      <c r="J611" s="30"/>
      <c r="K611" s="30"/>
    </row>
    <row r="612" spans="1:11" ht="15">
      <c r="A612" s="30"/>
      <c r="B612" s="30"/>
      <c r="C612" s="30"/>
      <c r="D612" s="30"/>
      <c r="E612" s="30"/>
      <c r="F612" s="30"/>
      <c r="G612" s="30"/>
      <c r="H612" s="30"/>
      <c r="I612" s="30"/>
      <c r="J612" s="30"/>
      <c r="K612" s="30"/>
    </row>
    <row r="613" spans="1:11" ht="15">
      <c r="A613" s="30"/>
      <c r="B613" s="30"/>
      <c r="C613" s="30"/>
      <c r="D613" s="30"/>
      <c r="E613" s="30"/>
      <c r="F613" s="30"/>
      <c r="G613" s="30"/>
      <c r="H613" s="30"/>
      <c r="I613" s="30"/>
      <c r="J613" s="30"/>
      <c r="K613" s="30"/>
    </row>
    <row r="614" spans="1:11" ht="15">
      <c r="A614" s="30"/>
      <c r="B614" s="30"/>
      <c r="C614" s="30"/>
      <c r="D614" s="30"/>
      <c r="E614" s="30"/>
      <c r="F614" s="30"/>
      <c r="G614" s="30"/>
      <c r="H614" s="30"/>
      <c r="I614" s="30"/>
      <c r="J614" s="30"/>
      <c r="K614" s="30"/>
    </row>
    <row r="615" spans="1:11" ht="15">
      <c r="A615" s="30"/>
      <c r="B615" s="30"/>
      <c r="C615" s="30"/>
      <c r="D615" s="30"/>
      <c r="E615" s="30"/>
      <c r="F615" s="30"/>
      <c r="G615" s="30"/>
      <c r="H615" s="30"/>
      <c r="I615" s="30"/>
      <c r="J615" s="30"/>
      <c r="K615" s="30"/>
    </row>
    <row r="616" spans="1:11" ht="15">
      <c r="A616" s="30"/>
      <c r="B616" s="30"/>
      <c r="C616" s="30"/>
      <c r="D616" s="30"/>
      <c r="E616" s="30"/>
      <c r="F616" s="30"/>
      <c r="G616" s="30"/>
      <c r="H616" s="30"/>
      <c r="I616" s="30"/>
      <c r="J616" s="30"/>
      <c r="K616" s="30"/>
    </row>
    <row r="617" spans="1:11" ht="15">
      <c r="A617" s="30"/>
      <c r="B617" s="30"/>
      <c r="C617" s="30"/>
      <c r="D617" s="30"/>
      <c r="E617" s="30"/>
      <c r="F617" s="30"/>
      <c r="G617" s="30"/>
      <c r="H617" s="30"/>
      <c r="I617" s="30"/>
      <c r="J617" s="30"/>
      <c r="K617" s="30"/>
    </row>
    <row r="618" spans="1:11" ht="15">
      <c r="A618" s="30"/>
      <c r="B618" s="30"/>
      <c r="C618" s="30"/>
      <c r="D618" s="30"/>
      <c r="E618" s="30"/>
      <c r="F618" s="30"/>
      <c r="G618" s="30"/>
      <c r="H618" s="30"/>
      <c r="I618" s="30"/>
      <c r="J618" s="30"/>
      <c r="K618" s="30"/>
    </row>
    <row r="619" spans="1:11" ht="15">
      <c r="A619" s="30"/>
      <c r="B619" s="30"/>
      <c r="C619" s="30"/>
      <c r="D619" s="30"/>
      <c r="E619" s="30"/>
      <c r="F619" s="30"/>
      <c r="G619" s="30"/>
      <c r="H619" s="30"/>
      <c r="I619" s="30"/>
      <c r="J619" s="30"/>
      <c r="K619" s="30"/>
    </row>
    <row r="620" spans="1:11" ht="15">
      <c r="A620" s="30"/>
      <c r="B620" s="30"/>
      <c r="C620" s="30"/>
      <c r="D620" s="30"/>
      <c r="E620" s="30"/>
      <c r="F620" s="30"/>
      <c r="G620" s="30"/>
      <c r="H620" s="30"/>
      <c r="I620" s="30"/>
      <c r="J620" s="30"/>
      <c r="K620" s="30"/>
    </row>
    <row r="621" spans="1:11" ht="15">
      <c r="A621" s="30"/>
      <c r="B621" s="30"/>
      <c r="C621" s="30"/>
      <c r="D621" s="30"/>
      <c r="E621" s="30"/>
      <c r="F621" s="30"/>
      <c r="G621" s="30"/>
      <c r="H621" s="30"/>
      <c r="I621" s="30"/>
      <c r="J621" s="30"/>
      <c r="K621" s="30"/>
    </row>
    <row r="622" spans="1:11" ht="15">
      <c r="A622" s="30"/>
      <c r="B622" s="30"/>
      <c r="C622" s="30"/>
      <c r="D622" s="30"/>
      <c r="E622" s="30"/>
      <c r="F622" s="30"/>
      <c r="G622" s="30"/>
      <c r="H622" s="30"/>
      <c r="I622" s="30"/>
      <c r="J622" s="30"/>
      <c r="K622" s="30"/>
    </row>
    <row r="623" spans="1:11" ht="15">
      <c r="A623" s="30"/>
      <c r="B623" s="30"/>
      <c r="C623" s="30"/>
      <c r="D623" s="30"/>
      <c r="E623" s="30"/>
      <c r="F623" s="30"/>
      <c r="G623" s="30"/>
      <c r="H623" s="30"/>
      <c r="I623" s="30"/>
      <c r="J623" s="30"/>
      <c r="K623" s="30"/>
    </row>
    <row r="624" spans="1:11" ht="15">
      <c r="A624" s="30"/>
      <c r="B624" s="30"/>
      <c r="C624" s="30"/>
      <c r="D624" s="30"/>
      <c r="E624" s="30"/>
      <c r="F624" s="30"/>
      <c r="G624" s="30"/>
      <c r="H624" s="30"/>
      <c r="I624" s="30"/>
      <c r="J624" s="30"/>
      <c r="K624" s="30"/>
    </row>
    <row r="625" spans="1:11" ht="15">
      <c r="A625" s="30"/>
      <c r="B625" s="30"/>
      <c r="C625" s="30"/>
      <c r="D625" s="30"/>
      <c r="E625" s="30"/>
      <c r="F625" s="30"/>
      <c r="G625" s="30"/>
      <c r="H625" s="30"/>
      <c r="I625" s="30"/>
      <c r="J625" s="30"/>
      <c r="K625" s="30"/>
    </row>
    <row r="626" spans="1:11" ht="15">
      <c r="A626" s="30"/>
      <c r="B626" s="30"/>
      <c r="C626" s="30"/>
      <c r="D626" s="30"/>
      <c r="E626" s="30"/>
      <c r="F626" s="30"/>
      <c r="G626" s="30"/>
      <c r="H626" s="30"/>
      <c r="I626" s="30"/>
      <c r="J626" s="30"/>
      <c r="K626" s="30"/>
    </row>
    <row r="627" spans="1:11" ht="15">
      <c r="A627" s="30"/>
      <c r="B627" s="30"/>
      <c r="C627" s="30"/>
      <c r="D627" s="30"/>
      <c r="E627" s="30"/>
      <c r="F627" s="30"/>
      <c r="G627" s="30"/>
      <c r="H627" s="30"/>
      <c r="I627" s="30"/>
      <c r="J627" s="30"/>
      <c r="K627" s="30"/>
    </row>
    <row r="628" spans="1:11" ht="15">
      <c r="A628" s="30"/>
      <c r="B628" s="30"/>
      <c r="C628" s="30"/>
      <c r="D628" s="30"/>
      <c r="E628" s="30"/>
      <c r="F628" s="30"/>
      <c r="G628" s="30"/>
      <c r="H628" s="30"/>
      <c r="I628" s="30"/>
      <c r="J628" s="30"/>
      <c r="K628" s="30"/>
    </row>
    <row r="629" spans="1:11" ht="15">
      <c r="A629" s="30"/>
      <c r="B629" s="30"/>
      <c r="C629" s="30"/>
      <c r="D629" s="30"/>
      <c r="E629" s="30"/>
      <c r="F629" s="30"/>
      <c r="G629" s="30"/>
      <c r="H629" s="30"/>
      <c r="I629" s="30"/>
      <c r="J629" s="30"/>
      <c r="K629" s="30"/>
    </row>
    <row r="630" spans="1:11" ht="15">
      <c r="A630" s="30"/>
      <c r="B630" s="30"/>
      <c r="C630" s="30"/>
      <c r="D630" s="30"/>
      <c r="E630" s="30"/>
      <c r="F630" s="30"/>
      <c r="G630" s="30"/>
      <c r="H630" s="30"/>
      <c r="I630" s="30"/>
      <c r="J630" s="30"/>
      <c r="K630" s="30"/>
    </row>
    <row r="631" spans="1:11" ht="15">
      <c r="A631" s="30"/>
      <c r="B631" s="30"/>
      <c r="C631" s="30"/>
      <c r="D631" s="30"/>
      <c r="E631" s="30"/>
      <c r="F631" s="30"/>
      <c r="G631" s="30"/>
      <c r="H631" s="30"/>
      <c r="I631" s="30"/>
      <c r="J631" s="30"/>
      <c r="K631" s="30"/>
    </row>
    <row r="632" spans="1:11" ht="15">
      <c r="A632" s="30"/>
      <c r="B632" s="30"/>
      <c r="C632" s="30"/>
      <c r="D632" s="30"/>
      <c r="E632" s="30"/>
      <c r="F632" s="30"/>
      <c r="G632" s="30"/>
      <c r="H632" s="30"/>
      <c r="I632" s="30"/>
      <c r="J632" s="30"/>
      <c r="K632" s="30"/>
    </row>
    <row r="633" spans="1:11" ht="15">
      <c r="A633" s="30"/>
      <c r="B633" s="30"/>
      <c r="C633" s="30"/>
      <c r="D633" s="30"/>
      <c r="E633" s="30"/>
      <c r="F633" s="30"/>
      <c r="G633" s="30"/>
      <c r="H633" s="30"/>
      <c r="I633" s="30"/>
      <c r="J633" s="30"/>
      <c r="K633" s="30"/>
    </row>
    <row r="634" spans="1:11" ht="15">
      <c r="A634" s="30"/>
      <c r="B634" s="30"/>
      <c r="C634" s="30"/>
      <c r="D634" s="30"/>
      <c r="E634" s="30"/>
      <c r="F634" s="30"/>
      <c r="G634" s="30"/>
      <c r="H634" s="30"/>
      <c r="I634" s="30"/>
      <c r="J634" s="30"/>
      <c r="K634" s="30"/>
    </row>
    <row r="635" spans="1:11" ht="15">
      <c r="A635" s="30"/>
      <c r="B635" s="30"/>
      <c r="C635" s="30"/>
      <c r="D635" s="30"/>
      <c r="E635" s="30"/>
      <c r="F635" s="30"/>
      <c r="G635" s="30"/>
      <c r="H635" s="30"/>
      <c r="I635" s="30"/>
      <c r="J635" s="30"/>
      <c r="K635" s="30"/>
    </row>
    <row r="636" spans="1:11" ht="15">
      <c r="A636" s="30"/>
      <c r="B636" s="30"/>
      <c r="C636" s="30"/>
      <c r="D636" s="30"/>
      <c r="E636" s="30"/>
      <c r="F636" s="30"/>
      <c r="G636" s="30"/>
      <c r="H636" s="30"/>
      <c r="I636" s="30"/>
      <c r="J636" s="30"/>
      <c r="K636" s="30"/>
    </row>
    <row r="637" spans="1:11" ht="15">
      <c r="A637" s="30"/>
      <c r="B637" s="30"/>
      <c r="C637" s="30"/>
      <c r="D637" s="30"/>
      <c r="E637" s="30"/>
      <c r="F637" s="30"/>
      <c r="G637" s="30"/>
      <c r="H637" s="30"/>
      <c r="I637" s="30"/>
      <c r="J637" s="30"/>
      <c r="K637" s="30"/>
    </row>
    <row r="638" spans="1:11" ht="15">
      <c r="A638" s="30"/>
      <c r="B638" s="30"/>
      <c r="C638" s="30"/>
      <c r="D638" s="30"/>
      <c r="E638" s="30"/>
      <c r="F638" s="30"/>
      <c r="G638" s="30"/>
      <c r="H638" s="30"/>
      <c r="I638" s="30"/>
      <c r="J638" s="30"/>
      <c r="K638" s="30"/>
    </row>
    <row r="639" spans="1:11" ht="15">
      <c r="A639" s="30"/>
      <c r="B639" s="30"/>
      <c r="C639" s="30"/>
      <c r="D639" s="30"/>
      <c r="E639" s="30"/>
      <c r="F639" s="30"/>
      <c r="G639" s="30"/>
      <c r="H639" s="30"/>
      <c r="I639" s="30"/>
      <c r="J639" s="30"/>
      <c r="K639" s="30"/>
    </row>
    <row r="640" spans="1:11" ht="15">
      <c r="A640" s="30"/>
      <c r="B640" s="30"/>
      <c r="C640" s="30"/>
      <c r="D640" s="30"/>
      <c r="E640" s="30"/>
      <c r="F640" s="30"/>
      <c r="G640" s="30"/>
      <c r="H640" s="30"/>
      <c r="I640" s="30"/>
      <c r="J640" s="30"/>
      <c r="K640" s="30"/>
    </row>
    <row r="641" spans="1:11" ht="15">
      <c r="A641" s="30"/>
      <c r="B641" s="30"/>
      <c r="C641" s="30"/>
      <c r="D641" s="30"/>
      <c r="E641" s="30"/>
      <c r="F641" s="30"/>
      <c r="G641" s="30"/>
      <c r="H641" s="30"/>
      <c r="I641" s="30"/>
      <c r="J641" s="30"/>
      <c r="K641" s="30"/>
    </row>
    <row r="642" spans="1:11" ht="15">
      <c r="A642" s="30"/>
      <c r="B642" s="30"/>
      <c r="C642" s="30"/>
      <c r="D642" s="30"/>
      <c r="E642" s="30"/>
      <c r="F642" s="30"/>
      <c r="G642" s="30"/>
      <c r="H642" s="30"/>
      <c r="I642" s="30"/>
      <c r="J642" s="30"/>
      <c r="K642" s="30"/>
    </row>
    <row r="643" spans="1:11" ht="15">
      <c r="A643" s="30"/>
      <c r="B643" s="30"/>
      <c r="C643" s="30"/>
      <c r="D643" s="30"/>
      <c r="E643" s="30"/>
      <c r="F643" s="30"/>
      <c r="G643" s="30"/>
      <c r="H643" s="30"/>
      <c r="I643" s="30"/>
      <c r="J643" s="30"/>
      <c r="K643" s="30"/>
    </row>
    <row r="644" spans="1:11" ht="15">
      <c r="A644" s="30"/>
      <c r="B644" s="30"/>
      <c r="C644" s="30"/>
      <c r="D644" s="30"/>
      <c r="E644" s="30"/>
      <c r="F644" s="30"/>
      <c r="G644" s="30"/>
      <c r="H644" s="30"/>
      <c r="I644" s="30"/>
      <c r="J644" s="30"/>
      <c r="K644" s="30"/>
    </row>
    <row r="645" spans="1:11" ht="15">
      <c r="A645" s="30"/>
      <c r="B645" s="30"/>
      <c r="C645" s="30"/>
      <c r="D645" s="30"/>
      <c r="E645" s="30"/>
      <c r="F645" s="30"/>
      <c r="G645" s="30"/>
      <c r="H645" s="30"/>
      <c r="I645" s="30"/>
      <c r="J645" s="30"/>
      <c r="K645" s="30"/>
    </row>
    <row r="646" spans="1:11" ht="15">
      <c r="A646" s="30"/>
      <c r="B646" s="30"/>
      <c r="C646" s="30"/>
      <c r="D646" s="30"/>
      <c r="E646" s="30"/>
      <c r="F646" s="30"/>
      <c r="G646" s="30"/>
      <c r="H646" s="30"/>
      <c r="I646" s="30"/>
      <c r="J646" s="30"/>
      <c r="K646" s="30"/>
    </row>
    <row r="647" spans="1:11" ht="15">
      <c r="A647" s="30"/>
      <c r="B647" s="30"/>
      <c r="C647" s="30"/>
      <c r="D647" s="30"/>
      <c r="E647" s="30"/>
      <c r="F647" s="30"/>
      <c r="G647" s="30"/>
      <c r="H647" s="30"/>
      <c r="I647" s="30"/>
      <c r="J647" s="30"/>
      <c r="K647" s="30"/>
    </row>
    <row r="648" spans="1:11" ht="15">
      <c r="A648" s="30"/>
      <c r="B648" s="30"/>
      <c r="C648" s="30"/>
      <c r="D648" s="30"/>
      <c r="E648" s="30"/>
      <c r="F648" s="30"/>
      <c r="G648" s="30"/>
      <c r="H648" s="30"/>
      <c r="I648" s="30"/>
      <c r="J648" s="30"/>
      <c r="K648" s="30"/>
    </row>
    <row r="649" spans="1:11" ht="15">
      <c r="A649" s="30"/>
      <c r="B649" s="30"/>
      <c r="C649" s="30"/>
      <c r="D649" s="30"/>
      <c r="E649" s="30"/>
      <c r="F649" s="30"/>
      <c r="G649" s="30"/>
      <c r="H649" s="30"/>
      <c r="I649" s="30"/>
      <c r="J649" s="30"/>
      <c r="K649" s="30"/>
    </row>
    <row r="650" spans="1:11" ht="15">
      <c r="A650" s="30"/>
      <c r="B650" s="30"/>
      <c r="C650" s="30"/>
      <c r="D650" s="30"/>
      <c r="E650" s="30"/>
      <c r="F650" s="30"/>
      <c r="G650" s="30"/>
      <c r="H650" s="30"/>
      <c r="I650" s="30"/>
      <c r="J650" s="30"/>
      <c r="K650" s="30"/>
    </row>
    <row r="651" spans="1:11" ht="15">
      <c r="A651" s="30"/>
      <c r="B651" s="30"/>
      <c r="C651" s="30"/>
      <c r="D651" s="30"/>
      <c r="E651" s="30"/>
      <c r="F651" s="30"/>
      <c r="G651" s="30"/>
      <c r="H651" s="30"/>
      <c r="I651" s="30"/>
      <c r="J651" s="30"/>
      <c r="K651" s="30"/>
    </row>
    <row r="652" spans="1:11" ht="15">
      <c r="A652" s="30"/>
      <c r="B652" s="30"/>
      <c r="C652" s="30"/>
      <c r="D652" s="30"/>
      <c r="E652" s="30"/>
      <c r="F652" s="30"/>
      <c r="G652" s="30"/>
      <c r="H652" s="30"/>
      <c r="I652" s="30"/>
      <c r="J652" s="30"/>
      <c r="K652" s="30"/>
    </row>
    <row r="653" spans="1:11" ht="15">
      <c r="A653" s="30"/>
      <c r="B653" s="30"/>
      <c r="C653" s="30"/>
      <c r="D653" s="30"/>
      <c r="E653" s="30"/>
      <c r="F653" s="30"/>
      <c r="G653" s="30"/>
      <c r="H653" s="30"/>
      <c r="I653" s="30"/>
      <c r="J653" s="30"/>
      <c r="K653" s="30"/>
    </row>
    <row r="654" spans="1:11" ht="15">
      <c r="A654" s="30"/>
      <c r="B654" s="30"/>
      <c r="C654" s="30"/>
      <c r="D654" s="30"/>
      <c r="E654" s="30"/>
      <c r="F654" s="30"/>
      <c r="G654" s="30"/>
      <c r="H654" s="30"/>
      <c r="I654" s="30"/>
      <c r="J654" s="30"/>
      <c r="K654" s="30"/>
    </row>
    <row r="655" spans="1:11" ht="15">
      <c r="A655" s="30"/>
      <c r="B655" s="30"/>
      <c r="C655" s="30"/>
      <c r="D655" s="30"/>
      <c r="E655" s="30"/>
      <c r="F655" s="30"/>
      <c r="G655" s="30"/>
      <c r="H655" s="30"/>
      <c r="I655" s="30"/>
      <c r="J655" s="30"/>
      <c r="K655" s="30"/>
    </row>
    <row r="656" spans="1:11" ht="15">
      <c r="A656" s="30"/>
      <c r="B656" s="30"/>
      <c r="C656" s="30"/>
      <c r="D656" s="30"/>
      <c r="E656" s="30"/>
      <c r="F656" s="30"/>
      <c r="G656" s="30"/>
      <c r="H656" s="30"/>
      <c r="I656" s="30"/>
      <c r="J656" s="30"/>
      <c r="K656" s="30"/>
    </row>
    <row r="657" spans="1:11" ht="15">
      <c r="A657" s="30"/>
      <c r="B657" s="30"/>
      <c r="C657" s="30"/>
      <c r="D657" s="30"/>
      <c r="E657" s="30"/>
      <c r="F657" s="30"/>
      <c r="G657" s="30"/>
      <c r="H657" s="30"/>
      <c r="I657" s="30"/>
      <c r="J657" s="30"/>
      <c r="K657" s="30"/>
    </row>
    <row r="658" spans="1:11" ht="15">
      <c r="A658" s="30"/>
      <c r="B658" s="30"/>
      <c r="C658" s="30"/>
      <c r="D658" s="30"/>
      <c r="E658" s="30"/>
      <c r="F658" s="30"/>
      <c r="G658" s="30"/>
      <c r="H658" s="30"/>
      <c r="I658" s="30"/>
      <c r="J658" s="30"/>
      <c r="K658" s="30"/>
    </row>
    <row r="659" spans="1:11" ht="15">
      <c r="A659" s="30"/>
      <c r="B659" s="30"/>
      <c r="C659" s="30"/>
      <c r="D659" s="30"/>
      <c r="E659" s="30"/>
      <c r="F659" s="30"/>
      <c r="G659" s="30"/>
      <c r="H659" s="30"/>
      <c r="I659" s="30"/>
      <c r="J659" s="30"/>
      <c r="K659" s="30"/>
    </row>
    <row r="660" spans="1:11" ht="15">
      <c r="A660" s="30"/>
      <c r="B660" s="30"/>
      <c r="C660" s="30"/>
      <c r="D660" s="30"/>
      <c r="E660" s="30"/>
      <c r="F660" s="30"/>
      <c r="G660" s="30"/>
      <c r="H660" s="30"/>
      <c r="I660" s="30"/>
      <c r="J660" s="30"/>
      <c r="K660" s="30"/>
    </row>
    <row r="661" spans="1:11" ht="15">
      <c r="A661" s="30"/>
      <c r="B661" s="30"/>
      <c r="C661" s="30"/>
      <c r="D661" s="30"/>
      <c r="E661" s="30"/>
      <c r="F661" s="30"/>
      <c r="G661" s="30"/>
      <c r="H661" s="30"/>
      <c r="I661" s="30"/>
      <c r="J661" s="30"/>
      <c r="K661" s="30"/>
    </row>
    <row r="662" spans="1:11" ht="15">
      <c r="A662" s="30"/>
      <c r="B662" s="30"/>
      <c r="C662" s="30"/>
      <c r="D662" s="30"/>
      <c r="E662" s="30"/>
      <c r="F662" s="30"/>
      <c r="G662" s="30"/>
      <c r="H662" s="30"/>
      <c r="I662" s="30"/>
      <c r="J662" s="30"/>
      <c r="K662" s="30"/>
    </row>
    <row r="663" spans="1:11" ht="15">
      <c r="A663" s="30"/>
      <c r="B663" s="30"/>
      <c r="C663" s="30"/>
      <c r="D663" s="30"/>
      <c r="E663" s="30"/>
      <c r="F663" s="30"/>
      <c r="G663" s="30"/>
      <c r="H663" s="30"/>
      <c r="I663" s="30"/>
      <c r="J663" s="30"/>
      <c r="K663" s="30"/>
    </row>
    <row r="664" spans="1:11" ht="15">
      <c r="A664" s="30"/>
      <c r="B664" s="30"/>
      <c r="C664" s="30"/>
      <c r="D664" s="30"/>
      <c r="E664" s="30"/>
      <c r="F664" s="30"/>
      <c r="G664" s="30"/>
      <c r="H664" s="30"/>
      <c r="I664" s="30"/>
      <c r="J664" s="30"/>
      <c r="K664" s="30"/>
    </row>
    <row r="665" spans="1:11" ht="15">
      <c r="A665" s="30"/>
      <c r="B665" s="30"/>
      <c r="C665" s="30"/>
      <c r="D665" s="30"/>
      <c r="E665" s="30"/>
      <c r="F665" s="30"/>
      <c r="G665" s="30"/>
      <c r="H665" s="30"/>
      <c r="I665" s="30"/>
      <c r="J665" s="30"/>
      <c r="K665" s="30"/>
    </row>
    <row r="666" spans="1:11" ht="15">
      <c r="A666" s="30"/>
      <c r="B666" s="30"/>
      <c r="C666" s="30"/>
      <c r="D666" s="30"/>
      <c r="E666" s="30"/>
      <c r="F666" s="30"/>
      <c r="G666" s="30"/>
      <c r="H666" s="30"/>
      <c r="I666" s="30"/>
      <c r="J666" s="30"/>
      <c r="K666" s="30"/>
    </row>
    <row r="667" spans="1:11" ht="15">
      <c r="A667" s="30"/>
      <c r="B667" s="30"/>
      <c r="C667" s="30"/>
      <c r="D667" s="30"/>
      <c r="E667" s="30"/>
      <c r="F667" s="30"/>
      <c r="G667" s="30"/>
      <c r="H667" s="30"/>
      <c r="I667" s="30"/>
      <c r="J667" s="30"/>
      <c r="K667" s="30"/>
    </row>
    <row r="668" spans="1:11" ht="15">
      <c r="A668" s="30"/>
      <c r="B668" s="30"/>
      <c r="C668" s="30"/>
      <c r="D668" s="30"/>
      <c r="E668" s="30"/>
      <c r="F668" s="30"/>
      <c r="G668" s="30"/>
      <c r="H668" s="30"/>
      <c r="I668" s="30"/>
      <c r="J668" s="30"/>
      <c r="K668" s="30"/>
    </row>
    <row r="669" spans="1:11" ht="15">
      <c r="A669" s="30"/>
      <c r="B669" s="30"/>
      <c r="C669" s="30"/>
      <c r="D669" s="30"/>
      <c r="E669" s="30"/>
      <c r="F669" s="30"/>
      <c r="G669" s="30"/>
      <c r="H669" s="30"/>
      <c r="I669" s="30"/>
      <c r="J669" s="30"/>
      <c r="K669" s="30"/>
    </row>
    <row r="670" spans="1:11" ht="15">
      <c r="A670" s="30"/>
      <c r="B670" s="30"/>
      <c r="C670" s="30"/>
      <c r="D670" s="30"/>
      <c r="E670" s="30"/>
      <c r="F670" s="30"/>
      <c r="G670" s="30"/>
      <c r="H670" s="30"/>
      <c r="I670" s="30"/>
      <c r="J670" s="30"/>
      <c r="K670" s="30"/>
    </row>
    <row r="671" spans="1:11" ht="15">
      <c r="A671" s="30"/>
      <c r="B671" s="30"/>
      <c r="C671" s="30"/>
      <c r="D671" s="30"/>
      <c r="E671" s="30"/>
      <c r="F671" s="30"/>
      <c r="G671" s="30"/>
      <c r="H671" s="30"/>
      <c r="I671" s="30"/>
      <c r="J671" s="30"/>
      <c r="K671" s="30"/>
    </row>
    <row r="672" spans="1:11" ht="15">
      <c r="A672" s="30"/>
      <c r="B672" s="30"/>
      <c r="C672" s="30"/>
      <c r="D672" s="30"/>
      <c r="E672" s="30"/>
      <c r="F672" s="30"/>
      <c r="G672" s="30"/>
      <c r="H672" s="30"/>
      <c r="I672" s="30"/>
      <c r="J672" s="30"/>
      <c r="K672" s="30"/>
    </row>
    <row r="673" spans="1:11" ht="15">
      <c r="A673" s="30"/>
      <c r="B673" s="30"/>
      <c r="C673" s="30"/>
      <c r="D673" s="30"/>
      <c r="E673" s="30"/>
      <c r="F673" s="30"/>
      <c r="G673" s="30"/>
      <c r="H673" s="30"/>
      <c r="I673" s="30"/>
      <c r="J673" s="30"/>
      <c r="K673" s="30"/>
    </row>
    <row r="674" spans="1:11" ht="15">
      <c r="A674" s="30"/>
      <c r="B674" s="30"/>
      <c r="C674" s="30"/>
      <c r="D674" s="30"/>
      <c r="E674" s="30"/>
      <c r="F674" s="30"/>
      <c r="G674" s="30"/>
      <c r="H674" s="30"/>
      <c r="I674" s="30"/>
      <c r="J674" s="30"/>
      <c r="K674" s="30"/>
    </row>
    <row r="675" spans="1:11" ht="15">
      <c r="A675" s="30"/>
      <c r="B675" s="30"/>
      <c r="C675" s="30"/>
      <c r="D675" s="30"/>
      <c r="E675" s="30"/>
      <c r="F675" s="30"/>
      <c r="G675" s="30"/>
      <c r="H675" s="30"/>
      <c r="I675" s="30"/>
      <c r="J675" s="30"/>
      <c r="K675" s="30"/>
    </row>
    <row r="676" spans="1:11" ht="15">
      <c r="A676" s="30"/>
      <c r="B676" s="30"/>
      <c r="C676" s="30"/>
      <c r="D676" s="30"/>
      <c r="E676" s="30"/>
      <c r="F676" s="30"/>
      <c r="G676" s="30"/>
      <c r="H676" s="30"/>
      <c r="I676" s="30"/>
      <c r="J676" s="30"/>
      <c r="K676" s="30"/>
    </row>
    <row r="677" spans="1:11" ht="15">
      <c r="A677" s="30"/>
      <c r="B677" s="30"/>
      <c r="C677" s="30"/>
      <c r="D677" s="30"/>
      <c r="E677" s="30"/>
      <c r="F677" s="30"/>
      <c r="G677" s="30"/>
      <c r="H677" s="30"/>
      <c r="I677" s="30"/>
      <c r="J677" s="30"/>
      <c r="K677" s="30"/>
    </row>
    <row r="678" spans="1:11" ht="15">
      <c r="A678" s="30"/>
      <c r="B678" s="30"/>
      <c r="C678" s="30"/>
      <c r="D678" s="30"/>
      <c r="E678" s="30"/>
      <c r="F678" s="30"/>
      <c r="G678" s="30"/>
      <c r="H678" s="30"/>
      <c r="I678" s="30"/>
      <c r="J678" s="30"/>
      <c r="K678" s="30"/>
    </row>
    <row r="679" spans="1:11" ht="15">
      <c r="A679" s="30"/>
      <c r="B679" s="30"/>
      <c r="C679" s="30"/>
      <c r="D679" s="30"/>
      <c r="E679" s="30"/>
      <c r="F679" s="30"/>
      <c r="G679" s="30"/>
      <c r="H679" s="30"/>
      <c r="I679" s="30"/>
      <c r="J679" s="30"/>
      <c r="K679" s="30"/>
    </row>
    <row r="680" spans="1:11" ht="15">
      <c r="A680" s="30"/>
      <c r="B680" s="30"/>
      <c r="C680" s="30"/>
      <c r="D680" s="30"/>
      <c r="E680" s="30"/>
      <c r="F680" s="30"/>
      <c r="G680" s="30"/>
      <c r="H680" s="30"/>
      <c r="I680" s="30"/>
      <c r="J680" s="30"/>
      <c r="K680" s="30"/>
    </row>
    <row r="681" spans="1:11" ht="15">
      <c r="A681" s="30"/>
      <c r="B681" s="30"/>
      <c r="C681" s="30"/>
      <c r="D681" s="30"/>
      <c r="E681" s="30"/>
      <c r="F681" s="30"/>
      <c r="G681" s="30"/>
      <c r="H681" s="30"/>
      <c r="I681" s="30"/>
      <c r="J681" s="30"/>
      <c r="K681" s="30"/>
    </row>
    <row r="682" spans="1:11" ht="15">
      <c r="A682" s="30"/>
      <c r="B682" s="30"/>
      <c r="C682" s="30"/>
      <c r="D682" s="30"/>
      <c r="E682" s="30"/>
      <c r="F682" s="30"/>
      <c r="G682" s="30"/>
      <c r="H682" s="30"/>
      <c r="I682" s="30"/>
      <c r="J682" s="30"/>
      <c r="K682" s="30"/>
    </row>
    <row r="683" spans="1:11" ht="15">
      <c r="A683" s="30"/>
      <c r="B683" s="30"/>
      <c r="C683" s="30"/>
      <c r="D683" s="30"/>
      <c r="E683" s="30"/>
      <c r="F683" s="30"/>
      <c r="G683" s="30"/>
      <c r="H683" s="30"/>
      <c r="I683" s="30"/>
      <c r="J683" s="30"/>
      <c r="K683" s="30"/>
    </row>
    <row r="684" spans="1:11" ht="15">
      <c r="A684" s="30"/>
      <c r="B684" s="30"/>
      <c r="C684" s="30"/>
      <c r="D684" s="30"/>
      <c r="E684" s="30"/>
      <c r="F684" s="30"/>
      <c r="G684" s="30"/>
      <c r="H684" s="30"/>
      <c r="I684" s="30"/>
      <c r="J684" s="30"/>
      <c r="K684" s="30"/>
    </row>
    <row r="685" spans="1:11" ht="15">
      <c r="A685" s="30"/>
      <c r="B685" s="30"/>
      <c r="C685" s="30"/>
      <c r="D685" s="30"/>
      <c r="E685" s="30"/>
      <c r="F685" s="30"/>
      <c r="G685" s="30"/>
      <c r="H685" s="30"/>
      <c r="I685" s="30"/>
      <c r="J685" s="30"/>
      <c r="K685" s="30"/>
    </row>
    <row r="686" spans="1:11" ht="15">
      <c r="A686" s="30"/>
      <c r="B686" s="30"/>
      <c r="C686" s="30"/>
      <c r="D686" s="30"/>
      <c r="E686" s="30"/>
      <c r="F686" s="30"/>
      <c r="G686" s="30"/>
      <c r="H686" s="30"/>
      <c r="I686" s="30"/>
      <c r="J686" s="30"/>
      <c r="K686" s="30"/>
    </row>
    <row r="687" spans="1:11" ht="15">
      <c r="A687" s="30"/>
      <c r="B687" s="30"/>
      <c r="C687" s="30"/>
      <c r="D687" s="30"/>
      <c r="E687" s="30"/>
      <c r="F687" s="30"/>
      <c r="G687" s="30"/>
      <c r="H687" s="30"/>
      <c r="I687" s="30"/>
      <c r="J687" s="30"/>
      <c r="K687" s="30"/>
    </row>
    <row r="688" spans="1:11" ht="15">
      <c r="A688" s="30"/>
      <c r="B688" s="30"/>
      <c r="C688" s="30"/>
      <c r="D688" s="30"/>
      <c r="E688" s="30"/>
      <c r="F688" s="30"/>
      <c r="G688" s="30"/>
      <c r="H688" s="30"/>
      <c r="I688" s="30"/>
      <c r="J688" s="30"/>
      <c r="K688" s="30"/>
    </row>
    <row r="689" spans="1:11" ht="15">
      <c r="A689" s="30"/>
      <c r="B689" s="30"/>
      <c r="C689" s="30"/>
      <c r="D689" s="30"/>
      <c r="E689" s="30"/>
      <c r="F689" s="30"/>
      <c r="G689" s="30"/>
      <c r="H689" s="30"/>
      <c r="I689" s="30"/>
      <c r="J689" s="30"/>
      <c r="K689" s="30"/>
    </row>
    <row r="690" spans="1:11" ht="15">
      <c r="A690" s="30"/>
      <c r="B690" s="30"/>
      <c r="C690" s="30"/>
      <c r="D690" s="30"/>
      <c r="E690" s="30"/>
      <c r="F690" s="30"/>
      <c r="G690" s="30"/>
      <c r="H690" s="30"/>
      <c r="I690" s="30"/>
      <c r="J690" s="30"/>
      <c r="K690" s="30"/>
    </row>
    <row r="691" spans="1:11" ht="15">
      <c r="A691" s="30"/>
      <c r="B691" s="30"/>
      <c r="C691" s="30"/>
      <c r="D691" s="30"/>
      <c r="E691" s="30"/>
      <c r="F691" s="30"/>
      <c r="G691" s="30"/>
      <c r="H691" s="30"/>
      <c r="I691" s="30"/>
      <c r="J691" s="30"/>
      <c r="K691" s="30"/>
    </row>
    <row r="692" spans="1:11" ht="15">
      <c r="A692" s="30"/>
      <c r="B692" s="30"/>
      <c r="C692" s="30"/>
      <c r="D692" s="30"/>
      <c r="E692" s="30"/>
      <c r="F692" s="30"/>
      <c r="G692" s="30"/>
      <c r="H692" s="30"/>
      <c r="I692" s="30"/>
      <c r="J692" s="30"/>
      <c r="K692" s="30"/>
    </row>
    <row r="693" spans="1:11" ht="15">
      <c r="A693" s="30"/>
      <c r="B693" s="30"/>
      <c r="C693" s="30"/>
      <c r="D693" s="30"/>
      <c r="E693" s="30"/>
      <c r="F693" s="30"/>
      <c r="G693" s="30"/>
      <c r="H693" s="30"/>
      <c r="I693" s="30"/>
      <c r="J693" s="30"/>
      <c r="K693" s="30"/>
    </row>
    <row r="694" spans="1:11" ht="15">
      <c r="A694" s="30"/>
      <c r="B694" s="30"/>
      <c r="C694" s="30"/>
      <c r="D694" s="30"/>
      <c r="E694" s="30"/>
      <c r="F694" s="30"/>
      <c r="G694" s="30"/>
      <c r="H694" s="30"/>
      <c r="I694" s="30"/>
      <c r="J694" s="30"/>
      <c r="K694" s="30"/>
    </row>
    <row r="695" spans="1:11" ht="15">
      <c r="A695" s="30"/>
      <c r="B695" s="30"/>
      <c r="C695" s="30"/>
      <c r="D695" s="30"/>
      <c r="E695" s="30"/>
      <c r="F695" s="30"/>
      <c r="G695" s="30"/>
      <c r="H695" s="30"/>
      <c r="I695" s="30"/>
      <c r="J695" s="30"/>
      <c r="K695" s="30"/>
    </row>
    <row r="696" spans="1:11" ht="15">
      <c r="A696" s="30"/>
      <c r="B696" s="30"/>
      <c r="C696" s="30"/>
      <c r="D696" s="30"/>
      <c r="E696" s="30"/>
      <c r="F696" s="30"/>
      <c r="G696" s="30"/>
      <c r="H696" s="30"/>
      <c r="I696" s="30"/>
      <c r="J696" s="30"/>
      <c r="K696" s="30"/>
    </row>
    <row r="697" spans="1:11" ht="15">
      <c r="A697" s="30"/>
      <c r="B697" s="30"/>
      <c r="C697" s="30"/>
      <c r="D697" s="30"/>
      <c r="E697" s="30"/>
      <c r="F697" s="30"/>
      <c r="G697" s="30"/>
      <c r="H697" s="30"/>
      <c r="I697" s="30"/>
      <c r="J697" s="30"/>
      <c r="K697" s="30"/>
    </row>
    <row r="698" spans="1:11" ht="15">
      <c r="A698" s="30"/>
      <c r="B698" s="30"/>
      <c r="C698" s="30"/>
      <c r="D698" s="30"/>
      <c r="E698" s="30"/>
      <c r="F698" s="30"/>
      <c r="G698" s="30"/>
      <c r="H698" s="30"/>
      <c r="I698" s="30"/>
      <c r="J698" s="30"/>
      <c r="K698" s="30"/>
    </row>
    <row r="699" spans="1:11" ht="15">
      <c r="A699" s="30"/>
      <c r="B699" s="30"/>
      <c r="C699" s="30"/>
      <c r="D699" s="30"/>
      <c r="E699" s="30"/>
      <c r="F699" s="30"/>
      <c r="G699" s="30"/>
      <c r="H699" s="30"/>
      <c r="I699" s="30"/>
      <c r="J699" s="30"/>
      <c r="K699" s="30"/>
    </row>
    <row r="700" spans="1:11" ht="15">
      <c r="A700" s="30"/>
      <c r="B700" s="30"/>
      <c r="C700" s="30"/>
      <c r="D700" s="30"/>
      <c r="E700" s="30"/>
      <c r="F700" s="30"/>
      <c r="G700" s="30"/>
      <c r="H700" s="30"/>
      <c r="I700" s="30"/>
      <c r="J700" s="30"/>
      <c r="K700" s="30"/>
    </row>
    <row r="701" spans="1:11" ht="15">
      <c r="A701" s="30"/>
      <c r="B701" s="30"/>
      <c r="C701" s="30"/>
      <c r="D701" s="30"/>
      <c r="E701" s="30"/>
      <c r="F701" s="30"/>
      <c r="G701" s="30"/>
      <c r="H701" s="30"/>
      <c r="I701" s="30"/>
      <c r="J701" s="30"/>
      <c r="K701" s="30"/>
    </row>
    <row r="702" spans="1:11" ht="15">
      <c r="A702" s="30"/>
      <c r="B702" s="30"/>
      <c r="C702" s="30"/>
      <c r="D702" s="30"/>
      <c r="E702" s="30"/>
      <c r="F702" s="30"/>
      <c r="G702" s="30"/>
      <c r="H702" s="30"/>
      <c r="I702" s="30"/>
      <c r="J702" s="30"/>
      <c r="K702" s="30"/>
    </row>
    <row r="703" spans="1:11" ht="15">
      <c r="A703" s="30"/>
      <c r="B703" s="30"/>
      <c r="C703" s="30"/>
      <c r="D703" s="30"/>
      <c r="E703" s="30"/>
      <c r="F703" s="30"/>
      <c r="G703" s="30"/>
      <c r="H703" s="30"/>
      <c r="I703" s="30"/>
      <c r="J703" s="30"/>
      <c r="K703" s="30"/>
    </row>
    <row r="704" spans="1:11" ht="15">
      <c r="A704" s="30"/>
      <c r="B704" s="30"/>
      <c r="C704" s="30"/>
      <c r="D704" s="30"/>
      <c r="E704" s="30"/>
      <c r="F704" s="30"/>
      <c r="G704" s="30"/>
      <c r="H704" s="30"/>
      <c r="I704" s="30"/>
      <c r="J704" s="30"/>
      <c r="K704" s="30"/>
    </row>
    <row r="705" spans="1:11" ht="15">
      <c r="A705" s="30"/>
      <c r="B705" s="30"/>
      <c r="C705" s="30"/>
      <c r="D705" s="30"/>
      <c r="E705" s="30"/>
      <c r="F705" s="30"/>
      <c r="G705" s="30"/>
      <c r="H705" s="30"/>
      <c r="I705" s="30"/>
      <c r="J705" s="30"/>
      <c r="K705" s="30"/>
    </row>
    <row r="706" spans="1:11" ht="15">
      <c r="A706" s="30"/>
      <c r="B706" s="30"/>
      <c r="C706" s="30"/>
      <c r="D706" s="30"/>
      <c r="E706" s="30"/>
      <c r="F706" s="30"/>
      <c r="G706" s="30"/>
      <c r="H706" s="30"/>
      <c r="I706" s="30"/>
      <c r="J706" s="30"/>
      <c r="K706" s="30"/>
    </row>
    <row r="707" spans="1:11" ht="15">
      <c r="A707" s="30"/>
      <c r="B707" s="30"/>
      <c r="C707" s="30"/>
      <c r="D707" s="30"/>
      <c r="E707" s="30"/>
      <c r="F707" s="30"/>
      <c r="G707" s="30"/>
      <c r="H707" s="30"/>
      <c r="I707" s="30"/>
      <c r="J707" s="30"/>
      <c r="K707" s="30"/>
    </row>
    <row r="708" spans="1:11" ht="15">
      <c r="A708" s="30"/>
      <c r="B708" s="30"/>
      <c r="C708" s="30"/>
      <c r="D708" s="30"/>
      <c r="E708" s="30"/>
      <c r="F708" s="30"/>
      <c r="G708" s="30"/>
      <c r="H708" s="30"/>
      <c r="I708" s="30"/>
      <c r="J708" s="30"/>
      <c r="K708" s="30"/>
    </row>
    <row r="709" spans="1:11" ht="15">
      <c r="A709" s="30"/>
      <c r="B709" s="30"/>
      <c r="C709" s="30"/>
      <c r="D709" s="30"/>
      <c r="E709" s="30"/>
      <c r="F709" s="30"/>
      <c r="G709" s="30"/>
      <c r="H709" s="30"/>
      <c r="I709" s="30"/>
      <c r="J709" s="30"/>
      <c r="K709" s="30"/>
    </row>
    <row r="710" spans="1:11" ht="15">
      <c r="A710" s="30"/>
      <c r="B710" s="30"/>
      <c r="C710" s="30"/>
      <c r="D710" s="30"/>
      <c r="E710" s="30"/>
      <c r="F710" s="30"/>
      <c r="G710" s="30"/>
      <c r="H710" s="30"/>
      <c r="I710" s="30"/>
      <c r="J710" s="30"/>
      <c r="K710" s="30"/>
    </row>
    <row r="711" spans="1:11" ht="15">
      <c r="A711" s="30"/>
      <c r="B711" s="30"/>
      <c r="C711" s="30"/>
      <c r="D711" s="30"/>
      <c r="E711" s="30"/>
      <c r="F711" s="30"/>
      <c r="G711" s="30"/>
      <c r="H711" s="30"/>
      <c r="I711" s="30"/>
      <c r="J711" s="30"/>
      <c r="K711" s="30"/>
    </row>
    <row r="712" spans="1:11" ht="15">
      <c r="A712" s="30"/>
      <c r="B712" s="30"/>
      <c r="C712" s="30"/>
      <c r="D712" s="30"/>
      <c r="E712" s="30"/>
      <c r="F712" s="30"/>
      <c r="G712" s="30"/>
      <c r="H712" s="30"/>
      <c r="I712" s="30"/>
      <c r="J712" s="30"/>
      <c r="K712" s="30"/>
    </row>
    <row r="713" spans="1:11" ht="15">
      <c r="A713" s="30"/>
      <c r="B713" s="30"/>
      <c r="C713" s="30"/>
      <c r="D713" s="30"/>
      <c r="E713" s="30"/>
      <c r="F713" s="30"/>
      <c r="G713" s="30"/>
      <c r="H713" s="30"/>
      <c r="I713" s="30"/>
      <c r="J713" s="30"/>
      <c r="K713" s="30"/>
    </row>
    <row r="714" spans="1:11" ht="15">
      <c r="A714" s="30"/>
      <c r="B714" s="30"/>
      <c r="C714" s="30"/>
      <c r="D714" s="30"/>
      <c r="E714" s="30"/>
      <c r="F714" s="30"/>
      <c r="G714" s="30"/>
      <c r="H714" s="30"/>
      <c r="I714" s="30"/>
      <c r="J714" s="30"/>
      <c r="K714" s="30"/>
    </row>
    <row r="715" spans="1:11" ht="15">
      <c r="A715" s="30"/>
      <c r="B715" s="30"/>
      <c r="C715" s="30"/>
      <c r="D715" s="30"/>
      <c r="E715" s="30"/>
      <c r="F715" s="30"/>
      <c r="G715" s="30"/>
      <c r="H715" s="30"/>
      <c r="I715" s="30"/>
      <c r="J715" s="30"/>
      <c r="K715" s="30"/>
    </row>
    <row r="716" spans="1:11" ht="15">
      <c r="A716" s="30"/>
      <c r="B716" s="30"/>
      <c r="C716" s="30"/>
      <c r="D716" s="30"/>
      <c r="E716" s="30"/>
      <c r="F716" s="30"/>
      <c r="G716" s="30"/>
      <c r="H716" s="30"/>
      <c r="I716" s="30"/>
      <c r="J716" s="30"/>
      <c r="K716" s="30"/>
    </row>
    <row r="717" spans="1:11" ht="15">
      <c r="A717" s="30"/>
      <c r="B717" s="30"/>
      <c r="C717" s="30"/>
      <c r="D717" s="30"/>
      <c r="E717" s="30"/>
      <c r="F717" s="30"/>
      <c r="G717" s="30"/>
      <c r="H717" s="30"/>
      <c r="I717" s="30"/>
      <c r="J717" s="30"/>
      <c r="K717" s="30"/>
    </row>
    <row r="718" spans="1:11" ht="15">
      <c r="A718" s="30"/>
      <c r="B718" s="30"/>
      <c r="C718" s="30"/>
      <c r="D718" s="30"/>
      <c r="E718" s="30"/>
      <c r="F718" s="30"/>
      <c r="G718" s="30"/>
      <c r="H718" s="30"/>
      <c r="I718" s="30"/>
      <c r="J718" s="30"/>
      <c r="K718" s="30"/>
    </row>
    <row r="719" spans="1:11" ht="15">
      <c r="A719" s="30"/>
      <c r="B719" s="30"/>
      <c r="C719" s="30"/>
      <c r="D719" s="30"/>
      <c r="E719" s="30"/>
      <c r="F719" s="30"/>
      <c r="G719" s="30"/>
      <c r="H719" s="30"/>
      <c r="I719" s="30"/>
      <c r="J719" s="30"/>
      <c r="K719" s="30"/>
    </row>
    <row r="720" spans="1:11" ht="15">
      <c r="A720" s="30"/>
      <c r="B720" s="30"/>
      <c r="C720" s="30"/>
      <c r="D720" s="30"/>
      <c r="E720" s="30"/>
      <c r="F720" s="30"/>
      <c r="G720" s="30"/>
      <c r="H720" s="30"/>
      <c r="I720" s="30"/>
      <c r="J720" s="30"/>
      <c r="K720" s="30"/>
    </row>
    <row r="721" spans="1:11" ht="15">
      <c r="A721" s="30"/>
      <c r="B721" s="30"/>
      <c r="C721" s="30"/>
      <c r="D721" s="30"/>
      <c r="E721" s="30"/>
      <c r="F721" s="30"/>
      <c r="G721" s="30"/>
      <c r="H721" s="30"/>
      <c r="I721" s="30"/>
      <c r="J721" s="30"/>
      <c r="K721" s="30"/>
    </row>
    <row r="722" spans="1:11" ht="15">
      <c r="A722" s="30"/>
      <c r="B722" s="30"/>
      <c r="C722" s="30"/>
      <c r="D722" s="30"/>
      <c r="E722" s="30"/>
      <c r="F722" s="30"/>
      <c r="G722" s="30"/>
      <c r="H722" s="30"/>
      <c r="I722" s="30"/>
      <c r="J722" s="30"/>
      <c r="K722" s="30"/>
    </row>
    <row r="723" spans="1:11" ht="15">
      <c r="A723" s="30"/>
      <c r="B723" s="30"/>
      <c r="C723" s="30"/>
      <c r="D723" s="30"/>
      <c r="E723" s="30"/>
      <c r="F723" s="30"/>
      <c r="G723" s="30"/>
      <c r="H723" s="30"/>
      <c r="I723" s="30"/>
      <c r="J723" s="30"/>
      <c r="K723" s="30"/>
    </row>
    <row r="724" spans="1:11" ht="15">
      <c r="A724" s="30"/>
      <c r="B724" s="30"/>
      <c r="C724" s="30"/>
      <c r="D724" s="30"/>
      <c r="E724" s="30"/>
      <c r="F724" s="30"/>
      <c r="G724" s="30"/>
      <c r="H724" s="30"/>
      <c r="I724" s="30"/>
      <c r="J724" s="30"/>
      <c r="K724" s="30"/>
    </row>
    <row r="725" spans="1:11" ht="15">
      <c r="A725" s="30"/>
      <c r="B725" s="30"/>
      <c r="C725" s="30"/>
      <c r="D725" s="30"/>
      <c r="E725" s="30"/>
      <c r="F725" s="30"/>
      <c r="G725" s="30"/>
      <c r="H725" s="30"/>
      <c r="I725" s="30"/>
      <c r="J725" s="30"/>
      <c r="K725" s="30"/>
    </row>
    <row r="726" spans="1:11" ht="15">
      <c r="A726" s="30"/>
      <c r="B726" s="30"/>
      <c r="C726" s="30"/>
      <c r="D726" s="30"/>
      <c r="E726" s="30"/>
      <c r="F726" s="30"/>
      <c r="G726" s="30"/>
      <c r="H726" s="30"/>
      <c r="I726" s="30"/>
      <c r="J726" s="30"/>
      <c r="K726" s="30"/>
    </row>
    <row r="727" spans="1:11" ht="15">
      <c r="A727" s="30"/>
      <c r="B727" s="30"/>
      <c r="C727" s="30"/>
      <c r="D727" s="30"/>
      <c r="E727" s="30"/>
      <c r="F727" s="30"/>
      <c r="G727" s="30"/>
      <c r="H727" s="30"/>
      <c r="I727" s="30"/>
      <c r="J727" s="30"/>
      <c r="K727" s="30"/>
    </row>
    <row r="728" spans="1:11" ht="15">
      <c r="A728" s="30"/>
      <c r="B728" s="30"/>
      <c r="C728" s="30"/>
      <c r="D728" s="30"/>
      <c r="E728" s="30"/>
      <c r="F728" s="30"/>
      <c r="G728" s="30"/>
      <c r="H728" s="30"/>
      <c r="I728" s="30"/>
      <c r="J728" s="30"/>
      <c r="K728" s="30"/>
    </row>
    <row r="729" spans="1:11" ht="15">
      <c r="A729" s="30"/>
      <c r="B729" s="30"/>
      <c r="C729" s="30"/>
      <c r="D729" s="30"/>
      <c r="E729" s="30"/>
      <c r="F729" s="30"/>
      <c r="G729" s="30"/>
      <c r="H729" s="30"/>
      <c r="I729" s="30"/>
      <c r="J729" s="30"/>
      <c r="K729" s="30"/>
    </row>
    <row r="730" spans="1:11" ht="15">
      <c r="A730" s="30"/>
      <c r="B730" s="30"/>
      <c r="C730" s="30"/>
      <c r="D730" s="30"/>
      <c r="E730" s="30"/>
      <c r="F730" s="30"/>
      <c r="G730" s="30"/>
      <c r="H730" s="30"/>
      <c r="I730" s="30"/>
      <c r="J730" s="30"/>
      <c r="K730" s="30"/>
    </row>
    <row r="731" spans="1:11" ht="15">
      <c r="A731" s="30"/>
      <c r="B731" s="30"/>
      <c r="C731" s="30"/>
      <c r="D731" s="30"/>
      <c r="E731" s="30"/>
      <c r="F731" s="30"/>
      <c r="G731" s="30"/>
      <c r="H731" s="30"/>
      <c r="I731" s="30"/>
      <c r="J731" s="30"/>
      <c r="K731" s="30"/>
    </row>
    <row r="732" spans="1:11" ht="15">
      <c r="A732" s="30"/>
      <c r="B732" s="30"/>
      <c r="C732" s="30"/>
      <c r="D732" s="30"/>
      <c r="E732" s="30"/>
      <c r="F732" s="30"/>
      <c r="G732" s="30"/>
      <c r="H732" s="30"/>
      <c r="I732" s="30"/>
      <c r="J732" s="30"/>
      <c r="K732" s="30"/>
    </row>
    <row r="733" spans="1:11" ht="15">
      <c r="A733" s="30"/>
      <c r="B733" s="30"/>
      <c r="C733" s="30"/>
      <c r="D733" s="30"/>
      <c r="E733" s="30"/>
      <c r="F733" s="30"/>
      <c r="G733" s="30"/>
      <c r="H733" s="30"/>
      <c r="I733" s="30"/>
      <c r="J733" s="30"/>
      <c r="K733" s="30"/>
    </row>
    <row r="734" spans="1:11" ht="15">
      <c r="A734" s="30"/>
      <c r="B734" s="30"/>
      <c r="C734" s="30"/>
      <c r="D734" s="30"/>
      <c r="E734" s="30"/>
      <c r="F734" s="30"/>
      <c r="G734" s="30"/>
      <c r="H734" s="30"/>
      <c r="I734" s="30"/>
      <c r="J734" s="30"/>
      <c r="K734" s="30"/>
    </row>
    <row r="735" spans="1:11" ht="15">
      <c r="A735" s="30"/>
      <c r="B735" s="30"/>
      <c r="C735" s="30"/>
      <c r="D735" s="30"/>
      <c r="E735" s="30"/>
      <c r="F735" s="30"/>
      <c r="G735" s="30"/>
      <c r="H735" s="30"/>
      <c r="I735" s="30"/>
      <c r="J735" s="30"/>
      <c r="K735" s="30"/>
    </row>
    <row r="736" spans="1:11" ht="15">
      <c r="A736" s="30"/>
      <c r="B736" s="30"/>
      <c r="C736" s="30"/>
      <c r="D736" s="30"/>
      <c r="E736" s="30"/>
      <c r="F736" s="30"/>
      <c r="G736" s="30"/>
      <c r="H736" s="30"/>
      <c r="I736" s="30"/>
      <c r="J736" s="30"/>
      <c r="K736" s="30"/>
    </row>
    <row r="737" spans="1:11" ht="15">
      <c r="A737" s="30"/>
      <c r="B737" s="30"/>
      <c r="C737" s="30"/>
      <c r="D737" s="30"/>
      <c r="E737" s="30"/>
      <c r="F737" s="30"/>
      <c r="G737" s="30"/>
      <c r="H737" s="30"/>
      <c r="I737" s="30"/>
      <c r="J737" s="30"/>
      <c r="K737" s="30"/>
    </row>
    <row r="738" spans="1:11" ht="15">
      <c r="A738" s="30"/>
      <c r="B738" s="30"/>
      <c r="C738" s="30"/>
      <c r="D738" s="30"/>
      <c r="E738" s="30"/>
      <c r="F738" s="30"/>
      <c r="G738" s="30"/>
      <c r="H738" s="30"/>
      <c r="I738" s="30"/>
      <c r="J738" s="30"/>
      <c r="K738" s="30"/>
    </row>
    <row r="739" spans="1:11" ht="15">
      <c r="A739" s="30"/>
      <c r="B739" s="30"/>
      <c r="C739" s="30"/>
      <c r="D739" s="30"/>
      <c r="E739" s="30"/>
      <c r="F739" s="30"/>
      <c r="G739" s="30"/>
      <c r="H739" s="30"/>
      <c r="I739" s="30"/>
      <c r="J739" s="30"/>
      <c r="K739" s="30"/>
    </row>
    <row r="740" spans="1:11" ht="15">
      <c r="A740" s="30"/>
      <c r="B740" s="30"/>
      <c r="C740" s="30"/>
      <c r="D740" s="30"/>
      <c r="E740" s="30"/>
      <c r="F740" s="30"/>
      <c r="G740" s="30"/>
      <c r="H740" s="30"/>
      <c r="I740" s="30"/>
      <c r="J740" s="30"/>
      <c r="K740" s="30"/>
    </row>
    <row r="741" spans="1:11" ht="15">
      <c r="A741" s="30"/>
      <c r="B741" s="30"/>
      <c r="C741" s="30"/>
      <c r="D741" s="30"/>
      <c r="E741" s="30"/>
      <c r="F741" s="30"/>
      <c r="G741" s="30"/>
      <c r="H741" s="30"/>
      <c r="I741" s="30"/>
      <c r="J741" s="30"/>
      <c r="K741" s="30"/>
    </row>
    <row r="742" spans="1:11" ht="15">
      <c r="A742" s="30"/>
      <c r="B742" s="30"/>
      <c r="C742" s="30"/>
      <c r="D742" s="30"/>
      <c r="E742" s="30"/>
      <c r="F742" s="30"/>
      <c r="G742" s="30"/>
      <c r="H742" s="30"/>
      <c r="I742" s="30"/>
      <c r="J742" s="30"/>
      <c r="K742" s="30"/>
    </row>
    <row r="743" spans="1:11" ht="15">
      <c r="A743" s="30"/>
      <c r="B743" s="30"/>
      <c r="C743" s="30"/>
      <c r="D743" s="30"/>
      <c r="E743" s="30"/>
      <c r="F743" s="30"/>
      <c r="G743" s="30"/>
      <c r="H743" s="30"/>
      <c r="I743" s="30"/>
      <c r="J743" s="30"/>
      <c r="K743" s="30"/>
    </row>
    <row r="744" spans="1:11" ht="15">
      <c r="A744" s="30"/>
      <c r="B744" s="30"/>
      <c r="C744" s="30"/>
      <c r="D744" s="30"/>
      <c r="E744" s="30"/>
      <c r="F744" s="30"/>
      <c r="G744" s="30"/>
      <c r="H744" s="30"/>
      <c r="I744" s="30"/>
      <c r="J744" s="30"/>
      <c r="K744" s="30"/>
    </row>
    <row r="745" spans="1:11" ht="15">
      <c r="A745" s="30"/>
      <c r="B745" s="30"/>
      <c r="C745" s="30"/>
      <c r="D745" s="30"/>
      <c r="E745" s="30"/>
      <c r="F745" s="30"/>
      <c r="G745" s="30"/>
      <c r="H745" s="30"/>
      <c r="I745" s="30"/>
      <c r="J745" s="30"/>
      <c r="K745" s="30"/>
    </row>
    <row r="746" spans="1:11" ht="15">
      <c r="A746" s="30"/>
      <c r="B746" s="30"/>
      <c r="C746" s="30"/>
      <c r="D746" s="30"/>
      <c r="E746" s="30"/>
      <c r="F746" s="30"/>
      <c r="G746" s="30"/>
      <c r="H746" s="30"/>
      <c r="I746" s="30"/>
      <c r="J746" s="30"/>
      <c r="K746" s="30"/>
    </row>
    <row r="747" spans="1:11" ht="15">
      <c r="A747" s="30"/>
      <c r="B747" s="30"/>
      <c r="C747" s="30"/>
      <c r="D747" s="30"/>
      <c r="E747" s="30"/>
      <c r="F747" s="30"/>
      <c r="G747" s="30"/>
      <c r="H747" s="30"/>
      <c r="I747" s="30"/>
      <c r="J747" s="30"/>
      <c r="K747" s="30"/>
    </row>
    <row r="748" spans="1:11" ht="15">
      <c r="A748" s="30"/>
      <c r="B748" s="30"/>
      <c r="C748" s="30"/>
      <c r="D748" s="30"/>
      <c r="E748" s="30"/>
      <c r="F748" s="30"/>
      <c r="G748" s="30"/>
      <c r="H748" s="30"/>
      <c r="I748" s="30"/>
      <c r="J748" s="30"/>
      <c r="K748" s="30"/>
    </row>
    <row r="749" spans="1:11" ht="15">
      <c r="A749" s="30"/>
      <c r="B749" s="30"/>
      <c r="C749" s="30"/>
      <c r="D749" s="30"/>
      <c r="E749" s="30"/>
      <c r="F749" s="30"/>
      <c r="G749" s="30"/>
      <c r="H749" s="30"/>
      <c r="I749" s="30"/>
      <c r="J749" s="30"/>
      <c r="K749" s="30"/>
    </row>
    <row r="750" spans="1:11" ht="15">
      <c r="A750" s="30"/>
      <c r="B750" s="30"/>
      <c r="C750" s="30"/>
      <c r="D750" s="30"/>
      <c r="E750" s="30"/>
      <c r="F750" s="30"/>
      <c r="G750" s="30"/>
      <c r="H750" s="30"/>
      <c r="I750" s="30"/>
      <c r="J750" s="30"/>
      <c r="K750" s="30"/>
    </row>
    <row r="751" spans="1:11" ht="15">
      <c r="A751" s="30"/>
      <c r="B751" s="30"/>
      <c r="C751" s="30"/>
      <c r="D751" s="30"/>
      <c r="E751" s="30"/>
      <c r="F751" s="30"/>
      <c r="G751" s="30"/>
      <c r="H751" s="30"/>
      <c r="I751" s="30"/>
      <c r="J751" s="30"/>
      <c r="K751" s="30"/>
    </row>
    <row r="752" spans="1:11" ht="15">
      <c r="A752" s="30"/>
      <c r="B752" s="30"/>
      <c r="C752" s="30"/>
      <c r="D752" s="30"/>
      <c r="E752" s="30"/>
      <c r="F752" s="30"/>
      <c r="G752" s="30"/>
      <c r="H752" s="30"/>
      <c r="I752" s="30"/>
      <c r="J752" s="30"/>
      <c r="K752" s="30"/>
    </row>
    <row r="753" spans="1:11" ht="15">
      <c r="A753" s="30"/>
      <c r="B753" s="30"/>
      <c r="C753" s="30"/>
      <c r="D753" s="30"/>
      <c r="E753" s="30"/>
      <c r="F753" s="30"/>
      <c r="G753" s="30"/>
      <c r="H753" s="30"/>
      <c r="I753" s="30"/>
      <c r="J753" s="30"/>
      <c r="K753" s="30"/>
    </row>
    <row r="754" spans="1:11" ht="15">
      <c r="A754" s="30"/>
      <c r="B754" s="30"/>
      <c r="C754" s="30"/>
      <c r="D754" s="30"/>
      <c r="E754" s="30"/>
      <c r="F754" s="30"/>
      <c r="G754" s="30"/>
      <c r="H754" s="30"/>
      <c r="I754" s="30"/>
      <c r="J754" s="30"/>
      <c r="K754" s="30"/>
    </row>
    <row r="755" spans="1:11" ht="15">
      <c r="A755" s="30"/>
      <c r="B755" s="30"/>
      <c r="C755" s="30"/>
      <c r="D755" s="30"/>
      <c r="E755" s="30"/>
      <c r="F755" s="30"/>
      <c r="G755" s="30"/>
      <c r="H755" s="30"/>
      <c r="I755" s="30"/>
      <c r="J755" s="30"/>
      <c r="K755" s="30"/>
    </row>
    <row r="756" spans="1:11" ht="15">
      <c r="A756" s="30"/>
      <c r="B756" s="30"/>
      <c r="C756" s="30"/>
      <c r="D756" s="30"/>
      <c r="E756" s="30"/>
      <c r="F756" s="30"/>
      <c r="G756" s="30"/>
      <c r="H756" s="30"/>
      <c r="I756" s="30"/>
      <c r="J756" s="30"/>
      <c r="K756" s="30"/>
    </row>
    <row r="757" spans="1:11" ht="15">
      <c r="A757" s="30"/>
      <c r="B757" s="30"/>
      <c r="C757" s="30"/>
      <c r="D757" s="30"/>
      <c r="E757" s="30"/>
      <c r="F757" s="30"/>
      <c r="G757" s="30"/>
      <c r="H757" s="30"/>
      <c r="I757" s="30"/>
      <c r="J757" s="30"/>
      <c r="K757" s="30"/>
    </row>
    <row r="758" spans="1:11" ht="15">
      <c r="A758" s="30"/>
      <c r="B758" s="30"/>
      <c r="C758" s="30"/>
      <c r="D758" s="30"/>
      <c r="E758" s="30"/>
      <c r="F758" s="30"/>
      <c r="G758" s="30"/>
      <c r="H758" s="30"/>
      <c r="I758" s="30"/>
      <c r="J758" s="30"/>
      <c r="K758" s="30"/>
    </row>
    <row r="759" spans="1:11" ht="15">
      <c r="A759" s="30"/>
      <c r="B759" s="30"/>
      <c r="C759" s="30"/>
      <c r="D759" s="30"/>
      <c r="E759" s="30"/>
      <c r="F759" s="30"/>
      <c r="G759" s="30"/>
      <c r="H759" s="30"/>
      <c r="I759" s="30"/>
      <c r="J759" s="30"/>
      <c r="K759" s="30"/>
    </row>
    <row r="760" spans="1:11" ht="15">
      <c r="A760" s="30"/>
      <c r="B760" s="30"/>
      <c r="C760" s="30"/>
      <c r="D760" s="30"/>
      <c r="E760" s="30"/>
      <c r="F760" s="30"/>
      <c r="G760" s="30"/>
      <c r="H760" s="30"/>
      <c r="I760" s="30"/>
      <c r="J760" s="30"/>
      <c r="K760" s="30"/>
    </row>
    <row r="761" spans="1:11" ht="15">
      <c r="A761" s="30"/>
      <c r="B761" s="30"/>
      <c r="C761" s="30"/>
      <c r="D761" s="30"/>
      <c r="E761" s="30"/>
      <c r="F761" s="30"/>
      <c r="G761" s="30"/>
      <c r="H761" s="30"/>
      <c r="I761" s="30"/>
      <c r="J761" s="30"/>
      <c r="K761" s="30"/>
    </row>
    <row r="762" spans="1:11" ht="15">
      <c r="A762" s="30"/>
      <c r="B762" s="30"/>
      <c r="C762" s="30"/>
      <c r="D762" s="30"/>
      <c r="E762" s="30"/>
      <c r="F762" s="30"/>
      <c r="G762" s="30"/>
      <c r="H762" s="30"/>
      <c r="I762" s="30"/>
      <c r="J762" s="30"/>
      <c r="K762" s="30"/>
    </row>
    <row r="763" spans="1:11" ht="15">
      <c r="A763" s="30"/>
      <c r="B763" s="30"/>
      <c r="C763" s="30"/>
      <c r="D763" s="30"/>
      <c r="E763" s="30"/>
      <c r="F763" s="30"/>
      <c r="G763" s="30"/>
      <c r="H763" s="30"/>
      <c r="I763" s="30"/>
      <c r="J763" s="30"/>
      <c r="K763" s="30"/>
    </row>
    <row r="764" spans="1:11" ht="15">
      <c r="A764" s="30"/>
      <c r="B764" s="30"/>
      <c r="C764" s="30"/>
      <c r="D764" s="30"/>
      <c r="E764" s="30"/>
      <c r="F764" s="30"/>
      <c r="G764" s="30"/>
      <c r="H764" s="30"/>
      <c r="I764" s="30"/>
      <c r="J764" s="30"/>
      <c r="K764" s="30"/>
    </row>
    <row r="765" spans="1:11" ht="15">
      <c r="A765" s="30"/>
      <c r="B765" s="30"/>
      <c r="C765" s="30"/>
      <c r="D765" s="30"/>
      <c r="E765" s="30"/>
      <c r="F765" s="30"/>
      <c r="G765" s="30"/>
      <c r="H765" s="30"/>
      <c r="I765" s="30"/>
      <c r="J765" s="30"/>
      <c r="K765" s="30"/>
    </row>
    <row r="766" spans="1:11" ht="15">
      <c r="A766" s="30"/>
      <c r="B766" s="30"/>
      <c r="C766" s="30"/>
      <c r="D766" s="30"/>
      <c r="E766" s="30"/>
      <c r="F766" s="30"/>
      <c r="G766" s="30"/>
      <c r="H766" s="30"/>
      <c r="I766" s="30"/>
      <c r="J766" s="30"/>
      <c r="K766" s="30"/>
    </row>
    <row r="767" spans="1:11" ht="15">
      <c r="A767" s="30"/>
      <c r="B767" s="30"/>
      <c r="C767" s="30"/>
      <c r="D767" s="30"/>
      <c r="E767" s="30"/>
      <c r="F767" s="30"/>
      <c r="G767" s="30"/>
      <c r="H767" s="30"/>
      <c r="I767" s="30"/>
      <c r="J767" s="30"/>
      <c r="K767" s="30"/>
    </row>
    <row r="768" spans="1:11" ht="15">
      <c r="A768" s="30"/>
      <c r="B768" s="30"/>
      <c r="C768" s="30"/>
      <c r="D768" s="30"/>
      <c r="E768" s="30"/>
      <c r="F768" s="30"/>
      <c r="G768" s="30"/>
      <c r="H768" s="30"/>
      <c r="I768" s="30"/>
      <c r="J768" s="30"/>
      <c r="K768" s="30"/>
    </row>
    <row r="769" spans="1:11" ht="15">
      <c r="A769" s="30"/>
      <c r="B769" s="30"/>
      <c r="C769" s="30"/>
      <c r="D769" s="30"/>
      <c r="E769" s="30"/>
      <c r="F769" s="30"/>
      <c r="G769" s="30"/>
      <c r="H769" s="30"/>
      <c r="I769" s="30"/>
      <c r="J769" s="30"/>
      <c r="K769" s="30"/>
    </row>
    <row r="770" spans="1:11" ht="15">
      <c r="A770" s="30"/>
      <c r="B770" s="30"/>
      <c r="C770" s="30"/>
      <c r="D770" s="30"/>
      <c r="E770" s="30"/>
      <c r="F770" s="30"/>
      <c r="G770" s="30"/>
      <c r="H770" s="30"/>
      <c r="I770" s="30"/>
      <c r="J770" s="30"/>
      <c r="K770" s="30"/>
    </row>
    <row r="771" spans="1:11" ht="15">
      <c r="A771" s="30"/>
      <c r="B771" s="30"/>
      <c r="C771" s="30"/>
      <c r="D771" s="30"/>
      <c r="E771" s="30"/>
      <c r="F771" s="30"/>
      <c r="G771" s="30"/>
      <c r="H771" s="30"/>
      <c r="I771" s="30"/>
      <c r="J771" s="30"/>
      <c r="K771" s="30"/>
    </row>
    <row r="772" spans="1:11" ht="15">
      <c r="A772" s="30"/>
      <c r="B772" s="30"/>
      <c r="C772" s="30"/>
      <c r="D772" s="30"/>
      <c r="E772" s="30"/>
      <c r="F772" s="30"/>
      <c r="G772" s="30"/>
      <c r="H772" s="30"/>
      <c r="I772" s="30"/>
      <c r="J772" s="30"/>
      <c r="K772" s="30"/>
    </row>
    <row r="773" spans="1:11" ht="15">
      <c r="A773" s="30"/>
      <c r="B773" s="30"/>
      <c r="C773" s="30"/>
      <c r="D773" s="30"/>
      <c r="E773" s="30"/>
      <c r="F773" s="30"/>
      <c r="G773" s="30"/>
      <c r="H773" s="30"/>
      <c r="I773" s="30"/>
      <c r="J773" s="30"/>
      <c r="K773" s="30"/>
    </row>
    <row r="774" spans="1:11" ht="15">
      <c r="A774" s="30"/>
      <c r="B774" s="30"/>
      <c r="C774" s="30"/>
      <c r="D774" s="30"/>
      <c r="E774" s="30"/>
      <c r="F774" s="30"/>
      <c r="G774" s="30"/>
      <c r="H774" s="30"/>
      <c r="I774" s="30"/>
      <c r="J774" s="30"/>
      <c r="K774" s="30"/>
    </row>
    <row r="775" spans="1:11" ht="15">
      <c r="A775" s="30"/>
      <c r="B775" s="30"/>
      <c r="C775" s="30"/>
      <c r="D775" s="30"/>
      <c r="E775" s="30"/>
      <c r="F775" s="30"/>
      <c r="G775" s="30"/>
      <c r="H775" s="30"/>
      <c r="I775" s="30"/>
      <c r="J775" s="30"/>
      <c r="K775" s="30"/>
    </row>
    <row r="776" spans="1:11" ht="15">
      <c r="A776" s="30"/>
      <c r="B776" s="30"/>
      <c r="C776" s="30"/>
      <c r="D776" s="30"/>
      <c r="E776" s="30"/>
      <c r="F776" s="30"/>
      <c r="G776" s="30"/>
      <c r="H776" s="30"/>
      <c r="I776" s="30"/>
      <c r="J776" s="30"/>
      <c r="K776" s="30"/>
    </row>
    <row r="777" spans="1:11" ht="15">
      <c r="A777" s="30"/>
      <c r="B777" s="30"/>
      <c r="C777" s="30"/>
      <c r="D777" s="30"/>
      <c r="E777" s="30"/>
      <c r="F777" s="30"/>
      <c r="G777" s="30"/>
      <c r="H777" s="30"/>
      <c r="I777" s="30"/>
      <c r="J777" s="30"/>
      <c r="K777" s="30"/>
    </row>
    <row r="778" spans="1:11" ht="15">
      <c r="A778" s="30"/>
      <c r="B778" s="30"/>
      <c r="C778" s="30"/>
      <c r="D778" s="30"/>
      <c r="E778" s="30"/>
      <c r="F778" s="30"/>
      <c r="G778" s="30"/>
      <c r="H778" s="30"/>
      <c r="I778" s="30"/>
      <c r="J778" s="30"/>
      <c r="K778" s="30"/>
    </row>
    <row r="779" spans="1:11" ht="15">
      <c r="A779" s="30"/>
      <c r="B779" s="30"/>
      <c r="C779" s="30"/>
      <c r="D779" s="30"/>
      <c r="E779" s="30"/>
      <c r="F779" s="30"/>
      <c r="G779" s="30"/>
      <c r="H779" s="30"/>
      <c r="I779" s="30"/>
      <c r="J779" s="30"/>
      <c r="K779" s="30"/>
    </row>
    <row r="780" spans="1:11" ht="15">
      <c r="A780" s="30"/>
      <c r="B780" s="30"/>
      <c r="C780" s="30"/>
      <c r="D780" s="30"/>
      <c r="E780" s="30"/>
      <c r="F780" s="30"/>
      <c r="G780" s="30"/>
      <c r="H780" s="30"/>
      <c r="I780" s="30"/>
      <c r="J780" s="30"/>
      <c r="K780" s="30"/>
    </row>
    <row r="781" spans="1:11" ht="15">
      <c r="A781" s="30"/>
      <c r="B781" s="30"/>
      <c r="C781" s="30"/>
      <c r="D781" s="30"/>
      <c r="E781" s="30"/>
      <c r="F781" s="30"/>
      <c r="G781" s="30"/>
      <c r="H781" s="30"/>
      <c r="I781" s="30"/>
      <c r="J781" s="30"/>
      <c r="K781" s="30"/>
    </row>
    <row r="782" spans="1:11" ht="15">
      <c r="A782" s="30"/>
      <c r="B782" s="30"/>
      <c r="C782" s="30"/>
      <c r="D782" s="30"/>
      <c r="E782" s="30"/>
      <c r="F782" s="30"/>
      <c r="G782" s="30"/>
      <c r="H782" s="30"/>
      <c r="I782" s="30"/>
      <c r="J782" s="30"/>
      <c r="K782" s="30"/>
    </row>
    <row r="783" spans="1:11" ht="15">
      <c r="A783" s="30"/>
      <c r="B783" s="30"/>
      <c r="C783" s="30"/>
      <c r="D783" s="30"/>
      <c r="E783" s="30"/>
      <c r="F783" s="30"/>
      <c r="G783" s="30"/>
      <c r="H783" s="30"/>
      <c r="I783" s="30"/>
      <c r="J783" s="30"/>
      <c r="K783" s="30"/>
    </row>
    <row r="784" spans="1:11" ht="15">
      <c r="A784" s="30"/>
      <c r="B784" s="30"/>
      <c r="C784" s="30"/>
      <c r="D784" s="30"/>
      <c r="E784" s="30"/>
      <c r="F784" s="30"/>
      <c r="G784" s="30"/>
      <c r="H784" s="30"/>
      <c r="I784" s="30"/>
      <c r="J784" s="30"/>
      <c r="K784" s="30"/>
    </row>
    <row r="785" spans="1:11" ht="15">
      <c r="A785" s="30"/>
      <c r="B785" s="30"/>
      <c r="C785" s="30"/>
      <c r="D785" s="30"/>
      <c r="E785" s="30"/>
      <c r="F785" s="30"/>
      <c r="G785" s="30"/>
      <c r="H785" s="30"/>
      <c r="I785" s="30"/>
      <c r="J785" s="30"/>
      <c r="K785" s="30"/>
    </row>
    <row r="786" spans="1:11" ht="15">
      <c r="A786" s="30"/>
      <c r="B786" s="30"/>
      <c r="C786" s="30"/>
      <c r="D786" s="30"/>
      <c r="E786" s="30"/>
      <c r="F786" s="30"/>
      <c r="G786" s="30"/>
      <c r="H786" s="30"/>
      <c r="I786" s="30"/>
      <c r="J786" s="30"/>
      <c r="K786" s="30"/>
    </row>
    <row r="787" spans="1:11" ht="15">
      <c r="A787" s="30"/>
      <c r="B787" s="30"/>
      <c r="C787" s="30"/>
      <c r="D787" s="30"/>
      <c r="E787" s="30"/>
      <c r="F787" s="30"/>
      <c r="G787" s="30"/>
      <c r="H787" s="30"/>
      <c r="I787" s="30"/>
      <c r="J787" s="30"/>
      <c r="K787" s="30"/>
    </row>
    <row r="788" spans="1:11" ht="15">
      <c r="A788" s="30"/>
      <c r="B788" s="30"/>
      <c r="C788" s="30"/>
      <c r="D788" s="30"/>
      <c r="E788" s="30"/>
      <c r="F788" s="30"/>
      <c r="G788" s="30"/>
      <c r="H788" s="30"/>
      <c r="I788" s="30"/>
      <c r="J788" s="30"/>
      <c r="K788" s="30"/>
    </row>
    <row r="789" spans="1:11" ht="15">
      <c r="A789" s="30"/>
      <c r="B789" s="30"/>
      <c r="C789" s="30"/>
      <c r="D789" s="30"/>
      <c r="E789" s="30"/>
      <c r="F789" s="30"/>
      <c r="G789" s="30"/>
      <c r="H789" s="30"/>
      <c r="I789" s="30"/>
      <c r="J789" s="30"/>
      <c r="K789" s="30"/>
    </row>
    <row r="790" spans="1:11" ht="15">
      <c r="A790" s="30"/>
      <c r="B790" s="30"/>
      <c r="C790" s="30"/>
      <c r="D790" s="30"/>
      <c r="E790" s="30"/>
      <c r="F790" s="30"/>
      <c r="G790" s="30"/>
      <c r="H790" s="30"/>
      <c r="I790" s="30"/>
      <c r="J790" s="30"/>
      <c r="K790" s="30"/>
    </row>
    <row r="791" spans="1:11" ht="15">
      <c r="A791" s="30"/>
      <c r="B791" s="30"/>
      <c r="C791" s="30"/>
      <c r="D791" s="30"/>
      <c r="E791" s="30"/>
      <c r="F791" s="30"/>
      <c r="G791" s="30"/>
      <c r="H791" s="30"/>
      <c r="I791" s="30"/>
      <c r="J791" s="30"/>
      <c r="K791" s="30"/>
    </row>
    <row r="792" spans="1:11" ht="15">
      <c r="A792" s="30"/>
      <c r="B792" s="30"/>
      <c r="C792" s="30"/>
      <c r="D792" s="30"/>
      <c r="E792" s="30"/>
      <c r="F792" s="30"/>
      <c r="G792" s="30"/>
      <c r="H792" s="30"/>
      <c r="I792" s="30"/>
      <c r="J792" s="30"/>
      <c r="K792" s="30"/>
    </row>
    <row r="793" spans="1:11" ht="15">
      <c r="A793" s="30"/>
      <c r="B793" s="30"/>
      <c r="C793" s="30"/>
      <c r="D793" s="30"/>
      <c r="E793" s="30"/>
      <c r="F793" s="30"/>
      <c r="G793" s="30"/>
      <c r="H793" s="30"/>
      <c r="I793" s="30"/>
      <c r="J793" s="30"/>
      <c r="K793" s="30"/>
    </row>
    <row r="794" spans="1:11" ht="15">
      <c r="A794" s="30"/>
      <c r="B794" s="30"/>
      <c r="C794" s="30"/>
      <c r="D794" s="30"/>
      <c r="E794" s="30"/>
      <c r="F794" s="30"/>
      <c r="G794" s="30"/>
      <c r="H794" s="30"/>
      <c r="I794" s="30"/>
      <c r="J794" s="30"/>
      <c r="K794" s="30"/>
    </row>
    <row r="795" spans="1:11" ht="15">
      <c r="A795" s="30"/>
      <c r="B795" s="30"/>
      <c r="C795" s="30"/>
      <c r="D795" s="30"/>
      <c r="E795" s="30"/>
      <c r="F795" s="30"/>
      <c r="G795" s="30"/>
      <c r="H795" s="30"/>
      <c r="I795" s="30"/>
      <c r="J795" s="30"/>
      <c r="K795" s="30"/>
    </row>
    <row r="796" spans="1:11" ht="15">
      <c r="A796" s="30"/>
      <c r="B796" s="30"/>
      <c r="C796" s="30"/>
      <c r="D796" s="30"/>
      <c r="E796" s="30"/>
      <c r="F796" s="30"/>
      <c r="G796" s="30"/>
      <c r="H796" s="30"/>
      <c r="I796" s="30"/>
      <c r="J796" s="30"/>
      <c r="K796" s="30"/>
    </row>
    <row r="797" spans="1:11" ht="15">
      <c r="A797" s="30"/>
      <c r="B797" s="30"/>
      <c r="C797" s="30"/>
      <c r="D797" s="30"/>
      <c r="E797" s="30"/>
      <c r="F797" s="30"/>
      <c r="G797" s="30"/>
      <c r="H797" s="30"/>
      <c r="I797" s="30"/>
      <c r="J797" s="30"/>
      <c r="K797" s="30"/>
    </row>
    <row r="798" spans="1:11" ht="15">
      <c r="A798" s="30"/>
      <c r="B798" s="30"/>
      <c r="C798" s="30"/>
      <c r="D798" s="30"/>
      <c r="E798" s="30"/>
      <c r="F798" s="30"/>
      <c r="G798" s="30"/>
      <c r="H798" s="30"/>
      <c r="I798" s="30"/>
      <c r="J798" s="30"/>
      <c r="K798" s="30"/>
    </row>
    <row r="799" spans="1:11" ht="15">
      <c r="A799" s="30"/>
      <c r="B799" s="30"/>
      <c r="C799" s="30"/>
      <c r="D799" s="30"/>
      <c r="E799" s="30"/>
      <c r="F799" s="30"/>
      <c r="G799" s="30"/>
      <c r="H799" s="30"/>
      <c r="I799" s="30"/>
      <c r="J799" s="30"/>
      <c r="K799" s="30"/>
    </row>
    <row r="800" spans="1:11" ht="15">
      <c r="A800" s="30"/>
      <c r="B800" s="30"/>
      <c r="C800" s="30"/>
      <c r="D800" s="30"/>
      <c r="E800" s="30"/>
      <c r="F800" s="30"/>
      <c r="G800" s="30"/>
      <c r="H800" s="30"/>
      <c r="I800" s="30"/>
      <c r="J800" s="30"/>
      <c r="K800" s="30"/>
    </row>
    <row r="801" spans="1:11" ht="15">
      <c r="A801" s="30"/>
      <c r="B801" s="30"/>
      <c r="C801" s="30"/>
      <c r="D801" s="30"/>
      <c r="E801" s="30"/>
      <c r="F801" s="30"/>
      <c r="G801" s="30"/>
      <c r="H801" s="30"/>
      <c r="I801" s="30"/>
      <c r="J801" s="30"/>
      <c r="K801" s="30"/>
    </row>
    <row r="802" spans="1:11" ht="15">
      <c r="A802" s="30"/>
      <c r="B802" s="30"/>
      <c r="C802" s="30"/>
      <c r="D802" s="30"/>
      <c r="E802" s="30"/>
      <c r="F802" s="30"/>
      <c r="G802" s="30"/>
      <c r="H802" s="30"/>
      <c r="I802" s="30"/>
      <c r="J802" s="30"/>
      <c r="K802" s="30"/>
    </row>
    <row r="803" spans="1:11" ht="15">
      <c r="A803" s="30"/>
      <c r="B803" s="30"/>
      <c r="C803" s="30"/>
      <c r="D803" s="30"/>
      <c r="E803" s="30"/>
      <c r="F803" s="30"/>
      <c r="G803" s="30"/>
      <c r="H803" s="30"/>
      <c r="I803" s="30"/>
      <c r="J803" s="30"/>
      <c r="K803" s="30"/>
    </row>
    <row r="804" spans="1:11" ht="15">
      <c r="A804" s="30"/>
      <c r="B804" s="30"/>
      <c r="C804" s="30"/>
      <c r="D804" s="30"/>
      <c r="E804" s="30"/>
      <c r="F804" s="30"/>
      <c r="G804" s="30"/>
      <c r="H804" s="30"/>
      <c r="I804" s="30"/>
      <c r="J804" s="30"/>
      <c r="K804" s="30"/>
    </row>
    <row r="805" spans="1:11" ht="15">
      <c r="A805" s="30"/>
      <c r="B805" s="30"/>
      <c r="C805" s="30"/>
      <c r="D805" s="30"/>
      <c r="E805" s="30"/>
      <c r="F805" s="30"/>
      <c r="G805" s="30"/>
      <c r="H805" s="30"/>
      <c r="I805" s="30"/>
      <c r="J805" s="30"/>
      <c r="K805" s="30"/>
    </row>
    <row r="806" spans="1:11" ht="15">
      <c r="A806" s="30"/>
      <c r="B806" s="30"/>
      <c r="C806" s="30"/>
      <c r="D806" s="30"/>
      <c r="E806" s="30"/>
      <c r="F806" s="30"/>
      <c r="G806" s="30"/>
      <c r="H806" s="30"/>
      <c r="I806" s="30"/>
      <c r="J806" s="30"/>
      <c r="K806" s="30"/>
    </row>
    <row r="807" spans="1:11" ht="15">
      <c r="A807" s="30"/>
      <c r="B807" s="30"/>
      <c r="C807" s="30"/>
      <c r="D807" s="30"/>
      <c r="E807" s="30"/>
      <c r="F807" s="30"/>
      <c r="G807" s="30"/>
      <c r="H807" s="30"/>
      <c r="I807" s="30"/>
      <c r="J807" s="30"/>
      <c r="K807" s="30"/>
    </row>
    <row r="808" spans="1:11" ht="15">
      <c r="A808" s="30"/>
      <c r="B808" s="30"/>
      <c r="C808" s="30"/>
      <c r="D808" s="30"/>
      <c r="E808" s="30"/>
      <c r="F808" s="30"/>
      <c r="G808" s="30"/>
      <c r="H808" s="30"/>
      <c r="I808" s="30"/>
      <c r="J808" s="30"/>
      <c r="K808" s="30"/>
    </row>
    <row r="809" spans="1:11" ht="15">
      <c r="A809" s="30"/>
      <c r="B809" s="30"/>
      <c r="C809" s="30"/>
      <c r="D809" s="30"/>
      <c r="E809" s="30"/>
      <c r="F809" s="30"/>
      <c r="G809" s="30"/>
      <c r="H809" s="30"/>
      <c r="I809" s="30"/>
      <c r="J809" s="30"/>
      <c r="K809" s="30"/>
    </row>
    <row r="810" spans="1:11" ht="15">
      <c r="A810" s="30"/>
      <c r="B810" s="30"/>
      <c r="C810" s="30"/>
      <c r="D810" s="30"/>
      <c r="E810" s="30"/>
      <c r="F810" s="30"/>
      <c r="G810" s="30"/>
      <c r="H810" s="30"/>
      <c r="I810" s="30"/>
      <c r="J810" s="30"/>
      <c r="K810" s="30"/>
    </row>
    <row r="811" spans="1:11" ht="15">
      <c r="A811" s="30"/>
      <c r="B811" s="30"/>
      <c r="C811" s="30"/>
      <c r="D811" s="30"/>
      <c r="E811" s="30"/>
      <c r="F811" s="30"/>
      <c r="G811" s="30"/>
      <c r="H811" s="30"/>
      <c r="I811" s="30"/>
      <c r="J811" s="30"/>
      <c r="K811" s="30"/>
    </row>
    <row r="812" spans="1:11" ht="15">
      <c r="A812" s="30"/>
      <c r="B812" s="30"/>
      <c r="C812" s="30"/>
      <c r="D812" s="30"/>
      <c r="E812" s="30"/>
      <c r="F812" s="30"/>
      <c r="G812" s="30"/>
      <c r="H812" s="30"/>
      <c r="I812" s="30"/>
      <c r="J812" s="30"/>
      <c r="K812" s="30"/>
    </row>
    <row r="813" spans="1:11" ht="15">
      <c r="A813" s="30"/>
      <c r="B813" s="30"/>
      <c r="C813" s="30"/>
      <c r="D813" s="30"/>
      <c r="E813" s="30"/>
      <c r="F813" s="30"/>
      <c r="G813" s="30"/>
      <c r="H813" s="30"/>
      <c r="I813" s="30"/>
      <c r="J813" s="30"/>
      <c r="K813" s="30"/>
    </row>
    <row r="814" spans="1:11" ht="15">
      <c r="A814" s="30"/>
      <c r="B814" s="30"/>
      <c r="C814" s="30"/>
      <c r="D814" s="30"/>
      <c r="E814" s="30"/>
      <c r="F814" s="30"/>
      <c r="G814" s="30"/>
      <c r="H814" s="30"/>
      <c r="I814" s="30"/>
      <c r="J814" s="30"/>
      <c r="K814" s="30"/>
    </row>
    <row r="815" spans="1:11" ht="15">
      <c r="A815" s="30"/>
      <c r="B815" s="30"/>
      <c r="C815" s="30"/>
      <c r="D815" s="30"/>
      <c r="E815" s="30"/>
      <c r="F815" s="30"/>
      <c r="G815" s="30"/>
      <c r="H815" s="30"/>
      <c r="I815" s="30"/>
      <c r="J815" s="30"/>
      <c r="K815" s="30"/>
    </row>
    <row r="816" spans="1:11" ht="15">
      <c r="A816" s="30"/>
      <c r="B816" s="30"/>
      <c r="C816" s="30"/>
      <c r="D816" s="30"/>
      <c r="E816" s="30"/>
      <c r="F816" s="30"/>
      <c r="G816" s="30"/>
      <c r="H816" s="30"/>
      <c r="I816" s="30"/>
      <c r="J816" s="30"/>
      <c r="K816" s="30"/>
    </row>
    <row r="817" spans="1:11" ht="15">
      <c r="A817" s="30"/>
      <c r="B817" s="30"/>
      <c r="C817" s="30"/>
      <c r="D817" s="30"/>
      <c r="E817" s="30"/>
      <c r="F817" s="30"/>
      <c r="G817" s="30"/>
      <c r="H817" s="30"/>
      <c r="I817" s="30"/>
      <c r="J817" s="30"/>
      <c r="K817" s="30"/>
    </row>
    <row r="818" spans="1:11" ht="15">
      <c r="A818" s="30"/>
      <c r="B818" s="30"/>
      <c r="C818" s="30"/>
      <c r="D818" s="30"/>
      <c r="E818" s="30"/>
      <c r="F818" s="30"/>
      <c r="G818" s="30"/>
      <c r="H818" s="30"/>
      <c r="I818" s="30"/>
      <c r="J818" s="30"/>
      <c r="K818" s="30"/>
    </row>
    <row r="819" spans="1:11" ht="15">
      <c r="A819" s="30"/>
      <c r="B819" s="30"/>
      <c r="C819" s="30"/>
      <c r="D819" s="30"/>
      <c r="E819" s="30"/>
      <c r="F819" s="30"/>
      <c r="G819" s="30"/>
      <c r="H819" s="30"/>
      <c r="I819" s="30"/>
      <c r="J819" s="30"/>
      <c r="K819" s="30"/>
    </row>
    <row r="820" spans="1:11" ht="15">
      <c r="A820" s="30"/>
      <c r="B820" s="30"/>
      <c r="C820" s="30"/>
      <c r="D820" s="30"/>
      <c r="E820" s="30"/>
      <c r="F820" s="30"/>
      <c r="G820" s="30"/>
      <c r="H820" s="30"/>
      <c r="I820" s="30"/>
      <c r="J820" s="30"/>
      <c r="K820" s="30"/>
    </row>
    <row r="821" spans="1:11" ht="15">
      <c r="A821" s="30"/>
      <c r="B821" s="30"/>
      <c r="C821" s="30"/>
      <c r="D821" s="30"/>
      <c r="E821" s="30"/>
      <c r="F821" s="30"/>
      <c r="G821" s="30"/>
      <c r="H821" s="30"/>
      <c r="I821" s="30"/>
      <c r="J821" s="30"/>
      <c r="K821" s="30"/>
    </row>
    <row r="822" spans="1:11" ht="15">
      <c r="A822" s="30"/>
      <c r="B822" s="30"/>
      <c r="C822" s="30"/>
      <c r="D822" s="30"/>
      <c r="E822" s="30"/>
      <c r="F822" s="30"/>
      <c r="G822" s="30"/>
      <c r="H822" s="30"/>
      <c r="I822" s="30"/>
      <c r="J822" s="30"/>
      <c r="K822" s="30"/>
    </row>
    <row r="823" spans="1:11" ht="15">
      <c r="A823" s="30"/>
      <c r="B823" s="30"/>
      <c r="C823" s="30"/>
      <c r="D823" s="30"/>
      <c r="E823" s="30"/>
      <c r="F823" s="30"/>
      <c r="G823" s="30"/>
      <c r="H823" s="30"/>
      <c r="I823" s="30"/>
      <c r="J823" s="30"/>
      <c r="K823" s="30"/>
    </row>
    <row r="824" spans="1:11" ht="15">
      <c r="A824" s="30"/>
      <c r="B824" s="30"/>
      <c r="C824" s="30"/>
      <c r="D824" s="30"/>
      <c r="E824" s="30"/>
      <c r="F824" s="30"/>
      <c r="G824" s="30"/>
      <c r="H824" s="30"/>
      <c r="I824" s="30"/>
      <c r="J824" s="30"/>
      <c r="K824" s="30"/>
    </row>
    <row r="825" spans="1:11" ht="15">
      <c r="A825" s="30"/>
      <c r="B825" s="30"/>
      <c r="C825" s="30"/>
      <c r="D825" s="30"/>
      <c r="E825" s="30"/>
      <c r="F825" s="30"/>
      <c r="G825" s="30"/>
      <c r="H825" s="30"/>
      <c r="I825" s="30"/>
      <c r="J825" s="30"/>
      <c r="K825" s="30"/>
    </row>
    <row r="826" spans="1:11" ht="15">
      <c r="A826" s="30"/>
      <c r="B826" s="30"/>
      <c r="C826" s="30"/>
      <c r="D826" s="30"/>
      <c r="E826" s="30"/>
      <c r="F826" s="30"/>
      <c r="G826" s="30"/>
      <c r="H826" s="30"/>
      <c r="I826" s="30"/>
      <c r="J826" s="30"/>
      <c r="K826" s="30"/>
    </row>
    <row r="827" spans="1:11" ht="15">
      <c r="A827" s="30"/>
      <c r="B827" s="30"/>
      <c r="C827" s="30"/>
      <c r="D827" s="30"/>
      <c r="E827" s="30"/>
      <c r="F827" s="30"/>
      <c r="G827" s="30"/>
      <c r="H827" s="30"/>
      <c r="I827" s="30"/>
      <c r="J827" s="30"/>
      <c r="K827" s="30"/>
    </row>
    <row r="828" spans="1:11" ht="15">
      <c r="A828" s="30"/>
      <c r="B828" s="30"/>
      <c r="C828" s="30"/>
      <c r="D828" s="30"/>
      <c r="E828" s="30"/>
      <c r="F828" s="30"/>
      <c r="G828" s="30"/>
      <c r="H828" s="30"/>
      <c r="I828" s="30"/>
      <c r="J828" s="30"/>
      <c r="K828" s="30"/>
    </row>
    <row r="829" spans="1:11" ht="15">
      <c r="A829" s="30"/>
      <c r="B829" s="30"/>
      <c r="C829" s="30"/>
      <c r="D829" s="30"/>
      <c r="E829" s="30"/>
      <c r="F829" s="30"/>
      <c r="G829" s="30"/>
      <c r="H829" s="30"/>
      <c r="I829" s="30"/>
      <c r="J829" s="30"/>
      <c r="K829" s="30"/>
    </row>
    <row r="830" spans="1:11" ht="15">
      <c r="A830" s="30"/>
      <c r="B830" s="30"/>
      <c r="C830" s="30"/>
      <c r="D830" s="30"/>
      <c r="E830" s="30"/>
      <c r="F830" s="30"/>
      <c r="G830" s="30"/>
      <c r="H830" s="30"/>
      <c r="I830" s="30"/>
      <c r="J830" s="30"/>
      <c r="K830" s="30"/>
    </row>
    <row r="831" spans="1:11" ht="15">
      <c r="A831" s="30"/>
      <c r="B831" s="30"/>
      <c r="C831" s="30"/>
      <c r="D831" s="30"/>
      <c r="E831" s="30"/>
      <c r="F831" s="30"/>
      <c r="G831" s="30"/>
      <c r="H831" s="30"/>
      <c r="I831" s="30"/>
      <c r="J831" s="30"/>
      <c r="K831" s="30"/>
    </row>
    <row r="832" spans="1:11" ht="15">
      <c r="A832" s="30"/>
      <c r="B832" s="30"/>
      <c r="C832" s="30"/>
      <c r="D832" s="30"/>
      <c r="E832" s="30"/>
      <c r="F832" s="30"/>
      <c r="G832" s="30"/>
      <c r="H832" s="30"/>
      <c r="I832" s="30"/>
      <c r="J832" s="30"/>
      <c r="K832" s="30"/>
    </row>
    <row r="833" spans="1:11" ht="15">
      <c r="A833" s="30"/>
      <c r="B833" s="30"/>
      <c r="C833" s="30"/>
      <c r="D833" s="30"/>
      <c r="E833" s="30"/>
      <c r="F833" s="30"/>
      <c r="G833" s="30"/>
      <c r="H833" s="30"/>
      <c r="I833" s="30"/>
      <c r="J833" s="30"/>
      <c r="K833" s="30"/>
    </row>
    <row r="834" spans="1:11" ht="15">
      <c r="A834" s="30"/>
      <c r="B834" s="30"/>
      <c r="C834" s="30"/>
      <c r="D834" s="30"/>
      <c r="E834" s="30"/>
      <c r="F834" s="30"/>
      <c r="G834" s="30"/>
      <c r="H834" s="30"/>
      <c r="I834" s="30"/>
      <c r="J834" s="30"/>
      <c r="K834" s="30"/>
    </row>
    <row r="835" spans="1:11" ht="15">
      <c r="A835" s="30"/>
      <c r="B835" s="30"/>
      <c r="C835" s="30"/>
      <c r="D835" s="30"/>
      <c r="E835" s="30"/>
      <c r="F835" s="30"/>
      <c r="G835" s="30"/>
      <c r="H835" s="30"/>
      <c r="I835" s="30"/>
      <c r="J835" s="30"/>
      <c r="K835" s="30"/>
    </row>
    <row r="836" spans="1:11" ht="15">
      <c r="A836" s="30"/>
      <c r="B836" s="30"/>
      <c r="C836" s="30"/>
      <c r="D836" s="30"/>
      <c r="E836" s="30"/>
      <c r="F836" s="30"/>
      <c r="G836" s="30"/>
      <c r="H836" s="30"/>
      <c r="I836" s="30"/>
      <c r="J836" s="30"/>
      <c r="K836" s="30"/>
    </row>
    <row r="837" spans="1:11" ht="15">
      <c r="A837" s="30"/>
      <c r="B837" s="30"/>
      <c r="C837" s="30"/>
      <c r="D837" s="30"/>
      <c r="E837" s="30"/>
      <c r="F837" s="30"/>
      <c r="G837" s="30"/>
      <c r="H837" s="30"/>
      <c r="I837" s="30"/>
      <c r="J837" s="30"/>
      <c r="K837" s="30"/>
    </row>
    <row r="838" spans="1:11" ht="15">
      <c r="A838" s="30"/>
      <c r="B838" s="30"/>
      <c r="C838" s="30"/>
      <c r="D838" s="30"/>
      <c r="E838" s="30"/>
      <c r="F838" s="30"/>
      <c r="G838" s="30"/>
      <c r="H838" s="30"/>
      <c r="I838" s="30"/>
      <c r="J838" s="30"/>
      <c r="K838" s="30"/>
    </row>
    <row r="839" spans="1:11" ht="15">
      <c r="A839" s="30"/>
      <c r="B839" s="30"/>
      <c r="C839" s="30"/>
      <c r="D839" s="30"/>
      <c r="E839" s="30"/>
      <c r="F839" s="30"/>
      <c r="G839" s="30"/>
      <c r="H839" s="30"/>
      <c r="I839" s="30"/>
      <c r="J839" s="30"/>
      <c r="K839" s="30"/>
    </row>
    <row r="840" spans="1:11" ht="15">
      <c r="A840" s="30"/>
      <c r="B840" s="30"/>
      <c r="C840" s="30"/>
      <c r="D840" s="30"/>
      <c r="E840" s="30"/>
      <c r="F840" s="30"/>
      <c r="G840" s="30"/>
      <c r="H840" s="30"/>
      <c r="I840" s="30"/>
      <c r="J840" s="30"/>
      <c r="K840" s="30"/>
    </row>
    <row r="841" spans="1:11" ht="15">
      <c r="A841" s="30"/>
      <c r="B841" s="30"/>
      <c r="C841" s="30"/>
      <c r="D841" s="30"/>
      <c r="E841" s="30"/>
      <c r="F841" s="30"/>
      <c r="G841" s="30"/>
      <c r="H841" s="30"/>
      <c r="I841" s="30"/>
      <c r="J841" s="30"/>
      <c r="K841" s="30"/>
    </row>
    <row r="842" spans="1:11" ht="15">
      <c r="A842" s="30"/>
      <c r="B842" s="30"/>
      <c r="C842" s="30"/>
      <c r="D842" s="30"/>
      <c r="E842" s="30"/>
      <c r="F842" s="30"/>
      <c r="G842" s="30"/>
      <c r="H842" s="30"/>
      <c r="I842" s="30"/>
      <c r="J842" s="30"/>
      <c r="K842" s="30"/>
    </row>
    <row r="843" spans="1:11" ht="15">
      <c r="A843" s="30"/>
      <c r="B843" s="30"/>
      <c r="C843" s="30"/>
      <c r="D843" s="30"/>
      <c r="E843" s="30"/>
      <c r="F843" s="30"/>
      <c r="G843" s="30"/>
      <c r="H843" s="30"/>
      <c r="I843" s="30"/>
      <c r="J843" s="30"/>
      <c r="K843" s="30"/>
    </row>
    <row r="844" spans="1:11" ht="15">
      <c r="A844" s="30"/>
      <c r="B844" s="30"/>
      <c r="C844" s="30"/>
      <c r="D844" s="30"/>
      <c r="E844" s="30"/>
      <c r="F844" s="30"/>
      <c r="G844" s="30"/>
      <c r="H844" s="30"/>
      <c r="I844" s="30"/>
      <c r="J844" s="30"/>
      <c r="K844" s="30"/>
    </row>
    <row r="845" spans="1:11" ht="15">
      <c r="A845" s="30"/>
      <c r="B845" s="30"/>
      <c r="C845" s="30"/>
      <c r="D845" s="30"/>
      <c r="E845" s="30"/>
      <c r="F845" s="30"/>
      <c r="G845" s="30"/>
      <c r="H845" s="30"/>
      <c r="I845" s="30"/>
      <c r="J845" s="30"/>
      <c r="K845" s="30"/>
    </row>
    <row r="846" spans="1:11" ht="15">
      <c r="A846" s="30"/>
      <c r="B846" s="30"/>
      <c r="C846" s="30"/>
      <c r="D846" s="30"/>
      <c r="E846" s="30"/>
      <c r="F846" s="30"/>
      <c r="G846" s="30"/>
      <c r="H846" s="30"/>
      <c r="I846" s="30"/>
      <c r="J846" s="30"/>
      <c r="K846" s="30"/>
    </row>
    <row r="847" spans="1:11" ht="15">
      <c r="A847" s="30"/>
      <c r="B847" s="30"/>
      <c r="C847" s="30"/>
      <c r="D847" s="30"/>
      <c r="E847" s="30"/>
      <c r="F847" s="30"/>
      <c r="G847" s="30"/>
      <c r="H847" s="30"/>
      <c r="I847" s="30"/>
      <c r="J847" s="30"/>
      <c r="K847" s="30"/>
    </row>
    <row r="848" spans="1:11" ht="15">
      <c r="A848" s="30"/>
      <c r="B848" s="30"/>
      <c r="C848" s="30"/>
      <c r="D848" s="30"/>
      <c r="E848" s="30"/>
      <c r="F848" s="30"/>
      <c r="G848" s="30"/>
      <c r="H848" s="30"/>
      <c r="I848" s="30"/>
      <c r="J848" s="30"/>
      <c r="K848" s="30"/>
    </row>
    <row r="849" spans="1:11" ht="15">
      <c r="A849" s="30"/>
      <c r="B849" s="30"/>
      <c r="C849" s="30"/>
      <c r="D849" s="30"/>
      <c r="E849" s="30"/>
      <c r="F849" s="30"/>
      <c r="G849" s="30"/>
      <c r="H849" s="30"/>
      <c r="I849" s="30"/>
      <c r="J849" s="30"/>
      <c r="K849" s="30"/>
    </row>
    <row r="850" spans="1:11" ht="15">
      <c r="A850" s="30"/>
      <c r="B850" s="30"/>
      <c r="C850" s="30"/>
      <c r="D850" s="30"/>
      <c r="E850" s="30"/>
      <c r="F850" s="30"/>
      <c r="G850" s="30"/>
      <c r="H850" s="30"/>
      <c r="I850" s="30"/>
      <c r="J850" s="30"/>
      <c r="K850" s="30"/>
    </row>
    <row r="851" spans="1:11" ht="15">
      <c r="A851" s="30"/>
      <c r="B851" s="30"/>
      <c r="C851" s="30"/>
      <c r="D851" s="30"/>
      <c r="E851" s="30"/>
      <c r="F851" s="30"/>
      <c r="G851" s="30"/>
      <c r="H851" s="30"/>
      <c r="I851" s="30"/>
      <c r="J851" s="30"/>
      <c r="K851" s="30"/>
    </row>
    <row r="852" spans="1:11" ht="15">
      <c r="A852" s="30"/>
      <c r="B852" s="30"/>
      <c r="C852" s="30"/>
      <c r="D852" s="30"/>
      <c r="E852" s="30"/>
      <c r="F852" s="30"/>
      <c r="G852" s="30"/>
      <c r="H852" s="30"/>
      <c r="I852" s="30"/>
      <c r="J852" s="30"/>
      <c r="K852" s="30"/>
    </row>
    <row r="853" spans="1:11" ht="15">
      <c r="A853" s="30"/>
      <c r="B853" s="30"/>
      <c r="C853" s="30"/>
      <c r="D853" s="30"/>
      <c r="E853" s="30"/>
      <c r="F853" s="30"/>
      <c r="G853" s="30"/>
      <c r="H853" s="30"/>
      <c r="I853" s="30"/>
      <c r="J853" s="30"/>
      <c r="K853" s="30"/>
    </row>
    <row r="854" spans="1:11" ht="15">
      <c r="A854" s="30"/>
      <c r="B854" s="30"/>
      <c r="C854" s="30"/>
      <c r="D854" s="30"/>
      <c r="E854" s="30"/>
      <c r="F854" s="30"/>
      <c r="G854" s="30"/>
      <c r="H854" s="30"/>
      <c r="I854" s="30"/>
      <c r="J854" s="30"/>
      <c r="K854" s="30"/>
    </row>
    <row r="855" spans="1:11" ht="15">
      <c r="A855" s="30"/>
      <c r="B855" s="30"/>
      <c r="C855" s="30"/>
      <c r="D855" s="30"/>
      <c r="E855" s="30"/>
      <c r="F855" s="30"/>
      <c r="G855" s="30"/>
      <c r="H855" s="30"/>
      <c r="I855" s="30"/>
      <c r="J855" s="30"/>
      <c r="K855" s="30"/>
    </row>
    <row r="856" spans="1:11" ht="15">
      <c r="A856" s="30"/>
      <c r="B856" s="30"/>
      <c r="C856" s="30"/>
      <c r="D856" s="30"/>
      <c r="E856" s="30"/>
      <c r="F856" s="30"/>
      <c r="G856" s="30"/>
      <c r="H856" s="30"/>
      <c r="I856" s="30"/>
      <c r="J856" s="30"/>
      <c r="K856" s="30"/>
    </row>
    <row r="857" spans="1:11" ht="15">
      <c r="A857" s="30"/>
      <c r="B857" s="30"/>
      <c r="C857" s="30"/>
      <c r="D857" s="30"/>
      <c r="E857" s="30"/>
      <c r="F857" s="30"/>
      <c r="G857" s="30"/>
      <c r="H857" s="30"/>
      <c r="I857" s="30"/>
      <c r="J857" s="30"/>
      <c r="K857" s="30"/>
    </row>
    <row r="858" spans="1:11" ht="15">
      <c r="A858" s="30"/>
      <c r="B858" s="30"/>
      <c r="C858" s="30"/>
      <c r="D858" s="30"/>
      <c r="E858" s="30"/>
      <c r="F858" s="30"/>
      <c r="G858" s="30"/>
      <c r="H858" s="30"/>
      <c r="I858" s="30"/>
      <c r="J858" s="30"/>
      <c r="K858" s="30"/>
    </row>
    <row r="859" spans="1:11" ht="15">
      <c r="A859" s="30"/>
      <c r="B859" s="30"/>
      <c r="C859" s="30"/>
      <c r="D859" s="30"/>
      <c r="E859" s="30"/>
      <c r="F859" s="30"/>
      <c r="G859" s="30"/>
      <c r="H859" s="30"/>
      <c r="I859" s="30"/>
      <c r="J859" s="30"/>
      <c r="K859" s="30"/>
    </row>
    <row r="860" spans="1:11" ht="15">
      <c r="A860" s="30"/>
      <c r="B860" s="30"/>
      <c r="C860" s="30"/>
      <c r="D860" s="30"/>
      <c r="E860" s="30"/>
      <c r="F860" s="30"/>
      <c r="G860" s="30"/>
      <c r="H860" s="30"/>
      <c r="I860" s="30"/>
      <c r="J860" s="30"/>
      <c r="K860" s="30"/>
    </row>
    <row r="861" spans="1:11" ht="15">
      <c r="A861" s="30"/>
      <c r="B861" s="30"/>
      <c r="C861" s="30"/>
      <c r="D861" s="30"/>
      <c r="E861" s="30"/>
      <c r="F861" s="30"/>
      <c r="G861" s="30"/>
      <c r="H861" s="30"/>
      <c r="I861" s="30"/>
      <c r="J861" s="30"/>
      <c r="K861" s="30"/>
    </row>
    <row r="862" spans="1:11" ht="15">
      <c r="A862" s="30"/>
      <c r="B862" s="30"/>
      <c r="C862" s="30"/>
      <c r="D862" s="30"/>
      <c r="E862" s="30"/>
      <c r="F862" s="30"/>
      <c r="G862" s="30"/>
      <c r="H862" s="30"/>
      <c r="I862" s="30"/>
      <c r="J862" s="30"/>
      <c r="K862" s="30"/>
    </row>
    <row r="863" spans="1:11" ht="15">
      <c r="A863" s="30"/>
      <c r="B863" s="30"/>
      <c r="C863" s="30"/>
      <c r="D863" s="30"/>
      <c r="E863" s="30"/>
      <c r="F863" s="30"/>
      <c r="G863" s="30"/>
      <c r="H863" s="30"/>
      <c r="I863" s="30"/>
      <c r="J863" s="30"/>
      <c r="K863" s="30"/>
    </row>
    <row r="864" spans="1:11" ht="15">
      <c r="A864" s="30"/>
      <c r="B864" s="30"/>
      <c r="C864" s="30"/>
      <c r="D864" s="30"/>
      <c r="E864" s="30"/>
      <c r="F864" s="30"/>
      <c r="G864" s="30"/>
      <c r="H864" s="30"/>
      <c r="I864" s="30"/>
      <c r="J864" s="30"/>
      <c r="K864" s="30"/>
    </row>
    <row r="865" spans="1:11" ht="15">
      <c r="A865" s="30"/>
      <c r="B865" s="30"/>
      <c r="C865" s="30"/>
      <c r="D865" s="30"/>
      <c r="E865" s="30"/>
      <c r="F865" s="30"/>
      <c r="G865" s="30"/>
      <c r="H865" s="30"/>
      <c r="I865" s="30"/>
      <c r="J865" s="30"/>
      <c r="K865" s="30"/>
    </row>
    <row r="866" spans="1:11" ht="15">
      <c r="A866" s="30"/>
      <c r="B866" s="30"/>
      <c r="C866" s="30"/>
      <c r="D866" s="30"/>
      <c r="E866" s="30"/>
      <c r="F866" s="30"/>
      <c r="G866" s="30"/>
      <c r="H866" s="30"/>
      <c r="I866" s="30"/>
      <c r="J866" s="30"/>
      <c r="K866" s="30"/>
    </row>
    <row r="867" spans="1:11" ht="15">
      <c r="A867" s="30"/>
      <c r="B867" s="30"/>
      <c r="C867" s="30"/>
      <c r="D867" s="30"/>
      <c r="E867" s="30"/>
      <c r="F867" s="30"/>
      <c r="G867" s="30"/>
      <c r="H867" s="30"/>
      <c r="I867" s="30"/>
      <c r="J867" s="30"/>
      <c r="K867" s="30"/>
    </row>
    <row r="868" spans="1:11" ht="15">
      <c r="A868" s="30"/>
      <c r="B868" s="30"/>
      <c r="C868" s="30"/>
      <c r="D868" s="30"/>
      <c r="E868" s="30"/>
      <c r="F868" s="30"/>
      <c r="G868" s="30"/>
      <c r="H868" s="30"/>
      <c r="I868" s="30"/>
      <c r="J868" s="30"/>
      <c r="K868" s="30"/>
    </row>
    <row r="869" spans="1:11" ht="15">
      <c r="A869" s="30"/>
      <c r="B869" s="30"/>
      <c r="C869" s="30"/>
      <c r="D869" s="30"/>
      <c r="E869" s="30"/>
      <c r="F869" s="30"/>
      <c r="G869" s="30"/>
      <c r="H869" s="30"/>
      <c r="I869" s="30"/>
      <c r="J869" s="30"/>
      <c r="K869" s="30"/>
    </row>
    <row r="870" spans="1:11" ht="15">
      <c r="A870" s="30"/>
      <c r="B870" s="30"/>
      <c r="C870" s="30"/>
      <c r="D870" s="30"/>
      <c r="E870" s="30"/>
      <c r="F870" s="30"/>
      <c r="G870" s="30"/>
      <c r="H870" s="30"/>
      <c r="I870" s="30"/>
      <c r="J870" s="30"/>
      <c r="K870" s="30"/>
    </row>
    <row r="871" spans="1:11" ht="15">
      <c r="A871" s="30"/>
      <c r="B871" s="30"/>
      <c r="C871" s="30"/>
      <c r="D871" s="30"/>
      <c r="E871" s="30"/>
      <c r="F871" s="30"/>
      <c r="G871" s="30"/>
      <c r="H871" s="30"/>
      <c r="I871" s="30"/>
      <c r="J871" s="30"/>
      <c r="K871" s="30"/>
    </row>
    <row r="872" spans="1:11" ht="15">
      <c r="A872" s="30"/>
      <c r="B872" s="30"/>
      <c r="C872" s="30"/>
      <c r="D872" s="30"/>
      <c r="E872" s="30"/>
      <c r="F872" s="30"/>
      <c r="G872" s="30"/>
      <c r="H872" s="30"/>
      <c r="I872" s="30"/>
      <c r="J872" s="30"/>
      <c r="K872" s="30"/>
    </row>
    <row r="873" spans="1:11" ht="15">
      <c r="A873" s="30"/>
      <c r="B873" s="30"/>
      <c r="C873" s="30"/>
      <c r="D873" s="30"/>
      <c r="E873" s="30"/>
      <c r="F873" s="30"/>
      <c r="G873" s="30"/>
      <c r="H873" s="30"/>
      <c r="I873" s="30"/>
      <c r="J873" s="30"/>
      <c r="K873" s="30"/>
    </row>
    <row r="874" spans="1:11" ht="15">
      <c r="A874" s="30"/>
      <c r="B874" s="30"/>
      <c r="C874" s="30"/>
      <c r="D874" s="30"/>
      <c r="E874" s="30"/>
      <c r="F874" s="30"/>
      <c r="G874" s="30"/>
      <c r="H874" s="30"/>
      <c r="I874" s="30"/>
      <c r="J874" s="30"/>
      <c r="K874" s="30"/>
    </row>
    <row r="875" spans="1:11" ht="15">
      <c r="A875" s="30"/>
      <c r="B875" s="30"/>
      <c r="C875" s="30"/>
      <c r="D875" s="30"/>
      <c r="E875" s="30"/>
      <c r="F875" s="30"/>
      <c r="G875" s="30"/>
      <c r="H875" s="30"/>
      <c r="I875" s="30"/>
      <c r="J875" s="30"/>
      <c r="K875" s="30"/>
    </row>
    <row r="876" spans="1:11" ht="15">
      <c r="A876" s="30"/>
      <c r="B876" s="30"/>
      <c r="C876" s="30"/>
      <c r="D876" s="30"/>
      <c r="E876" s="30"/>
      <c r="F876" s="30"/>
      <c r="G876" s="30"/>
      <c r="H876" s="30"/>
      <c r="I876" s="30"/>
      <c r="J876" s="30"/>
      <c r="K876" s="30"/>
    </row>
    <row r="877" spans="1:11" ht="15">
      <c r="A877" s="30"/>
      <c r="B877" s="30"/>
      <c r="C877" s="30"/>
      <c r="D877" s="30"/>
      <c r="E877" s="30"/>
      <c r="F877" s="30"/>
      <c r="G877" s="30"/>
      <c r="H877" s="30"/>
      <c r="I877" s="30"/>
      <c r="J877" s="30"/>
      <c r="K877" s="30"/>
    </row>
    <row r="878" spans="1:11" ht="15">
      <c r="A878" s="30"/>
      <c r="B878" s="30"/>
      <c r="C878" s="30"/>
      <c r="D878" s="30"/>
      <c r="E878" s="30"/>
      <c r="F878" s="30"/>
      <c r="G878" s="30"/>
      <c r="H878" s="30"/>
      <c r="I878" s="30"/>
      <c r="J878" s="30"/>
      <c r="K878" s="30"/>
    </row>
    <row r="879" spans="1:11" ht="15">
      <c r="A879" s="30"/>
      <c r="B879" s="30"/>
      <c r="C879" s="30"/>
      <c r="D879" s="30"/>
      <c r="E879" s="30"/>
      <c r="F879" s="30"/>
      <c r="G879" s="30"/>
      <c r="H879" s="30"/>
      <c r="I879" s="30"/>
      <c r="J879" s="30"/>
      <c r="K879" s="30"/>
    </row>
    <row r="880" spans="1:11" ht="15">
      <c r="A880" s="30"/>
      <c r="B880" s="30"/>
      <c r="C880" s="30"/>
      <c r="D880" s="30"/>
      <c r="E880" s="30"/>
      <c r="F880" s="30"/>
      <c r="G880" s="30"/>
      <c r="H880" s="30"/>
      <c r="I880" s="30"/>
      <c r="J880" s="30"/>
      <c r="K880" s="30"/>
    </row>
    <row r="881" spans="1:11" ht="15">
      <c r="A881" s="30"/>
      <c r="B881" s="30"/>
      <c r="C881" s="30"/>
      <c r="D881" s="30"/>
      <c r="E881" s="30"/>
      <c r="F881" s="30"/>
      <c r="G881" s="30"/>
      <c r="H881" s="30"/>
      <c r="I881" s="30"/>
      <c r="J881" s="30"/>
      <c r="K881" s="30"/>
    </row>
    <row r="882" spans="1:11" ht="15">
      <c r="A882" s="30"/>
      <c r="B882" s="30"/>
      <c r="C882" s="30"/>
      <c r="D882" s="30"/>
      <c r="E882" s="30"/>
      <c r="F882" s="30"/>
      <c r="G882" s="30"/>
      <c r="H882" s="30"/>
      <c r="I882" s="30"/>
      <c r="J882" s="30"/>
      <c r="K882" s="30"/>
    </row>
    <row r="883" spans="1:11" ht="15">
      <c r="A883" s="30"/>
      <c r="B883" s="30"/>
      <c r="C883" s="30"/>
      <c r="D883" s="30"/>
      <c r="E883" s="30"/>
      <c r="F883" s="30"/>
      <c r="G883" s="30"/>
      <c r="H883" s="30"/>
      <c r="I883" s="30"/>
      <c r="J883" s="30"/>
      <c r="K883" s="30"/>
    </row>
    <row r="884" spans="1:11" ht="15">
      <c r="A884" s="30"/>
      <c r="B884" s="30"/>
      <c r="C884" s="30"/>
      <c r="D884" s="30"/>
      <c r="E884" s="30"/>
      <c r="F884" s="30"/>
      <c r="G884" s="30"/>
      <c r="H884" s="30"/>
      <c r="I884" s="30"/>
      <c r="J884" s="30"/>
      <c r="K884" s="30"/>
    </row>
    <row r="885" spans="1:11" ht="15">
      <c r="A885" s="30"/>
      <c r="B885" s="30"/>
      <c r="C885" s="30"/>
      <c r="D885" s="30"/>
      <c r="E885" s="30"/>
      <c r="F885" s="30"/>
      <c r="G885" s="30"/>
      <c r="H885" s="30"/>
      <c r="I885" s="30"/>
      <c r="J885" s="30"/>
      <c r="K885" s="30"/>
    </row>
    <row r="886" spans="1:11" ht="15">
      <c r="A886" s="30"/>
      <c r="B886" s="30"/>
      <c r="C886" s="30"/>
      <c r="D886" s="30"/>
      <c r="E886" s="30"/>
      <c r="F886" s="30"/>
      <c r="G886" s="30"/>
      <c r="H886" s="30"/>
      <c r="I886" s="30"/>
      <c r="J886" s="30"/>
      <c r="K886" s="30"/>
    </row>
    <row r="887" spans="1:11" ht="15">
      <c r="A887" s="30"/>
      <c r="B887" s="30"/>
      <c r="C887" s="30"/>
      <c r="D887" s="30"/>
      <c r="E887" s="30"/>
      <c r="F887" s="30"/>
      <c r="G887" s="30"/>
      <c r="H887" s="30"/>
      <c r="I887" s="30"/>
      <c r="J887" s="30"/>
      <c r="K887" s="30"/>
    </row>
    <row r="888" spans="1:11" ht="15">
      <c r="A888" s="30"/>
      <c r="B888" s="30"/>
      <c r="C888" s="30"/>
      <c r="D888" s="30"/>
      <c r="E888" s="30"/>
      <c r="F888" s="30"/>
      <c r="G888" s="30"/>
      <c r="H888" s="30"/>
      <c r="I888" s="30"/>
      <c r="J888" s="30"/>
      <c r="K888" s="30"/>
    </row>
    <row r="889" spans="1:11" ht="15">
      <c r="A889" s="30"/>
      <c r="B889" s="30"/>
      <c r="C889" s="30"/>
      <c r="D889" s="30"/>
      <c r="E889" s="30"/>
      <c r="F889" s="30"/>
      <c r="G889" s="30"/>
      <c r="H889" s="30"/>
      <c r="I889" s="30"/>
      <c r="J889" s="30"/>
      <c r="K889" s="30"/>
    </row>
    <row r="890" spans="1:11" ht="15">
      <c r="A890" s="30"/>
      <c r="B890" s="30"/>
      <c r="C890" s="30"/>
      <c r="D890" s="30"/>
      <c r="E890" s="30"/>
      <c r="F890" s="30"/>
      <c r="G890" s="30"/>
      <c r="H890" s="30"/>
      <c r="I890" s="30"/>
      <c r="J890" s="30"/>
      <c r="K890" s="30"/>
    </row>
    <row r="891" spans="1:11" ht="15">
      <c r="A891" s="30"/>
      <c r="B891" s="30"/>
      <c r="C891" s="30"/>
      <c r="D891" s="30"/>
      <c r="E891" s="30"/>
      <c r="F891" s="30"/>
      <c r="G891" s="30"/>
      <c r="H891" s="30"/>
      <c r="I891" s="30"/>
      <c r="J891" s="30"/>
      <c r="K891" s="30"/>
    </row>
    <row r="892" spans="1:11" ht="15">
      <c r="A892" s="30"/>
      <c r="B892" s="30"/>
      <c r="C892" s="30"/>
      <c r="D892" s="30"/>
      <c r="E892" s="30"/>
      <c r="F892" s="30"/>
      <c r="G892" s="30"/>
      <c r="H892" s="30"/>
      <c r="I892" s="30"/>
      <c r="J892" s="30"/>
      <c r="K892" s="30"/>
    </row>
    <row r="893" spans="1:11" ht="15">
      <c r="A893" s="30"/>
      <c r="B893" s="30"/>
      <c r="C893" s="30"/>
      <c r="D893" s="30"/>
      <c r="E893" s="30"/>
      <c r="F893" s="30"/>
      <c r="G893" s="30"/>
      <c r="H893" s="30"/>
      <c r="I893" s="30"/>
      <c r="J893" s="30"/>
      <c r="K893" s="30"/>
    </row>
    <row r="894" spans="1:11" ht="15">
      <c r="A894" s="30"/>
      <c r="B894" s="30"/>
      <c r="C894" s="30"/>
      <c r="D894" s="30"/>
      <c r="E894" s="30"/>
      <c r="F894" s="30"/>
      <c r="G894" s="30"/>
      <c r="H894" s="30"/>
      <c r="I894" s="30"/>
      <c r="J894" s="30"/>
      <c r="K894" s="30"/>
    </row>
    <row r="895" spans="1:11" ht="15">
      <c r="A895" s="30"/>
      <c r="B895" s="30"/>
      <c r="C895" s="30"/>
      <c r="D895" s="30"/>
      <c r="E895" s="30"/>
      <c r="F895" s="30"/>
      <c r="G895" s="30"/>
      <c r="H895" s="30"/>
      <c r="I895" s="30"/>
      <c r="J895" s="30"/>
      <c r="K895" s="30"/>
    </row>
    <row r="896" spans="1:11" ht="15">
      <c r="A896" s="30"/>
      <c r="B896" s="30"/>
      <c r="C896" s="30"/>
      <c r="D896" s="30"/>
      <c r="E896" s="30"/>
      <c r="F896" s="30"/>
      <c r="G896" s="30"/>
      <c r="H896" s="30"/>
      <c r="I896" s="30"/>
      <c r="J896" s="30"/>
      <c r="K896" s="30"/>
    </row>
    <row r="897" spans="1:11" ht="15">
      <c r="A897" s="30"/>
      <c r="B897" s="30"/>
      <c r="C897" s="30"/>
      <c r="D897" s="30"/>
      <c r="E897" s="30"/>
      <c r="F897" s="30"/>
      <c r="G897" s="30"/>
      <c r="H897" s="30"/>
      <c r="I897" s="30"/>
      <c r="J897" s="30"/>
      <c r="K897" s="30"/>
    </row>
    <row r="898" spans="1:11" ht="15">
      <c r="A898" s="30"/>
      <c r="B898" s="30"/>
      <c r="C898" s="30"/>
      <c r="D898" s="30"/>
      <c r="E898" s="30"/>
      <c r="F898" s="30"/>
      <c r="G898" s="30"/>
      <c r="H898" s="30"/>
      <c r="I898" s="30"/>
      <c r="J898" s="30"/>
      <c r="K898" s="30"/>
    </row>
    <row r="899" spans="1:11" ht="15">
      <c r="A899" s="30"/>
      <c r="B899" s="30"/>
      <c r="C899" s="30"/>
      <c r="D899" s="30"/>
      <c r="E899" s="30"/>
      <c r="F899" s="30"/>
      <c r="G899" s="30"/>
      <c r="H899" s="30"/>
      <c r="I899" s="30"/>
      <c r="J899" s="30"/>
      <c r="K899" s="30"/>
    </row>
    <row r="900" spans="1:11" ht="15">
      <c r="A900" s="30"/>
      <c r="B900" s="30"/>
      <c r="C900" s="30"/>
      <c r="D900" s="30"/>
      <c r="E900" s="30"/>
      <c r="F900" s="30"/>
      <c r="G900" s="30"/>
      <c r="H900" s="30"/>
      <c r="I900" s="30"/>
      <c r="J900" s="30"/>
      <c r="K900" s="30"/>
    </row>
    <row r="901" spans="1:11" ht="15">
      <c r="A901" s="30"/>
      <c r="B901" s="30"/>
      <c r="C901" s="30"/>
      <c r="D901" s="30"/>
      <c r="E901" s="30"/>
      <c r="F901" s="30"/>
      <c r="G901" s="30"/>
      <c r="H901" s="30"/>
      <c r="I901" s="30"/>
      <c r="J901" s="30"/>
      <c r="K901" s="30"/>
    </row>
    <row r="902" spans="1:11" ht="15">
      <c r="A902" s="30"/>
      <c r="B902" s="30"/>
      <c r="C902" s="30"/>
      <c r="D902" s="30"/>
      <c r="E902" s="30"/>
      <c r="F902" s="30"/>
      <c r="G902" s="30"/>
      <c r="H902" s="30"/>
      <c r="I902" s="30"/>
      <c r="J902" s="30"/>
      <c r="K902" s="30"/>
    </row>
    <row r="903" spans="1:11" ht="15">
      <c r="A903" s="30"/>
      <c r="B903" s="30"/>
      <c r="C903" s="30"/>
      <c r="D903" s="30"/>
      <c r="E903" s="30"/>
      <c r="F903" s="30"/>
      <c r="G903" s="30"/>
      <c r="H903" s="30"/>
      <c r="I903" s="30"/>
      <c r="J903" s="30"/>
      <c r="K903" s="30"/>
    </row>
    <row r="904" spans="1:11" ht="15">
      <c r="A904" s="30"/>
      <c r="B904" s="30"/>
      <c r="C904" s="30"/>
      <c r="D904" s="30"/>
      <c r="E904" s="30"/>
      <c r="F904" s="30"/>
      <c r="G904" s="30"/>
      <c r="H904" s="30"/>
      <c r="I904" s="30"/>
      <c r="J904" s="30"/>
      <c r="K904" s="30"/>
    </row>
    <row r="905" spans="1:11" ht="15">
      <c r="A905" s="30"/>
      <c r="B905" s="30"/>
      <c r="C905" s="30"/>
      <c r="D905" s="30"/>
      <c r="E905" s="30"/>
      <c r="F905" s="30"/>
      <c r="G905" s="30"/>
      <c r="H905" s="30"/>
      <c r="I905" s="30"/>
      <c r="J905" s="30"/>
      <c r="K905" s="30"/>
    </row>
    <row r="906" spans="1:11" ht="15">
      <c r="A906" s="30"/>
      <c r="B906" s="30"/>
      <c r="C906" s="30"/>
      <c r="D906" s="30"/>
      <c r="E906" s="30"/>
      <c r="F906" s="30"/>
      <c r="G906" s="30"/>
      <c r="H906" s="30"/>
      <c r="I906" s="30"/>
      <c r="J906" s="30"/>
      <c r="K906" s="30"/>
    </row>
    <row r="907" spans="1:11" ht="15">
      <c r="A907" s="30"/>
      <c r="B907" s="30"/>
      <c r="C907" s="30"/>
      <c r="D907" s="30"/>
      <c r="E907" s="30"/>
      <c r="F907" s="30"/>
      <c r="G907" s="30"/>
      <c r="H907" s="30"/>
      <c r="I907" s="30"/>
      <c r="J907" s="30"/>
      <c r="K907" s="30"/>
    </row>
    <row r="908" spans="1:11" ht="15">
      <c r="A908" s="30"/>
      <c r="B908" s="30"/>
      <c r="C908" s="30"/>
      <c r="D908" s="30"/>
      <c r="E908" s="30"/>
      <c r="F908" s="30"/>
      <c r="G908" s="30"/>
      <c r="H908" s="30"/>
      <c r="I908" s="30"/>
      <c r="J908" s="30"/>
      <c r="K908" s="30"/>
    </row>
    <row r="909" spans="1:11" ht="15">
      <c r="A909" s="30"/>
      <c r="B909" s="30"/>
      <c r="C909" s="30"/>
      <c r="D909" s="30"/>
      <c r="E909" s="30"/>
      <c r="F909" s="30"/>
      <c r="G909" s="30"/>
      <c r="H909" s="30"/>
      <c r="I909" s="30"/>
      <c r="J909" s="30"/>
      <c r="K909" s="30"/>
    </row>
    <row r="910" spans="1:11" ht="15">
      <c r="A910" s="30"/>
      <c r="B910" s="30"/>
      <c r="C910" s="30"/>
      <c r="D910" s="30"/>
      <c r="E910" s="30"/>
      <c r="F910" s="30"/>
      <c r="G910" s="30"/>
      <c r="H910" s="30"/>
      <c r="I910" s="30"/>
      <c r="J910" s="30"/>
      <c r="K910" s="30"/>
    </row>
    <row r="911" spans="1:11" ht="15">
      <c r="A911" s="30"/>
      <c r="B911" s="30"/>
      <c r="C911" s="30"/>
      <c r="D911" s="30"/>
      <c r="E911" s="30"/>
      <c r="F911" s="30"/>
      <c r="G911" s="30"/>
      <c r="H911" s="30"/>
      <c r="I911" s="30"/>
      <c r="J911" s="30"/>
      <c r="K911" s="30"/>
    </row>
    <row r="912" spans="1:11" ht="15">
      <c r="A912" s="30"/>
      <c r="B912" s="30"/>
      <c r="C912" s="30"/>
      <c r="D912" s="30"/>
      <c r="E912" s="30"/>
      <c r="F912" s="30"/>
      <c r="G912" s="30"/>
      <c r="H912" s="30"/>
      <c r="I912" s="30"/>
      <c r="J912" s="30"/>
      <c r="K912" s="30"/>
    </row>
    <row r="913" spans="1:11" ht="15">
      <c r="A913" s="30"/>
      <c r="B913" s="30"/>
      <c r="C913" s="30"/>
      <c r="D913" s="30"/>
      <c r="E913" s="30"/>
      <c r="F913" s="30"/>
      <c r="G913" s="30"/>
      <c r="H913" s="30"/>
      <c r="I913" s="30"/>
      <c r="J913" s="30"/>
      <c r="K913" s="30"/>
    </row>
    <row r="914" spans="1:11" ht="15">
      <c r="A914" s="30"/>
      <c r="B914" s="30"/>
      <c r="C914" s="30"/>
      <c r="D914" s="30"/>
      <c r="E914" s="30"/>
      <c r="F914" s="30"/>
      <c r="G914" s="30"/>
      <c r="H914" s="30"/>
      <c r="I914" s="30"/>
      <c r="J914" s="30"/>
      <c r="K914" s="30"/>
    </row>
    <row r="915" spans="1:11" ht="15">
      <c r="A915" s="30"/>
      <c r="B915" s="30"/>
      <c r="C915" s="30"/>
      <c r="D915" s="30"/>
      <c r="E915" s="30"/>
      <c r="F915" s="30"/>
      <c r="G915" s="30"/>
      <c r="H915" s="30"/>
      <c r="I915" s="30"/>
      <c r="J915" s="30"/>
      <c r="K915" s="30"/>
    </row>
    <row r="916" spans="1:11" ht="15">
      <c r="A916" s="30"/>
      <c r="B916" s="30"/>
      <c r="C916" s="30"/>
      <c r="D916" s="30"/>
      <c r="E916" s="30"/>
      <c r="F916" s="30"/>
      <c r="G916" s="30"/>
      <c r="H916" s="30"/>
      <c r="I916" s="30"/>
      <c r="J916" s="30"/>
      <c r="K916" s="30"/>
    </row>
    <row r="917" spans="1:11" ht="15">
      <c r="A917" s="30"/>
      <c r="B917" s="30"/>
      <c r="C917" s="30"/>
      <c r="D917" s="30"/>
      <c r="E917" s="30"/>
      <c r="F917" s="30"/>
      <c r="G917" s="30"/>
      <c r="H917" s="30"/>
      <c r="I917" s="30"/>
      <c r="J917" s="30"/>
      <c r="K917" s="30"/>
    </row>
    <row r="918" spans="1:11" ht="15">
      <c r="A918" s="30"/>
      <c r="B918" s="30"/>
      <c r="C918" s="30"/>
      <c r="D918" s="30"/>
      <c r="E918" s="30"/>
      <c r="F918" s="30"/>
      <c r="G918" s="30"/>
      <c r="H918" s="30"/>
      <c r="I918" s="30"/>
      <c r="J918" s="30"/>
      <c r="K918" s="30"/>
    </row>
    <row r="919" spans="1:11" ht="15">
      <c r="A919" s="30"/>
      <c r="B919" s="30"/>
      <c r="C919" s="30"/>
      <c r="D919" s="30"/>
      <c r="E919" s="30"/>
      <c r="F919" s="30"/>
      <c r="G919" s="30"/>
      <c r="H919" s="30"/>
      <c r="I919" s="30"/>
      <c r="J919" s="30"/>
      <c r="K919" s="30"/>
    </row>
    <row r="920" spans="1:11" ht="15">
      <c r="A920" s="30"/>
      <c r="B920" s="30"/>
      <c r="C920" s="30"/>
      <c r="D920" s="30"/>
      <c r="E920" s="30"/>
      <c r="F920" s="30"/>
      <c r="G920" s="30"/>
      <c r="H920" s="30"/>
      <c r="I920" s="30"/>
      <c r="J920" s="30"/>
      <c r="K920" s="30"/>
    </row>
    <row r="921" spans="1:11" ht="15">
      <c r="A921" s="30"/>
      <c r="B921" s="30"/>
      <c r="C921" s="30"/>
      <c r="D921" s="30"/>
      <c r="E921" s="30"/>
      <c r="F921" s="30"/>
      <c r="G921" s="30"/>
      <c r="H921" s="30"/>
      <c r="I921" s="30"/>
      <c r="J921" s="30"/>
      <c r="K921" s="30"/>
    </row>
    <row r="922" spans="1:11" ht="15">
      <c r="A922" s="30"/>
      <c r="B922" s="30"/>
      <c r="C922" s="30"/>
      <c r="D922" s="30"/>
      <c r="E922" s="30"/>
      <c r="F922" s="30"/>
      <c r="G922" s="30"/>
      <c r="H922" s="30"/>
      <c r="I922" s="30"/>
      <c r="J922" s="30"/>
      <c r="K922" s="30"/>
    </row>
    <row r="923" spans="1:11" ht="15">
      <c r="A923" s="30"/>
      <c r="B923" s="30"/>
      <c r="C923" s="30"/>
      <c r="D923" s="30"/>
      <c r="E923" s="30"/>
      <c r="F923" s="30"/>
      <c r="G923" s="30"/>
      <c r="H923" s="30"/>
      <c r="I923" s="30"/>
      <c r="J923" s="30"/>
      <c r="K923" s="30"/>
    </row>
    <row r="924" spans="1:11" ht="15">
      <c r="A924" s="30"/>
      <c r="B924" s="30"/>
      <c r="C924" s="30"/>
      <c r="D924" s="30"/>
      <c r="E924" s="30"/>
      <c r="F924" s="30"/>
      <c r="G924" s="30"/>
      <c r="H924" s="30"/>
      <c r="I924" s="30"/>
      <c r="J924" s="30"/>
      <c r="K924" s="30"/>
    </row>
    <row r="925" spans="1:11" ht="15">
      <c r="A925" s="30"/>
      <c r="B925" s="30"/>
      <c r="C925" s="30"/>
      <c r="D925" s="30"/>
      <c r="E925" s="30"/>
      <c r="F925" s="30"/>
      <c r="G925" s="30"/>
      <c r="H925" s="30"/>
      <c r="I925" s="30"/>
      <c r="J925" s="30"/>
      <c r="K925" s="30"/>
    </row>
    <row r="926" spans="1:11" ht="15">
      <c r="A926" s="30"/>
      <c r="B926" s="30"/>
      <c r="C926" s="30"/>
      <c r="D926" s="30"/>
      <c r="E926" s="30"/>
      <c r="F926" s="30"/>
      <c r="G926" s="30"/>
      <c r="H926" s="30"/>
      <c r="I926" s="30"/>
      <c r="J926" s="30"/>
      <c r="K926" s="30"/>
    </row>
    <row r="927" spans="1:11" ht="15">
      <c r="A927" s="30"/>
      <c r="B927" s="30"/>
      <c r="C927" s="30"/>
      <c r="D927" s="30"/>
      <c r="E927" s="30"/>
      <c r="F927" s="30"/>
      <c r="G927" s="30"/>
      <c r="H927" s="30"/>
      <c r="I927" s="30"/>
      <c r="J927" s="30"/>
      <c r="K927" s="30"/>
    </row>
    <row r="928" spans="1:11" ht="15">
      <c r="A928" s="30"/>
      <c r="B928" s="30"/>
      <c r="C928" s="30"/>
      <c r="D928" s="30"/>
      <c r="E928" s="30"/>
      <c r="F928" s="30"/>
      <c r="G928" s="30"/>
      <c r="H928" s="30"/>
      <c r="I928" s="30"/>
      <c r="J928" s="30"/>
      <c r="K928" s="30"/>
    </row>
    <row r="929" spans="1:11" ht="15">
      <c r="A929" s="30"/>
      <c r="B929" s="30"/>
      <c r="C929" s="30"/>
      <c r="D929" s="30"/>
      <c r="E929" s="30"/>
      <c r="F929" s="30"/>
      <c r="G929" s="30"/>
      <c r="H929" s="30"/>
      <c r="I929" s="30"/>
      <c r="J929" s="30"/>
      <c r="K929" s="30"/>
    </row>
    <row r="930" spans="1:11" ht="15">
      <c r="A930" s="30"/>
      <c r="B930" s="30"/>
      <c r="C930" s="30"/>
      <c r="D930" s="30"/>
      <c r="E930" s="30"/>
      <c r="F930" s="30"/>
      <c r="G930" s="30"/>
      <c r="H930" s="30"/>
      <c r="I930" s="30"/>
      <c r="J930" s="30"/>
      <c r="K930" s="30"/>
    </row>
    <row r="931" spans="1:11" ht="15">
      <c r="A931" s="30"/>
      <c r="B931" s="30"/>
      <c r="C931" s="30"/>
      <c r="D931" s="30"/>
      <c r="E931" s="30"/>
      <c r="F931" s="30"/>
      <c r="G931" s="30"/>
      <c r="H931" s="30"/>
      <c r="I931" s="30"/>
      <c r="J931" s="30"/>
      <c r="K931" s="30"/>
    </row>
    <row r="932" spans="1:11" ht="15">
      <c r="A932" s="30"/>
      <c r="B932" s="30"/>
      <c r="C932" s="30"/>
      <c r="D932" s="30"/>
      <c r="E932" s="30"/>
      <c r="F932" s="30"/>
      <c r="G932" s="30"/>
      <c r="H932" s="30"/>
      <c r="I932" s="30"/>
      <c r="J932" s="30"/>
      <c r="K932" s="30"/>
    </row>
    <row r="933" spans="1:11" ht="15">
      <c r="A933" s="30"/>
      <c r="B933" s="30"/>
      <c r="C933" s="30"/>
      <c r="D933" s="30"/>
      <c r="E933" s="30"/>
      <c r="F933" s="30"/>
      <c r="G933" s="30"/>
      <c r="H933" s="30"/>
      <c r="I933" s="30"/>
      <c r="J933" s="30"/>
      <c r="K933" s="30"/>
    </row>
    <row r="934" spans="1:11" ht="15">
      <c r="A934" s="30"/>
      <c r="B934" s="30"/>
      <c r="C934" s="30"/>
      <c r="D934" s="30"/>
      <c r="E934" s="30"/>
      <c r="F934" s="30"/>
      <c r="G934" s="30"/>
      <c r="H934" s="30"/>
      <c r="I934" s="30"/>
      <c r="J934" s="30"/>
      <c r="K934" s="30"/>
    </row>
    <row r="935" spans="1:11" ht="15">
      <c r="A935" s="30"/>
      <c r="B935" s="30"/>
      <c r="C935" s="30"/>
      <c r="D935" s="30"/>
      <c r="E935" s="30"/>
      <c r="F935" s="30"/>
      <c r="G935" s="30"/>
      <c r="H935" s="30"/>
      <c r="I935" s="30"/>
      <c r="J935" s="30"/>
      <c r="K935" s="30"/>
    </row>
    <row r="936" spans="1:11" ht="15">
      <c r="A936" s="30"/>
      <c r="B936" s="30"/>
      <c r="C936" s="30"/>
      <c r="D936" s="30"/>
      <c r="E936" s="30"/>
      <c r="F936" s="30"/>
      <c r="G936" s="30"/>
      <c r="H936" s="30"/>
      <c r="I936" s="30"/>
      <c r="J936" s="30"/>
      <c r="K936" s="30"/>
    </row>
    <row r="937" spans="1:11" ht="15">
      <c r="A937" s="30"/>
      <c r="B937" s="30"/>
      <c r="C937" s="30"/>
      <c r="D937" s="30"/>
      <c r="E937" s="30"/>
      <c r="F937" s="30"/>
      <c r="G937" s="30"/>
      <c r="H937" s="30"/>
      <c r="I937" s="30"/>
      <c r="J937" s="30"/>
      <c r="K937" s="30"/>
    </row>
    <row r="938" spans="1:11" ht="15">
      <c r="A938" s="30"/>
      <c r="B938" s="30"/>
      <c r="C938" s="30"/>
      <c r="D938" s="30"/>
      <c r="E938" s="30"/>
      <c r="F938" s="30"/>
      <c r="G938" s="30"/>
      <c r="H938" s="30"/>
      <c r="I938" s="30"/>
      <c r="J938" s="30"/>
      <c r="K938" s="30"/>
    </row>
    <row r="939" spans="1:11" ht="15">
      <c r="A939" s="30"/>
      <c r="B939" s="30"/>
      <c r="C939" s="30"/>
      <c r="D939" s="30"/>
      <c r="E939" s="30"/>
      <c r="F939" s="30"/>
      <c r="G939" s="30"/>
      <c r="H939" s="30"/>
      <c r="I939" s="30"/>
      <c r="J939" s="30"/>
      <c r="K939" s="30"/>
    </row>
    <row r="940" spans="1:11" ht="15">
      <c r="A940" s="30"/>
      <c r="B940" s="30"/>
      <c r="C940" s="30"/>
      <c r="D940" s="30"/>
      <c r="E940" s="30"/>
      <c r="F940" s="30"/>
      <c r="G940" s="30"/>
      <c r="H940" s="30"/>
      <c r="I940" s="30"/>
      <c r="J940" s="30"/>
      <c r="K940" s="30"/>
    </row>
    <row r="941" spans="1:11" ht="15">
      <c r="A941" s="30"/>
      <c r="B941" s="30"/>
      <c r="C941" s="30"/>
      <c r="D941" s="30"/>
      <c r="E941" s="30"/>
      <c r="F941" s="30"/>
      <c r="G941" s="30"/>
      <c r="H941" s="30"/>
      <c r="I941" s="30"/>
      <c r="J941" s="30"/>
      <c r="K941" s="30"/>
    </row>
    <row r="942" spans="1:11" ht="15">
      <c r="A942" s="30"/>
      <c r="B942" s="30"/>
      <c r="C942" s="30"/>
      <c r="D942" s="30"/>
      <c r="E942" s="30"/>
      <c r="F942" s="30"/>
      <c r="G942" s="30"/>
      <c r="H942" s="30"/>
      <c r="I942" s="30"/>
      <c r="J942" s="30"/>
      <c r="K942" s="30"/>
    </row>
    <row r="943" spans="1:11" ht="15">
      <c r="A943" s="30"/>
      <c r="B943" s="30"/>
      <c r="C943" s="30"/>
      <c r="D943" s="30"/>
      <c r="E943" s="30"/>
      <c r="F943" s="30"/>
      <c r="G943" s="30"/>
      <c r="H943" s="30"/>
      <c r="I943" s="30"/>
      <c r="J943" s="30"/>
      <c r="K943" s="30"/>
    </row>
    <row r="944" spans="1:11" ht="15">
      <c r="A944" s="30"/>
      <c r="B944" s="30"/>
      <c r="C944" s="30"/>
      <c r="D944" s="30"/>
      <c r="E944" s="30"/>
      <c r="F944" s="30"/>
      <c r="G944" s="30"/>
      <c r="H944" s="30"/>
      <c r="I944" s="30"/>
      <c r="J944" s="30"/>
      <c r="K944" s="30"/>
    </row>
    <row r="945" spans="1:11" ht="15">
      <c r="A945" s="30"/>
      <c r="B945" s="30"/>
      <c r="C945" s="30"/>
      <c r="D945" s="30"/>
      <c r="E945" s="30"/>
      <c r="F945" s="30"/>
      <c r="G945" s="30"/>
      <c r="H945" s="30"/>
      <c r="I945" s="30"/>
      <c r="J945" s="30"/>
      <c r="K945" s="30"/>
    </row>
    <row r="946" spans="1:11" ht="15">
      <c r="A946" s="30"/>
      <c r="B946" s="30"/>
      <c r="C946" s="30"/>
      <c r="D946" s="30"/>
      <c r="E946" s="30"/>
      <c r="F946" s="30"/>
      <c r="G946" s="30"/>
      <c r="H946" s="30"/>
      <c r="I946" s="30"/>
      <c r="J946" s="30"/>
      <c r="K946" s="30"/>
    </row>
    <row r="947" spans="1:11" ht="15">
      <c r="A947" s="30"/>
      <c r="B947" s="30"/>
      <c r="C947" s="30"/>
      <c r="D947" s="30"/>
      <c r="E947" s="30"/>
      <c r="F947" s="30"/>
      <c r="G947" s="30"/>
      <c r="H947" s="30"/>
      <c r="I947" s="30"/>
      <c r="J947" s="30"/>
      <c r="K947" s="30"/>
    </row>
    <row r="948" spans="1:11" ht="15">
      <c r="A948" s="30"/>
      <c r="B948" s="30"/>
      <c r="C948" s="30"/>
      <c r="D948" s="30"/>
      <c r="E948" s="30"/>
      <c r="F948" s="30"/>
      <c r="G948" s="30"/>
      <c r="H948" s="30"/>
      <c r="I948" s="30"/>
      <c r="J948" s="30"/>
      <c r="K948" s="30"/>
    </row>
    <row r="949" spans="1:11" ht="15">
      <c r="A949" s="30"/>
      <c r="B949" s="30"/>
      <c r="C949" s="30"/>
      <c r="D949" s="30"/>
      <c r="E949" s="30"/>
      <c r="F949" s="30"/>
      <c r="G949" s="30"/>
      <c r="H949" s="30"/>
      <c r="I949" s="30"/>
      <c r="J949" s="30"/>
      <c r="K949" s="30"/>
    </row>
    <row r="950" spans="1:11" ht="15">
      <c r="A950" s="30"/>
      <c r="B950" s="30"/>
      <c r="C950" s="30"/>
      <c r="D950" s="30"/>
      <c r="E950" s="30"/>
      <c r="F950" s="30"/>
      <c r="G950" s="30"/>
      <c r="H950" s="30"/>
      <c r="I950" s="30"/>
      <c r="J950" s="30"/>
      <c r="K950" s="30"/>
    </row>
    <row r="951" spans="1:11" ht="15">
      <c r="A951" s="30"/>
      <c r="B951" s="30"/>
      <c r="C951" s="30"/>
      <c r="D951" s="30"/>
      <c r="E951" s="30"/>
      <c r="F951" s="30"/>
      <c r="G951" s="30"/>
      <c r="H951" s="30"/>
      <c r="I951" s="30"/>
      <c r="J951" s="30"/>
      <c r="K951" s="30"/>
    </row>
    <row r="952" spans="1:11" ht="15">
      <c r="A952" s="30"/>
      <c r="B952" s="30"/>
      <c r="C952" s="30"/>
      <c r="D952" s="30"/>
      <c r="E952" s="30"/>
      <c r="F952" s="30"/>
      <c r="G952" s="30"/>
      <c r="H952" s="30"/>
      <c r="I952" s="30"/>
      <c r="J952" s="30"/>
      <c r="K952" s="30"/>
    </row>
    <row r="953" spans="1:11" ht="15">
      <c r="A953" s="30"/>
      <c r="B953" s="30"/>
      <c r="C953" s="30"/>
      <c r="D953" s="30"/>
      <c r="E953" s="30"/>
      <c r="F953" s="30"/>
      <c r="G953" s="30"/>
      <c r="H953" s="30"/>
      <c r="I953" s="30"/>
      <c r="J953" s="30"/>
      <c r="K953" s="30"/>
    </row>
    <row r="954" spans="1:11" ht="15">
      <c r="A954" s="30"/>
      <c r="B954" s="30"/>
      <c r="C954" s="30"/>
      <c r="D954" s="30"/>
      <c r="E954" s="30"/>
      <c r="F954" s="30"/>
      <c r="G954" s="30"/>
      <c r="H954" s="30"/>
      <c r="I954" s="30"/>
      <c r="J954" s="30"/>
      <c r="K954" s="30"/>
    </row>
    <row r="955" spans="1:11" ht="15">
      <c r="A955" s="30"/>
      <c r="B955" s="30"/>
      <c r="C955" s="30"/>
      <c r="D955" s="30"/>
      <c r="E955" s="30"/>
      <c r="F955" s="30"/>
      <c r="G955" s="30"/>
      <c r="H955" s="30"/>
      <c r="I955" s="30"/>
      <c r="J955" s="30"/>
      <c r="K955" s="30"/>
    </row>
    <row r="956" spans="1:11" ht="15">
      <c r="A956" s="30"/>
      <c r="B956" s="30"/>
      <c r="C956" s="30"/>
      <c r="D956" s="30"/>
      <c r="E956" s="30"/>
      <c r="F956" s="30"/>
      <c r="G956" s="30"/>
      <c r="H956" s="30"/>
      <c r="I956" s="30"/>
      <c r="J956" s="30"/>
      <c r="K956" s="30"/>
    </row>
    <row r="957" spans="1:11" ht="15">
      <c r="A957" s="30"/>
      <c r="B957" s="30"/>
      <c r="C957" s="30"/>
      <c r="D957" s="30"/>
      <c r="E957" s="30"/>
      <c r="F957" s="30"/>
      <c r="G957" s="30"/>
      <c r="H957" s="30"/>
      <c r="I957" s="30"/>
      <c r="J957" s="30"/>
      <c r="K957" s="30"/>
    </row>
    <row r="958" spans="1:11" ht="15">
      <c r="A958" s="30"/>
      <c r="B958" s="30"/>
      <c r="C958" s="30"/>
      <c r="D958" s="30"/>
      <c r="E958" s="30"/>
      <c r="F958" s="30"/>
      <c r="G958" s="30"/>
      <c r="H958" s="30"/>
      <c r="I958" s="30"/>
      <c r="J958" s="30"/>
      <c r="K958" s="30"/>
    </row>
    <row r="959" spans="1:11" ht="15">
      <c r="A959" s="30"/>
      <c r="B959" s="30"/>
      <c r="C959" s="30"/>
      <c r="D959" s="30"/>
      <c r="E959" s="30"/>
      <c r="F959" s="30"/>
      <c r="G959" s="30"/>
      <c r="H959" s="30"/>
      <c r="I959" s="30"/>
      <c r="J959" s="30"/>
      <c r="K959" s="30"/>
    </row>
    <row r="960" spans="1:11" ht="15">
      <c r="A960" s="30"/>
      <c r="B960" s="30"/>
      <c r="C960" s="30"/>
      <c r="D960" s="30"/>
      <c r="E960" s="30"/>
      <c r="F960" s="30"/>
      <c r="G960" s="30"/>
      <c r="H960" s="30"/>
      <c r="I960" s="30"/>
      <c r="J960" s="30"/>
      <c r="K960" s="30"/>
    </row>
    <row r="961" spans="1:11" ht="15">
      <c r="A961" s="30"/>
      <c r="B961" s="30"/>
      <c r="C961" s="30"/>
      <c r="D961" s="30"/>
      <c r="E961" s="30"/>
      <c r="F961" s="30"/>
      <c r="G961" s="30"/>
      <c r="H961" s="30"/>
      <c r="I961" s="30"/>
      <c r="J961" s="30"/>
      <c r="K961" s="30"/>
    </row>
    <row r="962" spans="1:11" ht="15">
      <c r="A962" s="30"/>
      <c r="B962" s="30"/>
      <c r="C962" s="30"/>
      <c r="D962" s="30"/>
      <c r="E962" s="30"/>
      <c r="F962" s="30"/>
      <c r="G962" s="30"/>
      <c r="H962" s="30"/>
      <c r="I962" s="30"/>
      <c r="J962" s="30"/>
      <c r="K962" s="30"/>
    </row>
    <row r="963" spans="1:11" ht="15">
      <c r="A963" s="30"/>
      <c r="B963" s="30"/>
      <c r="C963" s="30"/>
      <c r="D963" s="30"/>
      <c r="E963" s="30"/>
      <c r="F963" s="30"/>
      <c r="G963" s="30"/>
      <c r="H963" s="30"/>
      <c r="I963" s="30"/>
      <c r="J963" s="30"/>
      <c r="K963" s="30"/>
    </row>
    <row r="964" spans="1:11" ht="15">
      <c r="A964" s="30"/>
      <c r="B964" s="30"/>
      <c r="C964" s="30"/>
      <c r="D964" s="30"/>
      <c r="E964" s="30"/>
      <c r="F964" s="30"/>
      <c r="G964" s="30"/>
      <c r="H964" s="30"/>
      <c r="I964" s="30"/>
      <c r="J964" s="30"/>
      <c r="K964" s="30"/>
    </row>
    <row r="965" spans="1:11" ht="15">
      <c r="A965" s="30"/>
      <c r="B965" s="30"/>
      <c r="C965" s="30"/>
      <c r="D965" s="30"/>
      <c r="E965" s="30"/>
      <c r="F965" s="30"/>
      <c r="G965" s="30"/>
      <c r="H965" s="30"/>
      <c r="I965" s="30"/>
      <c r="J965" s="30"/>
      <c r="K965" s="30"/>
    </row>
    <row r="966" spans="1:11" ht="15">
      <c r="A966" s="30"/>
      <c r="B966" s="30"/>
      <c r="C966" s="30"/>
      <c r="D966" s="30"/>
      <c r="E966" s="30"/>
      <c r="F966" s="30"/>
      <c r="G966" s="30"/>
      <c r="H966" s="30"/>
      <c r="I966" s="30"/>
      <c r="J966" s="30"/>
      <c r="K966" s="30"/>
    </row>
    <row r="967" spans="1:11" ht="15">
      <c r="A967" s="30"/>
      <c r="B967" s="30"/>
      <c r="C967" s="30"/>
      <c r="D967" s="30"/>
      <c r="E967" s="30"/>
      <c r="F967" s="30"/>
      <c r="G967" s="30"/>
      <c r="H967" s="30"/>
      <c r="I967" s="30"/>
      <c r="J967" s="30"/>
      <c r="K967" s="30"/>
    </row>
    <row r="968" spans="1:11" ht="15">
      <c r="A968" s="30"/>
      <c r="B968" s="30"/>
      <c r="C968" s="30"/>
      <c r="D968" s="30"/>
      <c r="E968" s="30"/>
      <c r="F968" s="30"/>
      <c r="G968" s="30"/>
      <c r="H968" s="30"/>
      <c r="I968" s="30"/>
      <c r="J968" s="30"/>
      <c r="K968" s="30"/>
    </row>
    <row r="969" spans="1:11" ht="15">
      <c r="A969" s="30"/>
      <c r="B969" s="30"/>
      <c r="C969" s="30"/>
      <c r="D969" s="30"/>
      <c r="E969" s="30"/>
      <c r="F969" s="30"/>
      <c r="G969" s="30"/>
      <c r="H969" s="30"/>
      <c r="I969" s="30"/>
      <c r="J969" s="30"/>
      <c r="K969" s="30"/>
    </row>
    <row r="970" spans="1:11" ht="15">
      <c r="A970" s="30"/>
      <c r="B970" s="30"/>
      <c r="C970" s="30"/>
      <c r="D970" s="30"/>
      <c r="E970" s="30"/>
      <c r="F970" s="30"/>
      <c r="G970" s="30"/>
      <c r="H970" s="30"/>
      <c r="I970" s="30"/>
      <c r="J970" s="30"/>
      <c r="K970" s="30"/>
    </row>
    <row r="971" spans="1:11" ht="15">
      <c r="A971" s="30"/>
      <c r="B971" s="30"/>
      <c r="C971" s="30"/>
      <c r="D971" s="30"/>
      <c r="E971" s="30"/>
      <c r="F971" s="30"/>
      <c r="G971" s="30"/>
      <c r="H971" s="30"/>
      <c r="I971" s="30"/>
      <c r="J971" s="30"/>
      <c r="K971" s="30"/>
    </row>
    <row r="972" spans="1:11" ht="15">
      <c r="A972" s="30"/>
      <c r="B972" s="30"/>
      <c r="C972" s="30"/>
      <c r="D972" s="30"/>
      <c r="E972" s="30"/>
      <c r="F972" s="30"/>
      <c r="G972" s="30"/>
      <c r="H972" s="30"/>
      <c r="I972" s="30"/>
      <c r="J972" s="30"/>
      <c r="K972" s="30"/>
    </row>
    <row r="973" spans="1:11" ht="15">
      <c r="A973" s="30"/>
      <c r="B973" s="30"/>
      <c r="C973" s="30"/>
      <c r="D973" s="30"/>
      <c r="E973" s="30"/>
      <c r="F973" s="30"/>
      <c r="G973" s="30"/>
      <c r="H973" s="30"/>
      <c r="I973" s="30"/>
      <c r="J973" s="30"/>
      <c r="K973" s="30"/>
    </row>
    <row r="974" spans="1:11" ht="15">
      <c r="A974" s="30"/>
      <c r="B974" s="30"/>
      <c r="C974" s="30"/>
      <c r="D974" s="30"/>
      <c r="E974" s="30"/>
      <c r="F974" s="30"/>
      <c r="G974" s="30"/>
      <c r="H974" s="30"/>
      <c r="I974" s="30"/>
      <c r="J974" s="30"/>
      <c r="K974" s="30"/>
    </row>
    <row r="975" spans="1:11" ht="15">
      <c r="A975" s="30"/>
      <c r="B975" s="30"/>
      <c r="C975" s="30"/>
      <c r="D975" s="30"/>
      <c r="E975" s="30"/>
      <c r="F975" s="30"/>
      <c r="G975" s="30"/>
      <c r="H975" s="30"/>
      <c r="I975" s="30"/>
      <c r="J975" s="30"/>
      <c r="K975" s="30"/>
    </row>
    <row r="976" spans="1:11" ht="15">
      <c r="A976" s="30"/>
      <c r="B976" s="30"/>
      <c r="C976" s="30"/>
      <c r="D976" s="30"/>
      <c r="E976" s="30"/>
      <c r="F976" s="30"/>
      <c r="G976" s="30"/>
      <c r="H976" s="30"/>
      <c r="I976" s="30"/>
      <c r="J976" s="30"/>
      <c r="K976" s="30"/>
    </row>
    <row r="977" spans="1:11" ht="15">
      <c r="A977" s="30"/>
      <c r="B977" s="30"/>
      <c r="C977" s="30"/>
      <c r="D977" s="30"/>
      <c r="E977" s="30"/>
      <c r="F977" s="30"/>
      <c r="G977" s="30"/>
      <c r="H977" s="30"/>
      <c r="I977" s="30"/>
      <c r="J977" s="30"/>
      <c r="K977" s="30"/>
    </row>
    <row r="978" spans="1:11" ht="15">
      <c r="A978" s="30"/>
      <c r="B978" s="30"/>
      <c r="C978" s="30"/>
      <c r="D978" s="30"/>
      <c r="E978" s="30"/>
      <c r="F978" s="30"/>
      <c r="G978" s="30"/>
      <c r="H978" s="30"/>
      <c r="I978" s="30"/>
      <c r="J978" s="30"/>
      <c r="K978" s="30"/>
    </row>
    <row r="979" spans="1:11" ht="15">
      <c r="A979" s="30"/>
      <c r="B979" s="30"/>
      <c r="C979" s="30"/>
      <c r="D979" s="30"/>
      <c r="E979" s="30"/>
      <c r="F979" s="30"/>
      <c r="G979" s="30"/>
      <c r="H979" s="30"/>
      <c r="I979" s="30"/>
      <c r="J979" s="30"/>
      <c r="K979" s="30"/>
    </row>
    <row r="980" spans="1:11" ht="15">
      <c r="A980" s="30"/>
      <c r="B980" s="30"/>
      <c r="C980" s="30"/>
      <c r="D980" s="30"/>
      <c r="E980" s="30"/>
      <c r="F980" s="30"/>
      <c r="G980" s="30"/>
      <c r="H980" s="30"/>
      <c r="I980" s="30"/>
      <c r="J980" s="30"/>
      <c r="K980" s="30"/>
    </row>
    <row r="981" spans="1:11" ht="15">
      <c r="A981" s="30"/>
      <c r="B981" s="30"/>
      <c r="C981" s="30"/>
      <c r="D981" s="30"/>
      <c r="E981" s="30"/>
      <c r="F981" s="30"/>
      <c r="G981" s="30"/>
      <c r="H981" s="30"/>
      <c r="I981" s="30"/>
      <c r="J981" s="30"/>
      <c r="K981" s="30"/>
    </row>
    <row r="982" spans="1:11" ht="15">
      <c r="A982" s="30"/>
      <c r="B982" s="30"/>
      <c r="C982" s="30"/>
      <c r="D982" s="30"/>
      <c r="E982" s="30"/>
      <c r="F982" s="30"/>
      <c r="G982" s="30"/>
      <c r="H982" s="30"/>
      <c r="I982" s="30"/>
      <c r="J982" s="30"/>
      <c r="K982" s="30"/>
    </row>
    <row r="983" spans="1:11" ht="15">
      <c r="A983" s="30"/>
      <c r="B983" s="30"/>
      <c r="C983" s="30"/>
      <c r="D983" s="30"/>
      <c r="E983" s="30"/>
      <c r="F983" s="30"/>
      <c r="G983" s="30"/>
      <c r="H983" s="30"/>
      <c r="I983" s="30"/>
      <c r="J983" s="30"/>
      <c r="K983" s="30"/>
    </row>
    <row r="984" spans="1:11" ht="15">
      <c r="A984" s="30"/>
      <c r="B984" s="30"/>
      <c r="C984" s="30"/>
      <c r="D984" s="30"/>
      <c r="E984" s="30"/>
      <c r="F984" s="30"/>
      <c r="G984" s="30"/>
      <c r="H984" s="30"/>
      <c r="I984" s="30"/>
      <c r="J984" s="30"/>
      <c r="K984" s="30"/>
    </row>
    <row r="985" spans="1:11" ht="15">
      <c r="A985" s="30"/>
      <c r="B985" s="30"/>
      <c r="C985" s="30"/>
      <c r="D985" s="30"/>
      <c r="E985" s="30"/>
      <c r="F985" s="30"/>
      <c r="G985" s="30"/>
      <c r="H985" s="30"/>
      <c r="I985" s="30"/>
      <c r="J985" s="30"/>
      <c r="K985" s="30"/>
    </row>
    <row r="986" spans="1:11" ht="15">
      <c r="A986" s="30"/>
      <c r="B986" s="30"/>
      <c r="C986" s="30"/>
      <c r="D986" s="30"/>
      <c r="E986" s="30"/>
      <c r="F986" s="30"/>
      <c r="G986" s="30"/>
      <c r="H986" s="30"/>
      <c r="I986" s="30"/>
      <c r="J986" s="30"/>
      <c r="K986" s="30"/>
    </row>
    <row r="987" spans="1:11" ht="15">
      <c r="A987" s="30"/>
      <c r="B987" s="30"/>
      <c r="C987" s="30"/>
      <c r="D987" s="30"/>
      <c r="E987" s="30"/>
      <c r="F987" s="30"/>
      <c r="G987" s="30"/>
      <c r="H987" s="30"/>
      <c r="I987" s="30"/>
      <c r="J987" s="30"/>
      <c r="K987" s="30"/>
    </row>
    <row r="988" spans="1:11" ht="15">
      <c r="A988" s="30"/>
      <c r="B988" s="30"/>
      <c r="C988" s="30"/>
      <c r="D988" s="30"/>
      <c r="E988" s="30"/>
      <c r="F988" s="30"/>
      <c r="G988" s="30"/>
      <c r="H988" s="30"/>
      <c r="I988" s="30"/>
      <c r="J988" s="30"/>
      <c r="K988" s="30"/>
    </row>
    <row r="989" spans="1:11" ht="15">
      <c r="A989" s="30"/>
      <c r="B989" s="30"/>
      <c r="C989" s="30"/>
      <c r="D989" s="30"/>
      <c r="E989" s="30"/>
      <c r="F989" s="30"/>
      <c r="G989" s="30"/>
      <c r="H989" s="30"/>
      <c r="I989" s="30"/>
      <c r="J989" s="30"/>
      <c r="K989" s="30"/>
    </row>
    <row r="990" spans="1:11" ht="15">
      <c r="A990" s="30"/>
      <c r="B990" s="30"/>
      <c r="C990" s="30"/>
      <c r="D990" s="30"/>
      <c r="E990" s="30"/>
      <c r="F990" s="30"/>
      <c r="G990" s="30"/>
      <c r="H990" s="30"/>
      <c r="I990" s="30"/>
      <c r="J990" s="30"/>
      <c r="K990" s="30"/>
    </row>
    <row r="991" spans="1:11" ht="15">
      <c r="A991" s="30"/>
      <c r="B991" s="30"/>
      <c r="C991" s="30"/>
      <c r="D991" s="30"/>
      <c r="E991" s="30"/>
      <c r="F991" s="30"/>
      <c r="G991" s="30"/>
      <c r="H991" s="30"/>
      <c r="I991" s="30"/>
      <c r="J991" s="30"/>
      <c r="K991" s="30"/>
    </row>
    <row r="992" spans="1:11" ht="15">
      <c r="A992" s="30"/>
      <c r="B992" s="30"/>
      <c r="C992" s="30"/>
      <c r="D992" s="30"/>
      <c r="E992" s="30"/>
      <c r="F992" s="30"/>
      <c r="G992" s="30"/>
      <c r="H992" s="30"/>
      <c r="I992" s="30"/>
      <c r="J992" s="30"/>
      <c r="K992" s="30"/>
    </row>
    <row r="993" spans="1:11" ht="15">
      <c r="A993" s="30"/>
      <c r="B993" s="30"/>
      <c r="C993" s="30"/>
      <c r="D993" s="30"/>
      <c r="E993" s="30"/>
      <c r="F993" s="30"/>
      <c r="G993" s="30"/>
      <c r="H993" s="30"/>
      <c r="I993" s="30"/>
      <c r="J993" s="30"/>
      <c r="K993" s="30"/>
    </row>
    <row r="994" spans="1:11" ht="15">
      <c r="A994" s="30"/>
      <c r="B994" s="30"/>
      <c r="C994" s="30"/>
      <c r="D994" s="30"/>
      <c r="E994" s="30"/>
      <c r="F994" s="30"/>
      <c r="G994" s="30"/>
      <c r="H994" s="30"/>
      <c r="I994" s="30"/>
      <c r="J994" s="30"/>
      <c r="K994" s="30"/>
    </row>
    <row r="995" spans="1:11" ht="15">
      <c r="A995" s="30"/>
      <c r="B995" s="30"/>
      <c r="C995" s="30"/>
      <c r="D995" s="30"/>
      <c r="E995" s="30"/>
      <c r="F995" s="30"/>
      <c r="G995" s="30"/>
      <c r="H995" s="30"/>
      <c r="I995" s="30"/>
      <c r="J995" s="30"/>
      <c r="K995" s="30"/>
    </row>
    <row r="996" spans="1:11" ht="15">
      <c r="A996" s="30"/>
      <c r="B996" s="30"/>
      <c r="C996" s="30"/>
      <c r="D996" s="30"/>
      <c r="E996" s="30"/>
      <c r="F996" s="30"/>
      <c r="G996" s="30"/>
      <c r="H996" s="30"/>
      <c r="I996" s="30"/>
      <c r="J996" s="30"/>
      <c r="K996" s="30"/>
    </row>
    <row r="997" spans="1:11" ht="15">
      <c r="A997" s="30"/>
      <c r="B997" s="30"/>
      <c r="C997" s="30"/>
      <c r="D997" s="30"/>
      <c r="E997" s="30"/>
      <c r="F997" s="30"/>
      <c r="G997" s="30"/>
      <c r="H997" s="30"/>
      <c r="I997" s="30"/>
      <c r="J997" s="30"/>
      <c r="K997" s="30"/>
    </row>
    <row r="998" spans="1:11" ht="15">
      <c r="A998" s="30"/>
      <c r="B998" s="30"/>
      <c r="C998" s="30"/>
      <c r="D998" s="30"/>
      <c r="E998" s="30"/>
      <c r="F998" s="30"/>
      <c r="G998" s="30"/>
      <c r="H998" s="30"/>
      <c r="I998" s="30"/>
      <c r="J998" s="30"/>
      <c r="K998" s="30"/>
    </row>
    <row r="999" spans="1:11" ht="15">
      <c r="A999" s="30"/>
      <c r="B999" s="30"/>
      <c r="C999" s="30"/>
      <c r="D999" s="30"/>
      <c r="E999" s="30"/>
      <c r="F999" s="30"/>
      <c r="G999" s="30"/>
      <c r="H999" s="30"/>
      <c r="I999" s="30"/>
      <c r="J999" s="30"/>
      <c r="K999" s="30"/>
    </row>
    <row r="1000" spans="1:11" ht="15">
      <c r="A1000" s="30"/>
      <c r="B1000" s="30"/>
      <c r="C1000" s="30"/>
      <c r="D1000" s="30"/>
      <c r="E1000" s="30"/>
      <c r="F1000" s="30"/>
      <c r="G1000" s="30"/>
      <c r="H1000" s="30"/>
      <c r="I1000" s="30"/>
      <c r="J1000" s="30"/>
      <c r="K1000" s="30"/>
    </row>
    <row r="1001" spans="1:11" ht="15">
      <c r="A1001" s="30"/>
      <c r="B1001" s="30"/>
      <c r="C1001" s="30"/>
      <c r="D1001" s="30"/>
      <c r="E1001" s="30"/>
      <c r="F1001" s="30"/>
      <c r="G1001" s="30"/>
      <c r="H1001" s="30"/>
      <c r="I1001" s="30"/>
      <c r="J1001" s="30"/>
      <c r="K1001" s="30"/>
    </row>
    <row r="1002" spans="1:11" ht="15">
      <c r="A1002" s="30"/>
      <c r="B1002" s="30"/>
      <c r="C1002" s="30"/>
      <c r="D1002" s="30"/>
      <c r="E1002" s="30"/>
      <c r="F1002" s="30"/>
      <c r="G1002" s="30"/>
      <c r="H1002" s="30"/>
      <c r="I1002" s="30"/>
      <c r="J1002" s="30"/>
      <c r="K1002" s="30"/>
    </row>
    <row r="1003" spans="1:11" ht="15">
      <c r="A1003" s="30"/>
      <c r="B1003" s="30"/>
      <c r="C1003" s="30"/>
      <c r="D1003" s="30"/>
      <c r="E1003" s="30"/>
      <c r="F1003" s="30"/>
      <c r="G1003" s="30"/>
      <c r="H1003" s="30"/>
      <c r="I1003" s="30"/>
      <c r="J1003" s="30"/>
      <c r="K1003" s="30"/>
    </row>
    <row r="1004" spans="1:11" ht="15">
      <c r="A1004" s="30"/>
      <c r="B1004" s="30"/>
      <c r="C1004" s="30"/>
      <c r="D1004" s="30"/>
      <c r="E1004" s="30"/>
      <c r="F1004" s="30"/>
      <c r="G1004" s="30"/>
      <c r="H1004" s="30"/>
      <c r="I1004" s="30"/>
      <c r="J1004" s="30"/>
      <c r="K1004" s="30"/>
    </row>
    <row r="1005" spans="1:11" ht="15">
      <c r="A1005" s="30"/>
      <c r="B1005" s="30"/>
      <c r="C1005" s="30"/>
      <c r="D1005" s="30"/>
      <c r="E1005" s="30"/>
      <c r="F1005" s="30"/>
      <c r="G1005" s="30"/>
      <c r="H1005" s="30"/>
      <c r="I1005" s="30"/>
      <c r="J1005" s="30"/>
      <c r="K1005" s="30"/>
    </row>
    <row r="1006" spans="1:11" ht="15">
      <c r="A1006" s="30"/>
      <c r="B1006" s="30"/>
      <c r="C1006" s="30"/>
      <c r="D1006" s="30"/>
      <c r="E1006" s="30"/>
      <c r="F1006" s="30"/>
      <c r="G1006" s="30"/>
      <c r="H1006" s="30"/>
      <c r="I1006" s="30"/>
      <c r="J1006" s="30"/>
      <c r="K1006" s="30"/>
    </row>
    <row r="1007" spans="1:11" ht="15">
      <c r="A1007" s="30"/>
      <c r="B1007" s="30"/>
      <c r="C1007" s="30"/>
      <c r="D1007" s="30"/>
      <c r="E1007" s="30"/>
      <c r="F1007" s="30"/>
      <c r="G1007" s="30"/>
      <c r="H1007" s="30"/>
      <c r="I1007" s="30"/>
      <c r="J1007" s="30"/>
      <c r="K1007" s="30"/>
    </row>
    <row r="1008" spans="1:11" ht="15">
      <c r="A1008" s="30"/>
      <c r="B1008" s="30"/>
      <c r="C1008" s="30"/>
      <c r="D1008" s="30"/>
      <c r="E1008" s="30"/>
      <c r="F1008" s="30"/>
      <c r="G1008" s="30"/>
      <c r="H1008" s="30"/>
      <c r="I1008" s="30"/>
      <c r="J1008" s="30"/>
      <c r="K1008" s="30"/>
    </row>
    <row r="1009" spans="1:11" ht="15">
      <c r="A1009" s="30"/>
      <c r="B1009" s="30"/>
      <c r="C1009" s="30"/>
      <c r="D1009" s="30"/>
      <c r="E1009" s="30"/>
      <c r="F1009" s="30"/>
      <c r="G1009" s="30"/>
      <c r="H1009" s="30"/>
      <c r="I1009" s="30"/>
      <c r="J1009" s="30"/>
      <c r="K1009" s="30"/>
    </row>
    <row r="1010" spans="1:11" ht="15">
      <c r="A1010" s="30"/>
      <c r="B1010" s="30"/>
      <c r="C1010" s="30"/>
      <c r="D1010" s="30"/>
      <c r="E1010" s="30"/>
      <c r="F1010" s="30"/>
      <c r="G1010" s="30"/>
      <c r="H1010" s="30"/>
      <c r="I1010" s="30"/>
      <c r="J1010" s="30"/>
      <c r="K1010" s="30"/>
    </row>
    <row r="1011" spans="1:11" ht="15">
      <c r="A1011" s="30"/>
      <c r="B1011" s="30"/>
      <c r="C1011" s="30"/>
      <c r="D1011" s="30"/>
      <c r="E1011" s="30"/>
      <c r="F1011" s="30"/>
      <c r="G1011" s="30"/>
      <c r="H1011" s="30"/>
      <c r="I1011" s="30"/>
      <c r="J1011" s="30"/>
      <c r="K1011" s="30"/>
    </row>
    <row r="1012" spans="1:11" ht="15">
      <c r="A1012" s="30"/>
      <c r="B1012" s="30"/>
      <c r="C1012" s="30"/>
      <c r="D1012" s="30"/>
      <c r="E1012" s="30"/>
      <c r="F1012" s="30"/>
      <c r="G1012" s="30"/>
      <c r="H1012" s="30"/>
      <c r="I1012" s="30"/>
      <c r="J1012" s="30"/>
      <c r="K1012" s="30"/>
    </row>
    <row r="1013" spans="1:11" ht="15">
      <c r="A1013" s="30"/>
      <c r="B1013" s="30"/>
      <c r="C1013" s="30"/>
      <c r="D1013" s="30"/>
      <c r="E1013" s="30"/>
      <c r="F1013" s="30"/>
      <c r="G1013" s="30"/>
      <c r="H1013" s="30"/>
      <c r="I1013" s="30"/>
      <c r="J1013" s="30"/>
      <c r="K1013" s="30"/>
    </row>
    <row r="1014" spans="1:11" ht="15">
      <c r="A1014" s="30"/>
      <c r="B1014" s="30"/>
      <c r="C1014" s="30"/>
      <c r="D1014" s="30"/>
      <c r="E1014" s="30"/>
      <c r="F1014" s="30"/>
      <c r="G1014" s="30"/>
      <c r="H1014" s="30"/>
      <c r="I1014" s="30"/>
      <c r="J1014" s="30"/>
      <c r="K1014" s="30"/>
    </row>
    <row r="1015" spans="1:11" ht="15">
      <c r="A1015" s="30"/>
      <c r="B1015" s="30"/>
      <c r="C1015" s="30"/>
      <c r="D1015" s="30"/>
      <c r="E1015" s="30"/>
      <c r="F1015" s="30"/>
      <c r="G1015" s="30"/>
      <c r="H1015" s="30"/>
      <c r="I1015" s="30"/>
      <c r="J1015" s="30"/>
      <c r="K1015" s="30"/>
    </row>
    <row r="1016" spans="1:11" ht="15">
      <c r="A1016" s="30"/>
      <c r="B1016" s="30"/>
      <c r="C1016" s="30"/>
      <c r="D1016" s="30"/>
      <c r="E1016" s="30"/>
      <c r="F1016" s="30"/>
      <c r="G1016" s="30"/>
      <c r="H1016" s="30"/>
      <c r="I1016" s="30"/>
      <c r="J1016" s="30"/>
      <c r="K1016" s="30"/>
    </row>
    <row r="1017" spans="1:11" ht="15">
      <c r="A1017" s="30"/>
      <c r="B1017" s="30"/>
      <c r="C1017" s="30"/>
      <c r="D1017" s="30"/>
      <c r="E1017" s="30"/>
      <c r="F1017" s="30"/>
      <c r="G1017" s="30"/>
      <c r="H1017" s="30"/>
      <c r="I1017" s="30"/>
      <c r="J1017" s="30"/>
      <c r="K1017" s="30"/>
    </row>
    <row r="1018" spans="1:11" ht="15">
      <c r="A1018" s="30"/>
      <c r="B1018" s="30"/>
      <c r="C1018" s="30"/>
      <c r="D1018" s="30"/>
      <c r="E1018" s="30"/>
      <c r="F1018" s="30"/>
      <c r="G1018" s="30"/>
      <c r="H1018" s="30"/>
      <c r="I1018" s="30"/>
      <c r="J1018" s="30"/>
      <c r="K1018" s="30"/>
    </row>
    <row r="1019" spans="1:11" ht="15">
      <c r="A1019" s="30"/>
      <c r="B1019" s="30"/>
      <c r="C1019" s="30"/>
      <c r="D1019" s="30"/>
      <c r="E1019" s="30"/>
      <c r="F1019" s="30"/>
      <c r="G1019" s="30"/>
      <c r="H1019" s="30"/>
      <c r="I1019" s="30"/>
      <c r="J1019" s="30"/>
      <c r="K1019" s="30"/>
    </row>
    <row r="1020" spans="1:11" ht="15">
      <c r="A1020" s="30"/>
      <c r="B1020" s="30"/>
      <c r="C1020" s="30"/>
      <c r="D1020" s="30"/>
      <c r="E1020" s="30"/>
      <c r="F1020" s="30"/>
      <c r="G1020" s="30"/>
      <c r="H1020" s="30"/>
      <c r="I1020" s="30"/>
      <c r="J1020" s="30"/>
      <c r="K1020" s="30"/>
    </row>
    <row r="1021" spans="1:11" ht="15">
      <c r="A1021" s="30"/>
      <c r="B1021" s="30"/>
      <c r="C1021" s="30"/>
      <c r="D1021" s="30"/>
      <c r="E1021" s="30"/>
      <c r="F1021" s="30"/>
      <c r="G1021" s="30"/>
      <c r="H1021" s="30"/>
      <c r="I1021" s="30"/>
      <c r="J1021" s="30"/>
      <c r="K1021" s="30"/>
    </row>
    <row r="1022" spans="1:11" ht="15">
      <c r="A1022" s="30"/>
      <c r="B1022" s="30"/>
      <c r="C1022" s="30"/>
      <c r="D1022" s="30"/>
      <c r="E1022" s="30"/>
      <c r="F1022" s="30"/>
      <c r="G1022" s="30"/>
      <c r="H1022" s="30"/>
      <c r="I1022" s="30"/>
      <c r="J1022" s="30"/>
      <c r="K1022" s="30"/>
    </row>
    <row r="1023" spans="1:11" ht="15">
      <c r="A1023" s="30"/>
      <c r="B1023" s="30"/>
      <c r="C1023" s="30"/>
      <c r="D1023" s="30"/>
      <c r="E1023" s="30"/>
      <c r="F1023" s="30"/>
      <c r="G1023" s="30"/>
      <c r="H1023" s="30"/>
      <c r="I1023" s="30"/>
      <c r="J1023" s="30"/>
      <c r="K1023" s="30"/>
    </row>
    <row r="1024" spans="1:11" ht="15">
      <c r="A1024" s="30"/>
      <c r="B1024" s="30"/>
      <c r="C1024" s="30"/>
      <c r="D1024" s="30"/>
      <c r="E1024" s="30"/>
      <c r="F1024" s="30"/>
      <c r="G1024" s="30"/>
      <c r="H1024" s="30"/>
      <c r="I1024" s="30"/>
      <c r="J1024" s="30"/>
      <c r="K1024" s="30"/>
    </row>
    <row r="1025" spans="1:11" ht="15">
      <c r="A1025" s="30"/>
      <c r="B1025" s="30"/>
      <c r="C1025" s="30"/>
      <c r="D1025" s="30"/>
      <c r="E1025" s="30"/>
      <c r="F1025" s="30"/>
      <c r="G1025" s="30"/>
      <c r="H1025" s="30"/>
      <c r="I1025" s="30"/>
      <c r="J1025" s="30"/>
      <c r="K1025" s="30"/>
    </row>
    <row r="1026" spans="1:11" ht="15">
      <c r="A1026" s="30"/>
      <c r="B1026" s="30"/>
      <c r="C1026" s="30"/>
      <c r="D1026" s="30"/>
      <c r="E1026" s="30"/>
      <c r="F1026" s="30"/>
      <c r="G1026" s="30"/>
      <c r="H1026" s="30"/>
      <c r="I1026" s="30"/>
      <c r="J1026" s="30"/>
      <c r="K1026" s="30"/>
    </row>
    <row r="1027" spans="1:11" ht="15">
      <c r="A1027" s="30"/>
      <c r="B1027" s="30"/>
      <c r="C1027" s="30"/>
      <c r="D1027" s="30"/>
      <c r="E1027" s="30"/>
      <c r="F1027" s="30"/>
      <c r="G1027" s="30"/>
      <c r="H1027" s="30"/>
      <c r="I1027" s="30"/>
      <c r="J1027" s="30"/>
      <c r="K1027" s="30"/>
    </row>
    <row r="1028" spans="1:11" ht="15">
      <c r="A1028" s="30"/>
      <c r="B1028" s="30"/>
      <c r="C1028" s="30"/>
      <c r="D1028" s="30"/>
      <c r="E1028" s="30"/>
      <c r="F1028" s="30"/>
      <c r="G1028" s="30"/>
      <c r="H1028" s="30"/>
      <c r="I1028" s="30"/>
      <c r="J1028" s="30"/>
      <c r="K1028" s="30"/>
    </row>
    <row r="1029" spans="1:11" ht="15">
      <c r="A1029" s="30"/>
      <c r="B1029" s="30"/>
      <c r="C1029" s="30"/>
      <c r="D1029" s="30"/>
      <c r="E1029" s="30"/>
      <c r="F1029" s="30"/>
      <c r="G1029" s="30"/>
      <c r="H1029" s="30"/>
      <c r="I1029" s="30"/>
      <c r="J1029" s="30"/>
      <c r="K1029" s="30"/>
    </row>
    <row r="1030" spans="1:11" ht="15">
      <c r="A1030" s="30"/>
      <c r="B1030" s="30"/>
      <c r="C1030" s="30"/>
      <c r="D1030" s="30"/>
      <c r="E1030" s="30"/>
      <c r="F1030" s="30"/>
      <c r="G1030" s="30"/>
      <c r="H1030" s="30"/>
      <c r="I1030" s="30"/>
      <c r="J1030" s="30"/>
      <c r="K1030" s="30"/>
    </row>
    <row r="1031" spans="1:11" ht="15">
      <c r="A1031" s="30"/>
      <c r="B1031" s="30"/>
      <c r="C1031" s="30"/>
      <c r="D1031" s="30"/>
      <c r="E1031" s="30"/>
      <c r="F1031" s="30"/>
      <c r="G1031" s="30"/>
      <c r="H1031" s="30"/>
      <c r="I1031" s="30"/>
      <c r="J1031" s="30"/>
      <c r="K1031" s="30"/>
    </row>
    <row r="1032" spans="1:11" ht="15">
      <c r="A1032" s="30"/>
      <c r="B1032" s="30"/>
      <c r="C1032" s="30"/>
      <c r="D1032" s="30"/>
      <c r="E1032" s="30"/>
      <c r="F1032" s="30"/>
      <c r="G1032" s="30"/>
      <c r="H1032" s="30"/>
      <c r="I1032" s="30"/>
      <c r="J1032" s="30"/>
      <c r="K1032" s="30"/>
    </row>
    <row r="1033" spans="1:11" ht="15">
      <c r="A1033" s="30"/>
      <c r="B1033" s="30"/>
      <c r="C1033" s="30"/>
      <c r="D1033" s="30"/>
      <c r="E1033" s="30"/>
      <c r="F1033" s="30"/>
      <c r="G1033" s="30"/>
      <c r="H1033" s="30"/>
      <c r="I1033" s="30"/>
      <c r="J1033" s="30"/>
      <c r="K1033" s="30"/>
    </row>
    <row r="1034" spans="1:11" ht="15">
      <c r="A1034" s="30"/>
      <c r="B1034" s="30"/>
      <c r="C1034" s="30"/>
      <c r="D1034" s="30"/>
      <c r="E1034" s="30"/>
      <c r="F1034" s="30"/>
      <c r="G1034" s="30"/>
      <c r="H1034" s="30"/>
      <c r="I1034" s="30"/>
      <c r="J1034" s="30"/>
      <c r="K1034" s="30"/>
    </row>
    <row r="1035" spans="1:11" ht="15">
      <c r="A1035" s="30"/>
      <c r="B1035" s="30"/>
      <c r="C1035" s="30"/>
      <c r="D1035" s="30"/>
      <c r="E1035" s="30"/>
      <c r="F1035" s="30"/>
      <c r="G1035" s="30"/>
      <c r="H1035" s="30"/>
      <c r="I1035" s="30"/>
      <c r="J1035" s="30"/>
      <c r="K1035" s="30"/>
    </row>
    <row r="1036" spans="1:11" ht="15">
      <c r="A1036" s="30"/>
      <c r="B1036" s="30"/>
      <c r="C1036" s="30"/>
      <c r="D1036" s="30"/>
      <c r="E1036" s="30"/>
      <c r="F1036" s="30"/>
      <c r="G1036" s="30"/>
      <c r="H1036" s="30"/>
      <c r="I1036" s="30"/>
      <c r="J1036" s="30"/>
      <c r="K1036" s="30"/>
    </row>
    <row r="1037" spans="1:11" ht="15">
      <c r="A1037" s="30"/>
      <c r="B1037" s="30"/>
      <c r="C1037" s="30"/>
      <c r="D1037" s="30"/>
      <c r="E1037" s="30"/>
      <c r="F1037" s="30"/>
      <c r="G1037" s="30"/>
      <c r="H1037" s="30"/>
      <c r="I1037" s="30"/>
      <c r="J1037" s="30"/>
      <c r="K1037" s="30"/>
    </row>
    <row r="1038" spans="1:11" ht="15">
      <c r="A1038" s="30"/>
      <c r="B1038" s="30"/>
      <c r="C1038" s="30"/>
      <c r="D1038" s="30"/>
      <c r="E1038" s="30"/>
      <c r="F1038" s="30"/>
      <c r="G1038" s="30"/>
      <c r="H1038" s="30"/>
      <c r="I1038" s="30"/>
      <c r="J1038" s="30"/>
      <c r="K1038" s="30"/>
    </row>
    <row r="1039" spans="1:11" ht="15">
      <c r="A1039" s="30"/>
      <c r="B1039" s="30"/>
      <c r="C1039" s="30"/>
      <c r="D1039" s="30"/>
      <c r="E1039" s="30"/>
      <c r="F1039" s="30"/>
      <c r="G1039" s="30"/>
      <c r="H1039" s="30"/>
      <c r="I1039" s="30"/>
      <c r="J1039" s="30"/>
      <c r="K1039" s="30"/>
    </row>
    <row r="1040" spans="1:11" ht="15">
      <c r="A1040" s="30"/>
      <c r="B1040" s="30"/>
      <c r="C1040" s="30"/>
      <c r="D1040" s="30"/>
      <c r="E1040" s="30"/>
      <c r="F1040" s="30"/>
      <c r="G1040" s="30"/>
      <c r="H1040" s="30"/>
      <c r="I1040" s="30"/>
      <c r="J1040" s="30"/>
      <c r="K1040" s="30"/>
    </row>
    <row r="1041" spans="1:11" ht="15">
      <c r="A1041" s="30"/>
      <c r="B1041" s="30"/>
      <c r="C1041" s="30"/>
      <c r="D1041" s="30"/>
      <c r="E1041" s="30"/>
      <c r="F1041" s="30"/>
      <c r="G1041" s="30"/>
      <c r="H1041" s="30"/>
      <c r="I1041" s="30"/>
      <c r="J1041" s="30"/>
      <c r="K1041" s="30"/>
    </row>
    <row r="1042" spans="1:11" ht="15">
      <c r="A1042" s="30"/>
      <c r="B1042" s="30"/>
      <c r="C1042" s="30"/>
      <c r="D1042" s="30"/>
      <c r="E1042" s="30"/>
      <c r="F1042" s="30"/>
      <c r="G1042" s="30"/>
      <c r="H1042" s="30"/>
      <c r="I1042" s="30"/>
      <c r="J1042" s="30"/>
      <c r="K1042" s="30"/>
    </row>
    <row r="1043" spans="1:11" ht="15">
      <c r="A1043" s="30"/>
      <c r="B1043" s="30"/>
      <c r="C1043" s="30"/>
      <c r="D1043" s="30"/>
      <c r="E1043" s="30"/>
      <c r="F1043" s="30"/>
      <c r="G1043" s="30"/>
      <c r="H1043" s="30"/>
      <c r="I1043" s="30"/>
      <c r="J1043" s="30"/>
      <c r="K1043" s="30"/>
    </row>
    <row r="1044" spans="1:11" ht="15">
      <c r="A1044" s="30"/>
      <c r="B1044" s="30"/>
      <c r="C1044" s="30"/>
      <c r="D1044" s="30"/>
      <c r="E1044" s="30"/>
      <c r="F1044" s="30"/>
      <c r="G1044" s="30"/>
      <c r="H1044" s="30"/>
      <c r="I1044" s="30"/>
      <c r="J1044" s="30"/>
      <c r="K1044" s="30"/>
    </row>
    <row r="1045" spans="1:11" ht="15">
      <c r="A1045" s="30"/>
      <c r="B1045" s="30"/>
      <c r="C1045" s="30"/>
      <c r="D1045" s="30"/>
      <c r="E1045" s="30"/>
      <c r="F1045" s="30"/>
      <c r="G1045" s="30"/>
      <c r="H1045" s="30"/>
      <c r="I1045" s="30"/>
      <c r="J1045" s="30"/>
      <c r="K1045" s="30"/>
    </row>
    <row r="1046" spans="1:11" ht="15">
      <c r="A1046" s="30"/>
      <c r="B1046" s="30"/>
      <c r="C1046" s="30"/>
      <c r="D1046" s="30"/>
      <c r="E1046" s="30"/>
      <c r="F1046" s="30"/>
      <c r="G1046" s="30"/>
      <c r="H1046" s="30"/>
      <c r="I1046" s="30"/>
      <c r="J1046" s="30"/>
      <c r="K1046" s="30"/>
    </row>
    <row r="1047" spans="1:11" ht="15">
      <c r="A1047" s="30"/>
      <c r="B1047" s="30"/>
      <c r="C1047" s="30"/>
      <c r="D1047" s="30"/>
      <c r="E1047" s="30"/>
      <c r="F1047" s="30"/>
      <c r="G1047" s="30"/>
      <c r="H1047" s="30"/>
      <c r="I1047" s="30"/>
      <c r="J1047" s="30"/>
      <c r="K1047" s="30"/>
    </row>
    <row r="1048" spans="1:11" ht="15">
      <c r="A1048" s="30"/>
      <c r="B1048" s="30"/>
      <c r="C1048" s="30"/>
      <c r="D1048" s="30"/>
      <c r="E1048" s="30"/>
      <c r="F1048" s="30"/>
      <c r="G1048" s="30"/>
      <c r="H1048" s="30"/>
      <c r="I1048" s="30"/>
      <c r="J1048" s="30"/>
      <c r="K1048" s="30"/>
    </row>
    <row r="1049" spans="1:11" ht="15">
      <c r="A1049" s="30"/>
      <c r="B1049" s="30"/>
      <c r="C1049" s="30"/>
      <c r="D1049" s="30"/>
      <c r="E1049" s="30"/>
      <c r="F1049" s="30"/>
      <c r="G1049" s="30"/>
      <c r="H1049" s="30"/>
      <c r="I1049" s="30"/>
      <c r="J1049" s="30"/>
      <c r="K1049" s="30"/>
    </row>
    <row r="1050" spans="1:11" ht="15">
      <c r="A1050" s="30"/>
      <c r="B1050" s="30"/>
      <c r="C1050" s="30"/>
      <c r="D1050" s="30"/>
      <c r="E1050" s="30"/>
      <c r="F1050" s="30"/>
      <c r="G1050" s="30"/>
      <c r="H1050" s="30"/>
      <c r="I1050" s="30"/>
      <c r="J1050" s="30"/>
      <c r="K1050" s="30"/>
    </row>
    <row r="1051" spans="1:11" ht="15">
      <c r="A1051" s="30"/>
      <c r="B1051" s="30"/>
      <c r="C1051" s="30"/>
      <c r="D1051" s="30"/>
      <c r="E1051" s="30"/>
      <c r="F1051" s="30"/>
      <c r="G1051" s="30"/>
      <c r="H1051" s="30"/>
      <c r="I1051" s="30"/>
      <c r="J1051" s="30"/>
      <c r="K1051" s="30"/>
    </row>
    <row r="1052" spans="1:11" ht="15">
      <c r="A1052" s="30"/>
      <c r="B1052" s="30"/>
      <c r="C1052" s="30"/>
      <c r="D1052" s="30"/>
      <c r="E1052" s="30"/>
      <c r="F1052" s="30"/>
      <c r="G1052" s="30"/>
      <c r="H1052" s="30"/>
      <c r="I1052" s="30"/>
      <c r="J1052" s="30"/>
      <c r="K1052" s="30"/>
    </row>
    <row r="1053" spans="1:11" ht="15">
      <c r="A1053" s="30"/>
      <c r="B1053" s="30"/>
      <c r="C1053" s="30"/>
      <c r="D1053" s="30"/>
      <c r="E1053" s="30"/>
      <c r="F1053" s="30"/>
      <c r="G1053" s="30"/>
      <c r="H1053" s="30"/>
      <c r="I1053" s="30"/>
      <c r="J1053" s="30"/>
      <c r="K1053" s="30"/>
    </row>
    <row r="1054" spans="1:11" ht="15">
      <c r="A1054" s="30"/>
      <c r="B1054" s="30"/>
      <c r="C1054" s="30"/>
      <c r="D1054" s="30"/>
      <c r="E1054" s="30"/>
      <c r="F1054" s="30"/>
      <c r="G1054" s="30"/>
      <c r="H1054" s="30"/>
      <c r="I1054" s="30"/>
      <c r="J1054" s="30"/>
      <c r="K1054" s="30"/>
    </row>
    <row r="1055" spans="1:11" ht="15">
      <c r="A1055" s="30"/>
      <c r="B1055" s="30"/>
      <c r="C1055" s="30"/>
      <c r="D1055" s="30"/>
      <c r="E1055" s="30"/>
      <c r="F1055" s="30"/>
      <c r="G1055" s="30"/>
      <c r="H1055" s="30"/>
      <c r="I1055" s="30"/>
      <c r="J1055" s="30"/>
      <c r="K1055" s="30"/>
    </row>
    <row r="1056" spans="1:11" ht="15">
      <c r="A1056" s="30"/>
      <c r="B1056" s="30"/>
      <c r="C1056" s="30"/>
      <c r="D1056" s="30"/>
      <c r="E1056" s="30"/>
      <c r="F1056" s="30"/>
      <c r="G1056" s="30"/>
      <c r="H1056" s="30"/>
      <c r="I1056" s="30"/>
      <c r="J1056" s="30"/>
      <c r="K1056" s="30"/>
    </row>
    <row r="1057" spans="1:11" ht="15">
      <c r="A1057" s="30"/>
      <c r="B1057" s="30"/>
      <c r="C1057" s="30"/>
      <c r="D1057" s="30"/>
      <c r="E1057" s="30"/>
      <c r="F1057" s="30"/>
      <c r="G1057" s="30"/>
      <c r="H1057" s="30"/>
      <c r="I1057" s="30"/>
      <c r="J1057" s="30"/>
      <c r="K1057" s="30"/>
    </row>
    <row r="1058" spans="1:11" ht="15">
      <c r="A1058" s="30"/>
      <c r="B1058" s="30"/>
      <c r="C1058" s="30"/>
      <c r="D1058" s="30"/>
      <c r="E1058" s="30"/>
      <c r="F1058" s="30"/>
      <c r="G1058" s="30"/>
      <c r="H1058" s="30"/>
      <c r="I1058" s="30"/>
      <c r="J1058" s="30"/>
      <c r="K1058" s="30"/>
    </row>
    <row r="1059" spans="1:11" ht="15">
      <c r="A1059" s="30"/>
      <c r="B1059" s="30"/>
      <c r="C1059" s="30"/>
      <c r="D1059" s="30"/>
      <c r="E1059" s="30"/>
      <c r="F1059" s="30"/>
      <c r="G1059" s="30"/>
      <c r="H1059" s="30"/>
      <c r="I1059" s="30"/>
      <c r="J1059" s="30"/>
      <c r="K1059" s="30"/>
    </row>
    <row r="1060" spans="1:11" ht="15">
      <c r="A1060" s="30"/>
      <c r="B1060" s="30"/>
      <c r="C1060" s="30"/>
      <c r="D1060" s="30"/>
      <c r="E1060" s="30"/>
      <c r="F1060" s="30"/>
      <c r="G1060" s="30"/>
      <c r="H1060" s="30"/>
      <c r="I1060" s="30"/>
      <c r="J1060" s="30"/>
      <c r="K1060" s="30"/>
    </row>
    <row r="1061" spans="1:11" ht="15">
      <c r="A1061" s="30"/>
      <c r="B1061" s="30"/>
      <c r="C1061" s="30"/>
      <c r="D1061" s="30"/>
      <c r="E1061" s="30"/>
      <c r="F1061" s="30"/>
      <c r="G1061" s="30"/>
      <c r="H1061" s="30"/>
      <c r="I1061" s="30"/>
      <c r="J1061" s="30"/>
      <c r="K1061" s="30"/>
    </row>
    <row r="1062" spans="1:11" ht="15">
      <c r="A1062" s="30"/>
      <c r="B1062" s="30"/>
      <c r="C1062" s="30"/>
      <c r="D1062" s="30"/>
      <c r="E1062" s="30"/>
      <c r="F1062" s="30"/>
      <c r="G1062" s="30"/>
      <c r="H1062" s="30"/>
      <c r="I1062" s="30"/>
      <c r="J1062" s="30"/>
      <c r="K1062" s="30"/>
    </row>
    <row r="1063" spans="1:11" ht="15">
      <c r="A1063" s="30"/>
      <c r="B1063" s="30"/>
      <c r="C1063" s="30"/>
      <c r="D1063" s="30"/>
      <c r="E1063" s="30"/>
      <c r="F1063" s="30"/>
      <c r="G1063" s="30"/>
      <c r="H1063" s="30"/>
      <c r="I1063" s="30"/>
      <c r="J1063" s="30"/>
      <c r="K1063" s="30"/>
    </row>
    <row r="1064" spans="1:11" ht="15">
      <c r="A1064" s="30"/>
      <c r="B1064" s="30"/>
      <c r="C1064" s="30"/>
      <c r="D1064" s="30"/>
      <c r="E1064" s="30"/>
      <c r="F1064" s="30"/>
      <c r="G1064" s="30"/>
      <c r="H1064" s="30"/>
      <c r="I1064" s="30"/>
      <c r="J1064" s="30"/>
      <c r="K1064" s="30"/>
    </row>
    <row r="1065" spans="1:11" ht="15">
      <c r="A1065" s="30"/>
      <c r="B1065" s="30"/>
      <c r="C1065" s="30"/>
      <c r="D1065" s="30"/>
      <c r="E1065" s="30"/>
      <c r="F1065" s="30"/>
      <c r="G1065" s="30"/>
      <c r="H1065" s="30"/>
      <c r="I1065" s="30"/>
      <c r="J1065" s="30"/>
      <c r="K1065" s="30"/>
    </row>
    <row r="1066" spans="1:11" ht="15">
      <c r="A1066" s="30"/>
      <c r="B1066" s="30"/>
      <c r="C1066" s="30"/>
      <c r="D1066" s="30"/>
      <c r="E1066" s="30"/>
      <c r="F1066" s="30"/>
      <c r="G1066" s="30"/>
      <c r="H1066" s="30"/>
      <c r="I1066" s="30"/>
      <c r="J1066" s="30"/>
      <c r="K1066" s="30"/>
    </row>
    <row r="1067" spans="1:11" ht="15">
      <c r="A1067" s="30"/>
      <c r="B1067" s="30"/>
      <c r="C1067" s="30"/>
      <c r="D1067" s="30"/>
      <c r="E1067" s="30"/>
      <c r="F1067" s="30"/>
      <c r="G1067" s="30"/>
      <c r="H1067" s="30"/>
      <c r="I1067" s="30"/>
      <c r="J1067" s="30"/>
      <c r="K1067" s="30"/>
    </row>
    <row r="1068" spans="1:11" ht="15">
      <c r="A1068" s="30"/>
      <c r="B1068" s="30"/>
      <c r="C1068" s="30"/>
      <c r="D1068" s="30"/>
      <c r="E1068" s="30"/>
      <c r="F1068" s="30"/>
      <c r="G1068" s="30"/>
      <c r="H1068" s="30"/>
      <c r="I1068" s="30"/>
      <c r="J1068" s="30"/>
      <c r="K1068" s="30"/>
    </row>
    <row r="1069" spans="1:11" ht="15">
      <c r="A1069" s="30"/>
      <c r="B1069" s="30"/>
      <c r="C1069" s="30"/>
      <c r="D1069" s="30"/>
      <c r="E1069" s="30"/>
      <c r="F1069" s="30"/>
      <c r="G1069" s="30"/>
      <c r="H1069" s="30"/>
      <c r="I1069" s="30"/>
      <c r="J1069" s="30"/>
      <c r="K1069" s="30"/>
    </row>
    <row r="1070" spans="1:11" ht="15">
      <c r="A1070" s="30"/>
      <c r="B1070" s="30"/>
      <c r="C1070" s="30"/>
      <c r="D1070" s="30"/>
      <c r="E1070" s="30"/>
      <c r="F1070" s="30"/>
      <c r="G1070" s="30"/>
      <c r="H1070" s="30"/>
      <c r="I1070" s="30"/>
      <c r="J1070" s="30"/>
      <c r="K1070" s="30"/>
    </row>
    <row r="1071" spans="1:11" ht="15">
      <c r="A1071" s="30"/>
      <c r="B1071" s="30"/>
      <c r="C1071" s="30"/>
      <c r="D1071" s="30"/>
      <c r="E1071" s="30"/>
      <c r="F1071" s="30"/>
      <c r="G1071" s="30"/>
      <c r="H1071" s="30"/>
      <c r="I1071" s="30"/>
      <c r="J1071" s="30"/>
      <c r="K1071" s="30"/>
    </row>
    <row r="1072" spans="1:11" ht="15">
      <c r="A1072" s="30"/>
      <c r="B1072" s="30"/>
      <c r="C1072" s="30"/>
      <c r="D1072" s="30"/>
      <c r="E1072" s="30"/>
      <c r="F1072" s="30"/>
      <c r="G1072" s="30"/>
      <c r="H1072" s="30"/>
      <c r="I1072" s="30"/>
      <c r="J1072" s="30"/>
      <c r="K1072" s="30"/>
    </row>
    <row r="1073" spans="1:11" ht="15">
      <c r="A1073" s="30"/>
      <c r="B1073" s="30"/>
      <c r="C1073" s="30"/>
      <c r="D1073" s="30"/>
      <c r="E1073" s="30"/>
      <c r="F1073" s="30"/>
      <c r="G1073" s="30"/>
      <c r="H1073" s="30"/>
      <c r="I1073" s="30"/>
      <c r="J1073" s="30"/>
      <c r="K1073" s="30"/>
    </row>
    <row r="1074" spans="1:11" ht="15">
      <c r="A1074" s="30"/>
      <c r="B1074" s="30"/>
      <c r="C1074" s="30"/>
      <c r="D1074" s="30"/>
      <c r="E1074" s="30"/>
      <c r="F1074" s="30"/>
      <c r="G1074" s="30"/>
      <c r="H1074" s="30"/>
      <c r="I1074" s="30"/>
      <c r="J1074" s="30"/>
      <c r="K1074" s="30"/>
    </row>
    <row r="1075" spans="1:11" ht="15">
      <c r="A1075" s="30"/>
      <c r="B1075" s="30"/>
      <c r="C1075" s="30"/>
      <c r="D1075" s="30"/>
      <c r="E1075" s="30"/>
      <c r="F1075" s="30"/>
      <c r="G1075" s="30"/>
      <c r="H1075" s="30"/>
      <c r="I1075" s="30"/>
      <c r="J1075" s="30"/>
      <c r="K1075" s="30"/>
    </row>
    <row r="1076" spans="1:11" ht="15">
      <c r="A1076" s="30"/>
      <c r="B1076" s="30"/>
      <c r="C1076" s="30"/>
      <c r="D1076" s="30"/>
      <c r="E1076" s="30"/>
      <c r="F1076" s="30"/>
      <c r="G1076" s="30"/>
      <c r="H1076" s="30"/>
      <c r="I1076" s="30"/>
      <c r="J1076" s="30"/>
      <c r="K1076" s="30"/>
    </row>
    <row r="1077" spans="1:11" ht="15">
      <c r="A1077" s="30"/>
      <c r="B1077" s="30"/>
      <c r="C1077" s="30"/>
      <c r="D1077" s="30"/>
      <c r="E1077" s="30"/>
      <c r="F1077" s="30"/>
      <c r="G1077" s="30"/>
      <c r="H1077" s="30"/>
      <c r="I1077" s="30"/>
      <c r="J1077" s="30"/>
      <c r="K1077" s="30"/>
    </row>
    <row r="1078" spans="1:11" ht="15">
      <c r="A1078" s="30"/>
      <c r="B1078" s="30"/>
      <c r="C1078" s="30"/>
      <c r="D1078" s="30"/>
      <c r="E1078" s="30"/>
      <c r="F1078" s="30"/>
      <c r="G1078" s="30"/>
      <c r="H1078" s="30"/>
      <c r="I1078" s="30"/>
      <c r="J1078" s="30"/>
      <c r="K1078" s="30"/>
    </row>
    <row r="1079" spans="1:11" ht="15">
      <c r="A1079" s="30"/>
      <c r="B1079" s="30"/>
      <c r="C1079" s="30"/>
      <c r="D1079" s="30"/>
      <c r="E1079" s="30"/>
      <c r="F1079" s="30"/>
      <c r="G1079" s="30"/>
      <c r="H1079" s="30"/>
      <c r="I1079" s="30"/>
      <c r="J1079" s="30"/>
      <c r="K1079" s="30"/>
    </row>
    <row r="1080" spans="1:11" ht="15">
      <c r="A1080" s="30"/>
      <c r="B1080" s="30"/>
      <c r="C1080" s="30"/>
      <c r="D1080" s="30"/>
      <c r="E1080" s="30"/>
      <c r="F1080" s="30"/>
      <c r="G1080" s="30"/>
      <c r="H1080" s="30"/>
      <c r="I1080" s="30"/>
      <c r="J1080" s="30"/>
      <c r="K1080" s="30"/>
    </row>
    <row r="1081" spans="1:11" ht="15">
      <c r="A1081" s="30"/>
      <c r="B1081" s="30"/>
      <c r="C1081" s="30"/>
      <c r="D1081" s="30"/>
      <c r="E1081" s="30"/>
      <c r="F1081" s="30"/>
      <c r="G1081" s="30"/>
      <c r="H1081" s="30"/>
      <c r="I1081" s="30"/>
      <c r="J1081" s="30"/>
      <c r="K1081" s="30"/>
    </row>
    <row r="1082" spans="1:11" ht="15">
      <c r="A1082" s="30"/>
      <c r="B1082" s="30"/>
      <c r="C1082" s="30"/>
      <c r="D1082" s="30"/>
      <c r="E1082" s="30"/>
      <c r="F1082" s="30"/>
      <c r="G1082" s="30"/>
      <c r="H1082" s="30"/>
      <c r="I1082" s="30"/>
      <c r="J1082" s="30"/>
      <c r="K1082" s="30"/>
    </row>
    <row r="1083" spans="1:11" ht="15">
      <c r="A1083" s="30"/>
      <c r="B1083" s="30"/>
      <c r="C1083" s="30"/>
      <c r="D1083" s="30"/>
      <c r="E1083" s="30"/>
      <c r="F1083" s="30"/>
      <c r="G1083" s="30"/>
      <c r="H1083" s="30"/>
      <c r="I1083" s="30"/>
      <c r="J1083" s="30"/>
      <c r="K1083" s="30"/>
    </row>
    <row r="1084" spans="1:11" ht="15">
      <c r="A1084" s="30"/>
      <c r="B1084" s="30"/>
      <c r="C1084" s="30"/>
      <c r="D1084" s="30"/>
      <c r="E1084" s="30"/>
      <c r="F1084" s="30"/>
      <c r="G1084" s="30"/>
      <c r="H1084" s="30"/>
      <c r="I1084" s="30"/>
      <c r="J1084" s="30"/>
      <c r="K1084" s="30"/>
    </row>
    <row r="1085" spans="1:11" ht="15">
      <c r="A1085" s="30"/>
      <c r="B1085" s="30"/>
      <c r="C1085" s="30"/>
      <c r="D1085" s="30"/>
      <c r="E1085" s="30"/>
      <c r="F1085" s="30"/>
      <c r="G1085" s="30"/>
      <c r="H1085" s="30"/>
      <c r="I1085" s="30"/>
      <c r="J1085" s="30"/>
      <c r="K1085" s="30"/>
    </row>
    <row r="1086" spans="1:11" ht="15">
      <c r="A1086" s="30"/>
      <c r="B1086" s="30"/>
      <c r="C1086" s="30"/>
      <c r="D1086" s="30"/>
      <c r="E1086" s="30"/>
      <c r="F1086" s="30"/>
      <c r="G1086" s="30"/>
      <c r="H1086" s="30"/>
      <c r="I1086" s="30"/>
      <c r="J1086" s="30"/>
      <c r="K1086" s="30"/>
    </row>
    <row r="1087" spans="1:11" ht="15">
      <c r="A1087" s="30"/>
      <c r="B1087" s="30"/>
      <c r="C1087" s="30"/>
      <c r="D1087" s="30"/>
      <c r="E1087" s="30"/>
      <c r="F1087" s="30"/>
      <c r="G1087" s="30"/>
      <c r="H1087" s="30"/>
      <c r="I1087" s="30"/>
      <c r="J1087" s="30"/>
      <c r="K1087" s="30"/>
    </row>
    <row r="1088" spans="1:11" ht="15">
      <c r="A1088" s="30"/>
      <c r="B1088" s="30"/>
      <c r="C1088" s="30"/>
      <c r="D1088" s="30"/>
      <c r="E1088" s="30"/>
      <c r="F1088" s="30"/>
      <c r="G1088" s="30"/>
      <c r="H1088" s="30"/>
      <c r="I1088" s="30"/>
      <c r="J1088" s="30"/>
      <c r="K1088" s="30"/>
    </row>
    <row r="1089" spans="1:11" ht="15">
      <c r="A1089" s="30"/>
      <c r="B1089" s="30"/>
      <c r="C1089" s="30"/>
      <c r="D1089" s="30"/>
      <c r="E1089" s="30"/>
      <c r="F1089" s="30"/>
      <c r="G1089" s="30"/>
      <c r="H1089" s="30"/>
      <c r="I1089" s="30"/>
      <c r="J1089" s="30"/>
      <c r="K1089" s="30"/>
    </row>
    <row r="1090" spans="1:11" ht="15">
      <c r="A1090" s="30"/>
      <c r="B1090" s="30"/>
      <c r="C1090" s="30"/>
      <c r="D1090" s="30"/>
      <c r="E1090" s="30"/>
      <c r="F1090" s="30"/>
      <c r="G1090" s="30"/>
      <c r="H1090" s="30"/>
      <c r="I1090" s="30"/>
      <c r="J1090" s="30"/>
      <c r="K1090" s="30"/>
    </row>
    <row r="1091" spans="1:11" ht="15">
      <c r="A1091" s="30"/>
      <c r="B1091" s="30"/>
      <c r="C1091" s="30"/>
      <c r="D1091" s="30"/>
      <c r="E1091" s="30"/>
      <c r="F1091" s="30"/>
      <c r="G1091" s="30"/>
      <c r="H1091" s="30"/>
      <c r="I1091" s="30"/>
      <c r="J1091" s="30"/>
      <c r="K1091" s="30"/>
    </row>
    <row r="1092" spans="1:11" ht="15">
      <c r="A1092" s="30"/>
      <c r="B1092" s="30"/>
      <c r="C1092" s="30"/>
      <c r="D1092" s="30"/>
      <c r="E1092" s="30"/>
      <c r="F1092" s="30"/>
      <c r="G1092" s="30"/>
      <c r="H1092" s="30"/>
      <c r="I1092" s="30"/>
      <c r="J1092" s="30"/>
      <c r="K1092" s="30"/>
    </row>
    <row r="1093" spans="1:11" ht="15">
      <c r="A1093" s="30"/>
      <c r="B1093" s="30"/>
      <c r="C1093" s="30"/>
      <c r="D1093" s="30"/>
      <c r="E1093" s="30"/>
      <c r="F1093" s="30"/>
      <c r="G1093" s="30"/>
      <c r="H1093" s="30"/>
      <c r="I1093" s="30"/>
      <c r="J1093" s="30"/>
      <c r="K1093" s="30"/>
    </row>
    <row r="1094" spans="1:11" ht="15">
      <c r="A1094" s="30"/>
      <c r="B1094" s="30"/>
      <c r="C1094" s="30"/>
      <c r="D1094" s="30"/>
      <c r="E1094" s="30"/>
      <c r="F1094" s="30"/>
      <c r="G1094" s="30"/>
      <c r="H1094" s="30"/>
      <c r="I1094" s="30"/>
      <c r="J1094" s="30"/>
      <c r="K1094" s="30"/>
    </row>
    <row r="1095" spans="1:11" ht="15">
      <c r="A1095" s="30"/>
      <c r="B1095" s="30"/>
      <c r="C1095" s="30"/>
      <c r="D1095" s="30"/>
      <c r="E1095" s="30"/>
      <c r="F1095" s="30"/>
      <c r="G1095" s="30"/>
      <c r="H1095" s="30"/>
      <c r="I1095" s="30"/>
      <c r="J1095" s="30"/>
      <c r="K1095" s="30"/>
    </row>
    <row r="1096" spans="1:11" ht="15">
      <c r="A1096" s="30"/>
      <c r="B1096" s="30"/>
      <c r="C1096" s="30"/>
      <c r="D1096" s="30"/>
      <c r="E1096" s="30"/>
      <c r="F1096" s="30"/>
      <c r="G1096" s="30"/>
      <c r="H1096" s="30"/>
      <c r="I1096" s="30"/>
      <c r="J1096" s="30"/>
      <c r="K1096" s="30"/>
    </row>
    <row r="1097" spans="1:11" ht="15">
      <c r="A1097" s="30"/>
      <c r="B1097" s="30"/>
      <c r="C1097" s="30"/>
      <c r="D1097" s="30"/>
      <c r="E1097" s="30"/>
      <c r="F1097" s="30"/>
      <c r="G1097" s="30"/>
      <c r="H1097" s="30"/>
      <c r="I1097" s="30"/>
      <c r="J1097" s="30"/>
      <c r="K1097" s="30"/>
    </row>
    <row r="1098" spans="1:11" ht="15">
      <c r="A1098" s="30"/>
      <c r="B1098" s="30"/>
      <c r="C1098" s="30"/>
      <c r="D1098" s="30"/>
      <c r="E1098" s="30"/>
      <c r="F1098" s="30"/>
      <c r="G1098" s="30"/>
      <c r="H1098" s="30"/>
      <c r="I1098" s="30"/>
      <c r="J1098" s="30"/>
      <c r="K1098" s="30"/>
    </row>
    <row r="1099" spans="1:11" ht="15">
      <c r="A1099" s="30"/>
      <c r="B1099" s="30"/>
      <c r="C1099" s="30"/>
      <c r="D1099" s="30"/>
      <c r="E1099" s="30"/>
      <c r="F1099" s="30"/>
      <c r="G1099" s="30"/>
      <c r="H1099" s="30"/>
      <c r="I1099" s="30"/>
      <c r="J1099" s="30"/>
      <c r="K1099" s="30"/>
    </row>
    <row r="1100" spans="1:11" ht="15">
      <c r="A1100" s="30"/>
      <c r="B1100" s="30"/>
      <c r="C1100" s="30"/>
      <c r="D1100" s="30"/>
      <c r="E1100" s="30"/>
      <c r="F1100" s="30"/>
      <c r="G1100" s="30"/>
      <c r="H1100" s="30"/>
      <c r="I1100" s="30"/>
      <c r="J1100" s="30"/>
      <c r="K1100" s="30"/>
    </row>
    <row r="1101" spans="1:11" ht="15">
      <c r="A1101" s="30"/>
      <c r="B1101" s="30"/>
      <c r="C1101" s="30"/>
      <c r="D1101" s="30"/>
      <c r="E1101" s="30"/>
      <c r="F1101" s="30"/>
      <c r="G1101" s="30"/>
      <c r="H1101" s="30"/>
      <c r="I1101" s="30"/>
      <c r="J1101" s="30"/>
      <c r="K1101" s="30"/>
    </row>
    <row r="1102" spans="1:11" ht="15">
      <c r="A1102" s="30"/>
      <c r="B1102" s="30"/>
      <c r="C1102" s="30"/>
      <c r="D1102" s="30"/>
      <c r="E1102" s="30"/>
      <c r="F1102" s="30"/>
      <c r="G1102" s="30"/>
      <c r="H1102" s="30"/>
      <c r="I1102" s="30"/>
      <c r="J1102" s="30"/>
      <c r="K1102" s="30"/>
    </row>
    <row r="1103" spans="1:11" ht="15">
      <c r="A1103" s="30"/>
      <c r="B1103" s="30"/>
      <c r="C1103" s="30"/>
      <c r="D1103" s="30"/>
      <c r="E1103" s="30"/>
      <c r="F1103" s="30"/>
      <c r="G1103" s="30"/>
      <c r="H1103" s="30"/>
      <c r="I1103" s="30"/>
      <c r="J1103" s="30"/>
      <c r="K1103" s="30"/>
    </row>
    <row r="1104" spans="1:11" ht="15">
      <c r="A1104" s="30"/>
      <c r="B1104" s="30"/>
      <c r="C1104" s="30"/>
      <c r="D1104" s="30"/>
      <c r="E1104" s="30"/>
      <c r="F1104" s="30"/>
      <c r="G1104" s="30"/>
      <c r="H1104" s="30"/>
      <c r="I1104" s="30"/>
      <c r="J1104" s="30"/>
      <c r="K1104" s="30"/>
    </row>
    <row r="1105" spans="1:11" ht="15">
      <c r="A1105" s="30"/>
      <c r="B1105" s="30"/>
      <c r="C1105" s="30"/>
      <c r="D1105" s="30"/>
      <c r="E1105" s="30"/>
      <c r="F1105" s="30"/>
      <c r="G1105" s="30"/>
      <c r="H1105" s="30"/>
      <c r="I1105" s="30"/>
      <c r="J1105" s="30"/>
      <c r="K1105" s="30"/>
    </row>
    <row r="1106" spans="1:11" ht="15">
      <c r="A1106" s="30"/>
      <c r="B1106" s="30"/>
      <c r="C1106" s="30"/>
      <c r="D1106" s="30"/>
      <c r="E1106" s="30"/>
      <c r="F1106" s="30"/>
      <c r="G1106" s="30"/>
      <c r="H1106" s="30"/>
      <c r="I1106" s="30"/>
      <c r="J1106" s="30"/>
      <c r="K1106" s="30"/>
    </row>
    <row r="1107" spans="1:11" ht="15">
      <c r="A1107" s="30"/>
      <c r="B1107" s="30"/>
      <c r="C1107" s="30"/>
      <c r="D1107" s="30"/>
      <c r="E1107" s="30"/>
      <c r="F1107" s="30"/>
      <c r="G1107" s="30"/>
      <c r="H1107" s="30"/>
      <c r="I1107" s="30"/>
      <c r="J1107" s="30"/>
      <c r="K1107" s="30"/>
    </row>
    <row r="1108" spans="1:11" ht="15">
      <c r="A1108" s="30"/>
      <c r="B1108" s="30"/>
      <c r="C1108" s="30"/>
      <c r="D1108" s="30"/>
      <c r="E1108" s="30"/>
      <c r="F1108" s="30"/>
      <c r="G1108" s="30"/>
      <c r="H1108" s="30"/>
      <c r="I1108" s="30"/>
      <c r="J1108" s="30"/>
      <c r="K1108" s="30"/>
    </row>
    <row r="1109" spans="1:11" ht="15">
      <c r="A1109" s="30"/>
      <c r="B1109" s="30"/>
      <c r="C1109" s="30"/>
      <c r="D1109" s="30"/>
      <c r="E1109" s="30"/>
      <c r="F1109" s="30"/>
      <c r="G1109" s="30"/>
      <c r="H1109" s="30"/>
      <c r="I1109" s="30"/>
      <c r="J1109" s="30"/>
      <c r="K1109" s="30"/>
    </row>
    <row r="1110" spans="1:11" ht="15">
      <c r="A1110" s="30"/>
      <c r="B1110" s="30"/>
      <c r="C1110" s="30"/>
      <c r="D1110" s="30"/>
      <c r="E1110" s="30"/>
      <c r="F1110" s="30"/>
      <c r="G1110" s="30"/>
      <c r="H1110" s="30"/>
      <c r="I1110" s="30"/>
      <c r="J1110" s="30"/>
      <c r="K1110" s="30"/>
    </row>
    <row r="1111" spans="1:11" ht="15">
      <c r="A1111" s="30"/>
      <c r="B1111" s="30"/>
      <c r="C1111" s="30"/>
      <c r="D1111" s="30"/>
      <c r="E1111" s="30"/>
      <c r="F1111" s="30"/>
      <c r="G1111" s="30"/>
      <c r="H1111" s="30"/>
      <c r="I1111" s="30"/>
      <c r="J1111" s="30"/>
      <c r="K1111" s="30"/>
    </row>
    <row r="1112" spans="1:11" ht="15">
      <c r="A1112" s="30"/>
      <c r="B1112" s="30"/>
      <c r="C1112" s="30"/>
      <c r="D1112" s="30"/>
      <c r="E1112" s="30"/>
      <c r="F1112" s="30"/>
      <c r="G1112" s="30"/>
      <c r="H1112" s="30"/>
      <c r="I1112" s="30"/>
      <c r="J1112" s="30"/>
      <c r="K1112" s="30"/>
    </row>
    <row r="1113" spans="1:11" ht="15">
      <c r="A1113" s="30"/>
      <c r="B1113" s="30"/>
      <c r="C1113" s="30"/>
      <c r="D1113" s="30"/>
      <c r="E1113" s="30"/>
      <c r="F1113" s="30"/>
      <c r="G1113" s="30"/>
      <c r="H1113" s="30"/>
      <c r="I1113" s="30"/>
      <c r="J1113" s="30"/>
      <c r="K1113" s="30"/>
    </row>
    <row r="1114" spans="1:11" ht="15">
      <c r="A1114" s="30"/>
      <c r="B1114" s="30"/>
      <c r="C1114" s="30"/>
      <c r="D1114" s="30"/>
      <c r="E1114" s="30"/>
      <c r="F1114" s="30"/>
      <c r="G1114" s="30"/>
      <c r="H1114" s="30"/>
      <c r="I1114" s="30"/>
      <c r="J1114" s="30"/>
      <c r="K1114" s="30"/>
    </row>
    <row r="1115" spans="1:11" ht="15">
      <c r="A1115" s="30"/>
      <c r="B1115" s="30"/>
      <c r="C1115" s="30"/>
      <c r="D1115" s="30"/>
      <c r="E1115" s="30"/>
      <c r="F1115" s="30"/>
      <c r="G1115" s="30"/>
      <c r="H1115" s="30"/>
      <c r="I1115" s="30"/>
      <c r="J1115" s="30"/>
      <c r="K1115" s="30"/>
    </row>
    <row r="1116" spans="1:11" ht="15">
      <c r="A1116" s="30"/>
      <c r="B1116" s="30"/>
      <c r="C1116" s="30"/>
      <c r="D1116" s="30"/>
      <c r="E1116" s="30"/>
      <c r="F1116" s="30"/>
      <c r="G1116" s="30"/>
      <c r="H1116" s="30"/>
      <c r="I1116" s="30"/>
      <c r="J1116" s="30"/>
      <c r="K1116" s="30"/>
    </row>
    <row r="1117" spans="1:11" ht="15">
      <c r="A1117" s="30"/>
      <c r="B1117" s="30"/>
      <c r="C1117" s="30"/>
      <c r="D1117" s="30"/>
      <c r="E1117" s="30"/>
      <c r="F1117" s="30"/>
      <c r="G1117" s="30"/>
      <c r="H1117" s="30"/>
      <c r="I1117" s="30"/>
      <c r="J1117" s="30"/>
      <c r="K1117" s="30"/>
    </row>
    <row r="1118" spans="1:11" ht="15">
      <c r="A1118" s="30"/>
      <c r="B1118" s="30"/>
      <c r="C1118" s="30"/>
      <c r="D1118" s="30"/>
      <c r="E1118" s="30"/>
      <c r="F1118" s="30"/>
      <c r="G1118" s="30"/>
      <c r="H1118" s="30"/>
      <c r="I1118" s="30"/>
      <c r="J1118" s="30"/>
      <c r="K1118" s="30"/>
    </row>
    <row r="1119" spans="1:11" ht="15">
      <c r="A1119" s="30"/>
      <c r="B1119" s="30"/>
      <c r="C1119" s="30"/>
      <c r="D1119" s="30"/>
      <c r="E1119" s="30"/>
      <c r="F1119" s="30"/>
      <c r="G1119" s="30"/>
      <c r="H1119" s="30"/>
      <c r="I1119" s="30"/>
      <c r="J1119" s="30"/>
      <c r="K1119" s="30"/>
    </row>
    <row r="1120" spans="1:11" ht="15">
      <c r="A1120" s="30"/>
      <c r="B1120" s="30"/>
      <c r="C1120" s="30"/>
      <c r="D1120" s="30"/>
      <c r="E1120" s="30"/>
      <c r="F1120" s="30"/>
      <c r="G1120" s="30"/>
      <c r="H1120" s="30"/>
      <c r="I1120" s="30"/>
      <c r="J1120" s="30"/>
      <c r="K1120" s="30"/>
    </row>
    <row r="1121" spans="1:11" ht="15">
      <c r="A1121" s="30"/>
      <c r="B1121" s="30"/>
      <c r="C1121" s="30"/>
      <c r="D1121" s="30"/>
      <c r="E1121" s="30"/>
      <c r="F1121" s="30"/>
      <c r="G1121" s="30"/>
      <c r="H1121" s="30"/>
      <c r="I1121" s="30"/>
      <c r="J1121" s="30"/>
      <c r="K1121" s="30"/>
    </row>
    <row r="1122" spans="1:11" ht="15">
      <c r="A1122" s="30"/>
      <c r="B1122" s="30"/>
      <c r="C1122" s="30"/>
      <c r="D1122" s="30"/>
      <c r="E1122" s="30"/>
      <c r="F1122" s="30"/>
      <c r="G1122" s="30"/>
      <c r="H1122" s="30"/>
      <c r="I1122" s="30"/>
      <c r="J1122" s="30"/>
      <c r="K1122" s="30"/>
    </row>
    <row r="1123" spans="1:11" ht="15">
      <c r="A1123" s="30"/>
      <c r="B1123" s="30"/>
      <c r="C1123" s="30"/>
      <c r="D1123" s="30"/>
      <c r="E1123" s="30"/>
      <c r="F1123" s="30"/>
      <c r="G1123" s="30"/>
      <c r="H1123" s="30"/>
      <c r="I1123" s="30"/>
      <c r="J1123" s="30"/>
      <c r="K1123" s="30"/>
    </row>
    <row r="1124" spans="1:11" ht="15">
      <c r="A1124" s="30"/>
      <c r="B1124" s="30"/>
      <c r="C1124" s="30"/>
      <c r="D1124" s="30"/>
      <c r="E1124" s="30"/>
      <c r="F1124" s="30"/>
      <c r="G1124" s="30"/>
      <c r="H1124" s="30"/>
      <c r="I1124" s="30"/>
      <c r="J1124" s="30"/>
      <c r="K1124" s="30"/>
    </row>
    <row r="1125" spans="1:11" ht="15">
      <c r="A1125" s="30"/>
      <c r="B1125" s="30"/>
      <c r="C1125" s="30"/>
      <c r="D1125" s="30"/>
      <c r="E1125" s="30"/>
      <c r="F1125" s="30"/>
      <c r="G1125" s="30"/>
      <c r="H1125" s="30"/>
      <c r="I1125" s="30"/>
      <c r="J1125" s="30"/>
      <c r="K1125" s="30"/>
    </row>
    <row r="1126" spans="1:11" ht="15">
      <c r="A1126" s="30"/>
      <c r="B1126" s="30"/>
      <c r="C1126" s="30"/>
      <c r="D1126" s="30"/>
      <c r="E1126" s="30"/>
      <c r="F1126" s="30"/>
      <c r="G1126" s="30"/>
      <c r="H1126" s="30"/>
      <c r="I1126" s="30"/>
      <c r="J1126" s="30"/>
      <c r="K1126" s="30"/>
    </row>
    <row r="1127" spans="1:11" ht="15">
      <c r="A1127" s="30"/>
      <c r="B1127" s="30"/>
      <c r="C1127" s="30"/>
      <c r="D1127" s="30"/>
      <c r="E1127" s="30"/>
      <c r="F1127" s="30"/>
      <c r="G1127" s="30"/>
      <c r="H1127" s="30"/>
      <c r="I1127" s="30"/>
      <c r="J1127" s="30"/>
      <c r="K1127" s="30"/>
    </row>
    <row r="1128" spans="1:11" ht="15">
      <c r="A1128" s="30"/>
      <c r="B1128" s="30"/>
      <c r="C1128" s="30"/>
      <c r="D1128" s="30"/>
      <c r="E1128" s="30"/>
      <c r="F1128" s="30"/>
      <c r="G1128" s="30"/>
      <c r="H1128" s="30"/>
      <c r="I1128" s="30"/>
      <c r="J1128" s="30"/>
      <c r="K1128" s="30"/>
    </row>
    <row r="1129" spans="1:11" ht="15">
      <c r="A1129" s="30"/>
      <c r="B1129" s="30"/>
      <c r="C1129" s="30"/>
      <c r="D1129" s="30"/>
      <c r="E1129" s="30"/>
      <c r="F1129" s="30"/>
      <c r="G1129" s="30"/>
      <c r="H1129" s="30"/>
      <c r="I1129" s="30"/>
      <c r="J1129" s="30"/>
      <c r="K1129" s="30"/>
    </row>
    <row r="1130" spans="1:11" ht="15">
      <c r="A1130" s="30"/>
      <c r="B1130" s="30"/>
      <c r="C1130" s="30"/>
      <c r="D1130" s="30"/>
      <c r="E1130" s="30"/>
      <c r="F1130" s="30"/>
      <c r="G1130" s="30"/>
      <c r="H1130" s="30"/>
      <c r="I1130" s="30"/>
      <c r="J1130" s="30"/>
      <c r="K1130" s="30"/>
    </row>
    <row r="1131" spans="1:11" ht="15">
      <c r="A1131" s="30"/>
      <c r="B1131" s="30"/>
      <c r="C1131" s="30"/>
      <c r="D1131" s="30"/>
      <c r="E1131" s="30"/>
      <c r="F1131" s="30"/>
      <c r="G1131" s="30"/>
      <c r="H1131" s="30"/>
      <c r="I1131" s="30"/>
      <c r="J1131" s="30"/>
      <c r="K1131" s="30"/>
    </row>
    <row r="1132" spans="1:11" ht="15">
      <c r="A1132" s="30"/>
      <c r="B1132" s="30"/>
      <c r="C1132" s="30"/>
      <c r="D1132" s="30"/>
      <c r="E1132" s="30"/>
      <c r="F1132" s="30"/>
      <c r="G1132" s="30"/>
      <c r="H1132" s="30"/>
      <c r="I1132" s="30"/>
      <c r="J1132" s="30"/>
      <c r="K1132" s="30"/>
    </row>
    <row r="1133" spans="1:11" ht="15">
      <c r="A1133" s="30"/>
      <c r="B1133" s="30"/>
      <c r="C1133" s="30"/>
      <c r="D1133" s="30"/>
      <c r="E1133" s="30"/>
      <c r="F1133" s="30"/>
      <c r="G1133" s="30"/>
      <c r="H1133" s="30"/>
      <c r="I1133" s="30"/>
      <c r="J1133" s="30"/>
      <c r="K1133" s="30"/>
    </row>
    <row r="1134" spans="1:11" ht="15">
      <c r="A1134" s="30"/>
      <c r="B1134" s="30"/>
      <c r="C1134" s="30"/>
      <c r="D1134" s="30"/>
      <c r="E1134" s="30"/>
      <c r="F1134" s="30"/>
      <c r="G1134" s="30"/>
      <c r="H1134" s="30"/>
      <c r="I1134" s="30"/>
      <c r="J1134" s="30"/>
      <c r="K1134" s="30"/>
    </row>
    <row r="1135" spans="1:11" ht="15">
      <c r="A1135" s="30"/>
      <c r="B1135" s="30"/>
      <c r="C1135" s="30"/>
      <c r="D1135" s="30"/>
      <c r="E1135" s="30"/>
      <c r="F1135" s="30"/>
      <c r="G1135" s="30"/>
      <c r="H1135" s="30"/>
      <c r="I1135" s="30"/>
      <c r="J1135" s="30"/>
      <c r="K1135" s="30"/>
    </row>
    <row r="1136" spans="1:11" ht="15">
      <c r="A1136" s="30"/>
      <c r="B1136" s="30"/>
      <c r="C1136" s="30"/>
      <c r="D1136" s="30"/>
      <c r="E1136" s="30"/>
      <c r="F1136" s="30"/>
      <c r="G1136" s="30"/>
      <c r="H1136" s="30"/>
      <c r="I1136" s="30"/>
      <c r="J1136" s="30"/>
      <c r="K1136" s="30"/>
    </row>
    <row r="1137" spans="1:11" ht="15">
      <c r="A1137" s="30"/>
      <c r="B1137" s="30"/>
      <c r="C1137" s="30"/>
      <c r="D1137" s="30"/>
      <c r="E1137" s="30"/>
      <c r="F1137" s="30"/>
      <c r="G1137" s="30"/>
      <c r="H1137" s="30"/>
      <c r="I1137" s="30"/>
      <c r="J1137" s="30"/>
      <c r="K1137" s="30"/>
    </row>
    <row r="1138" spans="1:11" ht="15">
      <c r="A1138" s="30"/>
      <c r="B1138" s="30"/>
      <c r="C1138" s="30"/>
      <c r="D1138" s="30"/>
      <c r="E1138" s="30"/>
      <c r="F1138" s="30"/>
      <c r="G1138" s="30"/>
      <c r="H1138" s="30"/>
      <c r="I1138" s="30"/>
      <c r="J1138" s="30"/>
      <c r="K1138" s="30"/>
    </row>
    <row r="1139" spans="1:11" ht="15">
      <c r="A1139" s="30"/>
      <c r="B1139" s="30"/>
      <c r="C1139" s="30"/>
      <c r="D1139" s="30"/>
      <c r="E1139" s="30"/>
      <c r="F1139" s="30"/>
      <c r="G1139" s="30"/>
      <c r="H1139" s="30"/>
      <c r="I1139" s="30"/>
      <c r="J1139" s="30"/>
      <c r="K1139" s="30"/>
    </row>
    <row r="1140" spans="1:11" ht="15">
      <c r="A1140" s="30"/>
      <c r="B1140" s="30"/>
      <c r="C1140" s="30"/>
      <c r="D1140" s="30"/>
      <c r="E1140" s="30"/>
      <c r="F1140" s="30"/>
      <c r="G1140" s="30"/>
      <c r="H1140" s="30"/>
      <c r="I1140" s="30"/>
      <c r="J1140" s="30"/>
      <c r="K1140" s="30"/>
    </row>
    <row r="1141" spans="1:11" ht="15">
      <c r="A1141" s="30"/>
      <c r="B1141" s="30"/>
      <c r="C1141" s="30"/>
      <c r="D1141" s="30"/>
      <c r="E1141" s="30"/>
      <c r="F1141" s="30"/>
      <c r="G1141" s="30"/>
      <c r="H1141" s="30"/>
      <c r="I1141" s="30"/>
      <c r="J1141" s="30"/>
      <c r="K1141" s="30"/>
    </row>
    <row r="1142" spans="1:11" ht="15">
      <c r="A1142" s="30"/>
      <c r="B1142" s="30"/>
      <c r="C1142" s="30"/>
      <c r="D1142" s="30"/>
      <c r="E1142" s="30"/>
      <c r="F1142" s="30"/>
      <c r="G1142" s="30"/>
      <c r="H1142" s="30"/>
      <c r="I1142" s="30"/>
      <c r="J1142" s="30"/>
      <c r="K1142" s="30"/>
    </row>
    <row r="1143" spans="1:11" ht="15">
      <c r="A1143" s="30"/>
      <c r="B1143" s="30"/>
      <c r="C1143" s="30"/>
      <c r="D1143" s="30"/>
      <c r="E1143" s="30"/>
      <c r="F1143" s="30"/>
      <c r="G1143" s="30"/>
      <c r="H1143" s="30"/>
      <c r="I1143" s="30"/>
      <c r="J1143" s="30"/>
      <c r="K1143" s="30"/>
    </row>
    <row r="1144" spans="1:11" ht="15">
      <c r="A1144" s="30"/>
      <c r="B1144" s="30"/>
      <c r="C1144" s="30"/>
      <c r="D1144" s="30"/>
      <c r="E1144" s="30"/>
      <c r="F1144" s="30"/>
      <c r="G1144" s="30"/>
      <c r="H1144" s="30"/>
      <c r="I1144" s="30"/>
      <c r="J1144" s="30"/>
      <c r="K1144" s="30"/>
    </row>
    <row r="1145" spans="1:11" ht="15">
      <c r="A1145" s="30"/>
      <c r="B1145" s="30"/>
      <c r="C1145" s="30"/>
      <c r="D1145" s="30"/>
      <c r="E1145" s="30"/>
      <c r="F1145" s="30"/>
      <c r="G1145" s="30"/>
      <c r="H1145" s="30"/>
      <c r="I1145" s="30"/>
      <c r="J1145" s="30"/>
      <c r="K1145" s="30"/>
    </row>
    <row r="1146" spans="1:11" ht="15">
      <c r="A1146" s="30"/>
      <c r="B1146" s="30"/>
      <c r="C1146" s="30"/>
      <c r="D1146" s="30"/>
      <c r="E1146" s="30"/>
      <c r="F1146" s="30"/>
      <c r="G1146" s="30"/>
      <c r="H1146" s="30"/>
      <c r="I1146" s="30"/>
      <c r="J1146" s="30"/>
      <c r="K1146" s="30"/>
    </row>
    <row r="1147" spans="1:11" ht="15">
      <c r="A1147" s="30"/>
      <c r="B1147" s="30"/>
      <c r="C1147" s="30"/>
      <c r="D1147" s="30"/>
      <c r="E1147" s="30"/>
      <c r="F1147" s="30"/>
      <c r="G1147" s="30"/>
      <c r="H1147" s="30"/>
      <c r="I1147" s="30"/>
      <c r="J1147" s="30"/>
      <c r="K1147" s="30"/>
    </row>
    <row r="1148" spans="1:11" ht="15">
      <c r="A1148" s="30"/>
      <c r="B1148" s="30"/>
      <c r="C1148" s="30"/>
      <c r="D1148" s="30"/>
      <c r="E1148" s="30"/>
      <c r="F1148" s="30"/>
      <c r="G1148" s="30"/>
      <c r="H1148" s="30"/>
      <c r="I1148" s="30"/>
      <c r="J1148" s="30"/>
      <c r="K1148" s="30"/>
    </row>
    <row r="1149" spans="1:11" ht="15">
      <c r="A1149" s="30"/>
      <c r="B1149" s="30"/>
      <c r="C1149" s="30"/>
      <c r="D1149" s="30"/>
      <c r="E1149" s="30"/>
      <c r="F1149" s="30"/>
      <c r="G1149" s="30"/>
      <c r="H1149" s="30"/>
      <c r="I1149" s="30"/>
      <c r="J1149" s="30"/>
      <c r="K1149" s="30"/>
    </row>
    <row r="1150" spans="1:11" ht="15">
      <c r="A1150" s="30"/>
      <c r="B1150" s="30"/>
      <c r="C1150" s="30"/>
      <c r="D1150" s="30"/>
      <c r="E1150" s="30"/>
      <c r="F1150" s="30"/>
      <c r="G1150" s="30"/>
      <c r="H1150" s="30"/>
      <c r="I1150" s="30"/>
      <c r="J1150" s="30"/>
      <c r="K1150" s="30"/>
    </row>
    <row r="1151" spans="1:11" ht="15">
      <c r="A1151" s="30"/>
      <c r="B1151" s="30"/>
      <c r="C1151" s="30"/>
      <c r="D1151" s="30"/>
      <c r="E1151" s="30"/>
      <c r="F1151" s="30"/>
      <c r="G1151" s="30"/>
      <c r="H1151" s="30"/>
      <c r="I1151" s="30"/>
      <c r="J1151" s="30"/>
      <c r="K1151" s="30"/>
    </row>
    <row r="1152" spans="1:11" ht="15">
      <c r="A1152" s="30"/>
      <c r="B1152" s="30"/>
      <c r="C1152" s="30"/>
      <c r="D1152" s="30"/>
      <c r="E1152" s="30"/>
      <c r="F1152" s="30"/>
      <c r="G1152" s="30"/>
      <c r="H1152" s="30"/>
      <c r="I1152" s="30"/>
      <c r="J1152" s="30"/>
      <c r="K1152" s="30"/>
    </row>
    <row r="1153" spans="1:11" ht="15">
      <c r="A1153" s="30"/>
      <c r="B1153" s="30"/>
      <c r="C1153" s="30"/>
      <c r="D1153" s="30"/>
      <c r="E1153" s="30"/>
      <c r="F1153" s="30"/>
      <c r="G1153" s="30"/>
      <c r="H1153" s="30"/>
      <c r="I1153" s="30"/>
      <c r="J1153" s="30"/>
      <c r="K1153" s="30"/>
    </row>
    <row r="1154" spans="1:11" ht="15">
      <c r="A1154" s="30"/>
      <c r="B1154" s="30"/>
      <c r="C1154" s="30"/>
      <c r="D1154" s="30"/>
      <c r="E1154" s="30"/>
      <c r="F1154" s="30"/>
      <c r="G1154" s="30"/>
      <c r="H1154" s="30"/>
      <c r="I1154" s="30"/>
      <c r="J1154" s="30"/>
      <c r="K1154" s="30"/>
    </row>
    <row r="1155" spans="1:11" ht="15">
      <c r="A1155" s="30"/>
      <c r="B1155" s="30"/>
      <c r="C1155" s="30"/>
      <c r="D1155" s="30"/>
      <c r="E1155" s="30"/>
      <c r="F1155" s="30"/>
      <c r="G1155" s="30"/>
      <c r="H1155" s="30"/>
      <c r="I1155" s="30"/>
      <c r="J1155" s="30"/>
      <c r="K1155" s="30"/>
    </row>
    <row r="1156" spans="1:11" ht="15">
      <c r="A1156" s="30"/>
      <c r="B1156" s="30"/>
      <c r="C1156" s="30"/>
      <c r="D1156" s="30"/>
      <c r="E1156" s="30"/>
      <c r="F1156" s="30"/>
      <c r="G1156" s="30"/>
      <c r="H1156" s="30"/>
      <c r="I1156" s="30"/>
      <c r="J1156" s="30"/>
      <c r="K1156" s="30"/>
    </row>
    <row r="1157" spans="1:11" ht="15">
      <c r="A1157" s="30"/>
      <c r="B1157" s="30"/>
      <c r="C1157" s="30"/>
      <c r="D1157" s="30"/>
      <c r="E1157" s="30"/>
      <c r="F1157" s="30"/>
      <c r="G1157" s="30"/>
      <c r="H1157" s="30"/>
      <c r="I1157" s="30"/>
      <c r="J1157" s="30"/>
      <c r="K1157" s="30"/>
    </row>
    <row r="1158" spans="1:11" ht="15">
      <c r="A1158" s="30"/>
      <c r="B1158" s="30"/>
      <c r="C1158" s="30"/>
      <c r="D1158" s="30"/>
      <c r="E1158" s="30"/>
      <c r="F1158" s="30"/>
      <c r="G1158" s="30"/>
      <c r="H1158" s="30"/>
      <c r="I1158" s="30"/>
      <c r="J1158" s="30"/>
      <c r="K1158" s="30"/>
    </row>
    <row r="1159" spans="1:11" ht="15">
      <c r="A1159" s="30"/>
      <c r="B1159" s="30"/>
      <c r="C1159" s="30"/>
      <c r="D1159" s="30"/>
      <c r="E1159" s="30"/>
      <c r="F1159" s="30"/>
      <c r="G1159" s="30"/>
      <c r="H1159" s="30"/>
      <c r="I1159" s="30"/>
      <c r="J1159" s="30"/>
      <c r="K1159" s="30"/>
    </row>
    <row r="1160" spans="1:11" ht="15">
      <c r="A1160" s="30"/>
      <c r="B1160" s="30"/>
      <c r="C1160" s="30"/>
      <c r="D1160" s="30"/>
      <c r="E1160" s="30"/>
      <c r="F1160" s="30"/>
      <c r="G1160" s="30"/>
      <c r="H1160" s="30"/>
      <c r="I1160" s="30"/>
      <c r="J1160" s="30"/>
      <c r="K1160" s="30"/>
    </row>
    <row r="1161" spans="1:11" ht="15">
      <c r="A1161" s="30"/>
      <c r="B1161" s="30"/>
      <c r="C1161" s="30"/>
      <c r="D1161" s="30"/>
      <c r="E1161" s="30"/>
      <c r="F1161" s="30"/>
      <c r="G1161" s="30"/>
      <c r="H1161" s="30"/>
      <c r="I1161" s="30"/>
      <c r="J1161" s="30"/>
      <c r="K1161" s="30"/>
    </row>
    <row r="1162" spans="1:11" ht="15">
      <c r="A1162" s="30"/>
      <c r="B1162" s="30"/>
      <c r="C1162" s="30"/>
      <c r="D1162" s="30"/>
      <c r="E1162" s="30"/>
      <c r="F1162" s="30"/>
      <c r="G1162" s="30"/>
      <c r="H1162" s="30"/>
      <c r="I1162" s="30"/>
      <c r="J1162" s="30"/>
      <c r="K1162" s="30"/>
    </row>
    <row r="1163" spans="1:11" ht="15">
      <c r="A1163" s="30"/>
      <c r="B1163" s="30"/>
      <c r="C1163" s="30"/>
      <c r="D1163" s="30"/>
      <c r="E1163" s="30"/>
      <c r="F1163" s="30"/>
      <c r="G1163" s="30"/>
      <c r="H1163" s="30"/>
      <c r="I1163" s="30"/>
      <c r="J1163" s="30"/>
      <c r="K1163" s="30"/>
    </row>
    <row r="1164" spans="1:11" ht="15">
      <c r="A1164" s="30"/>
      <c r="B1164" s="30"/>
      <c r="C1164" s="30"/>
      <c r="D1164" s="30"/>
      <c r="E1164" s="30"/>
      <c r="F1164" s="30"/>
      <c r="G1164" s="30"/>
      <c r="H1164" s="30"/>
      <c r="I1164" s="30"/>
      <c r="J1164" s="30"/>
      <c r="K1164" s="30"/>
    </row>
    <row r="1165" spans="1:11" ht="15">
      <c r="A1165" s="30"/>
      <c r="B1165" s="30"/>
      <c r="C1165" s="30"/>
      <c r="D1165" s="30"/>
      <c r="E1165" s="30"/>
      <c r="F1165" s="30"/>
      <c r="G1165" s="30"/>
      <c r="H1165" s="30"/>
      <c r="I1165" s="30"/>
      <c r="J1165" s="30"/>
      <c r="K1165" s="30"/>
    </row>
    <row r="1166" spans="1:11" ht="15">
      <c r="A1166" s="30"/>
      <c r="B1166" s="30"/>
      <c r="C1166" s="30"/>
      <c r="D1166" s="30"/>
      <c r="E1166" s="30"/>
      <c r="F1166" s="30"/>
      <c r="G1166" s="30"/>
      <c r="H1166" s="30"/>
      <c r="I1166" s="30"/>
      <c r="J1166" s="30"/>
      <c r="K1166" s="30"/>
    </row>
    <row r="1167" spans="1:11" ht="15">
      <c r="A1167" s="30"/>
      <c r="B1167" s="30"/>
      <c r="C1167" s="30"/>
      <c r="D1167" s="30"/>
      <c r="E1167" s="30"/>
      <c r="F1167" s="30"/>
      <c r="G1167" s="30"/>
      <c r="H1167" s="30"/>
      <c r="I1167" s="30"/>
      <c r="J1167" s="30"/>
      <c r="K1167" s="30"/>
    </row>
    <row r="1168" spans="1:11" ht="15">
      <c r="A1168" s="30"/>
      <c r="B1168" s="30"/>
      <c r="C1168" s="30"/>
      <c r="D1168" s="30"/>
      <c r="E1168" s="30"/>
      <c r="F1168" s="30"/>
      <c r="G1168" s="30"/>
      <c r="H1168" s="30"/>
      <c r="I1168" s="30"/>
      <c r="J1168" s="30"/>
      <c r="K1168" s="30"/>
    </row>
    <row r="1169" spans="1:11" ht="15">
      <c r="A1169" s="30"/>
      <c r="B1169" s="30"/>
      <c r="C1169" s="30"/>
      <c r="D1169" s="30"/>
      <c r="E1169" s="30"/>
      <c r="F1169" s="30"/>
      <c r="G1169" s="30"/>
      <c r="H1169" s="30"/>
      <c r="I1169" s="30"/>
      <c r="J1169" s="30"/>
      <c r="K1169" s="30"/>
    </row>
    <row r="1170" spans="1:11" ht="15">
      <c r="A1170" s="30"/>
      <c r="B1170" s="30"/>
      <c r="C1170" s="30"/>
      <c r="D1170" s="30"/>
      <c r="E1170" s="30"/>
      <c r="F1170" s="30"/>
      <c r="G1170" s="30"/>
      <c r="H1170" s="30"/>
      <c r="I1170" s="30"/>
      <c r="J1170" s="30"/>
      <c r="K1170" s="30"/>
    </row>
    <row r="1171" spans="1:11" ht="15">
      <c r="A1171" s="30"/>
      <c r="B1171" s="30"/>
      <c r="C1171" s="30"/>
      <c r="D1171" s="30"/>
      <c r="E1171" s="30"/>
      <c r="F1171" s="30"/>
      <c r="G1171" s="30"/>
      <c r="H1171" s="30"/>
      <c r="I1171" s="30"/>
      <c r="J1171" s="30"/>
      <c r="K1171" s="30"/>
    </row>
    <row r="1172" spans="1:11" ht="15">
      <c r="A1172" s="30"/>
      <c r="B1172" s="30"/>
      <c r="C1172" s="30"/>
      <c r="D1172" s="30"/>
      <c r="E1172" s="30"/>
      <c r="F1172" s="30"/>
      <c r="G1172" s="30"/>
      <c r="H1172" s="30"/>
      <c r="I1172" s="30"/>
      <c r="J1172" s="30"/>
      <c r="K1172" s="30"/>
    </row>
    <row r="1173" spans="1:11" ht="15">
      <c r="A1173" s="30"/>
      <c r="B1173" s="30"/>
      <c r="C1173" s="30"/>
      <c r="D1173" s="30"/>
      <c r="E1173" s="30"/>
      <c r="F1173" s="30"/>
      <c r="G1173" s="30"/>
      <c r="H1173" s="30"/>
      <c r="I1173" s="30"/>
      <c r="J1173" s="30"/>
      <c r="K1173" s="30"/>
    </row>
    <row r="1174" spans="1:11" ht="15">
      <c r="A1174" s="30"/>
      <c r="B1174" s="30"/>
      <c r="C1174" s="30"/>
      <c r="D1174" s="30"/>
      <c r="E1174" s="30"/>
      <c r="F1174" s="30"/>
      <c r="G1174" s="30"/>
      <c r="H1174" s="30"/>
      <c r="I1174" s="30"/>
      <c r="J1174" s="30"/>
      <c r="K1174" s="30"/>
    </row>
    <row r="1175" spans="1:11" ht="15">
      <c r="A1175" s="30"/>
      <c r="B1175" s="30"/>
      <c r="C1175" s="30"/>
      <c r="D1175" s="30"/>
      <c r="E1175" s="30"/>
      <c r="F1175" s="30"/>
      <c r="G1175" s="30"/>
      <c r="H1175" s="30"/>
      <c r="I1175" s="30"/>
      <c r="J1175" s="30"/>
      <c r="K1175" s="30"/>
    </row>
    <row r="1176" spans="1:11" ht="15">
      <c r="A1176" s="30"/>
      <c r="B1176" s="30"/>
      <c r="C1176" s="30"/>
      <c r="D1176" s="30"/>
      <c r="E1176" s="30"/>
      <c r="F1176" s="30"/>
      <c r="G1176" s="30"/>
      <c r="H1176" s="30"/>
      <c r="I1176" s="30"/>
      <c r="J1176" s="30"/>
      <c r="K1176" s="30"/>
    </row>
    <row r="1177" spans="1:11" ht="15">
      <c r="A1177" s="30"/>
      <c r="B1177" s="30"/>
      <c r="C1177" s="30"/>
      <c r="D1177" s="30"/>
      <c r="E1177" s="30"/>
      <c r="F1177" s="30"/>
      <c r="G1177" s="30"/>
      <c r="H1177" s="30"/>
      <c r="I1177" s="30"/>
      <c r="J1177" s="30"/>
      <c r="K1177" s="30"/>
    </row>
    <row r="1178" spans="1:11" ht="15">
      <c r="A1178" s="30"/>
      <c r="B1178" s="30"/>
      <c r="C1178" s="30"/>
      <c r="D1178" s="30"/>
      <c r="E1178" s="30"/>
      <c r="F1178" s="30"/>
      <c r="G1178" s="30"/>
      <c r="H1178" s="30"/>
      <c r="I1178" s="30"/>
      <c r="J1178" s="30"/>
      <c r="K1178" s="30"/>
    </row>
    <row r="1179" spans="1:11" ht="15">
      <c r="A1179" s="30"/>
      <c r="B1179" s="30"/>
      <c r="C1179" s="30"/>
      <c r="D1179" s="30"/>
      <c r="E1179" s="30"/>
      <c r="F1179" s="30"/>
      <c r="G1179" s="30"/>
      <c r="H1179" s="30"/>
      <c r="I1179" s="30"/>
      <c r="J1179" s="30"/>
      <c r="K1179" s="30"/>
    </row>
    <row r="1180" spans="1:11" ht="15">
      <c r="A1180" s="30"/>
      <c r="B1180" s="30"/>
      <c r="C1180" s="30"/>
      <c r="D1180" s="30"/>
      <c r="E1180" s="30"/>
      <c r="F1180" s="30"/>
      <c r="G1180" s="30"/>
      <c r="H1180" s="30"/>
      <c r="I1180" s="30"/>
      <c r="J1180" s="30"/>
      <c r="K1180" s="30"/>
    </row>
    <row r="1181" spans="1:11" ht="15">
      <c r="A1181" s="30"/>
      <c r="B1181" s="30"/>
      <c r="C1181" s="30"/>
      <c r="D1181" s="30"/>
      <c r="E1181" s="30"/>
      <c r="F1181" s="30"/>
      <c r="G1181" s="30"/>
      <c r="H1181" s="30"/>
      <c r="I1181" s="30"/>
      <c r="J1181" s="30"/>
      <c r="K1181" s="30"/>
    </row>
    <row r="1182" spans="1:11" ht="15">
      <c r="A1182" s="30"/>
      <c r="B1182" s="30"/>
      <c r="C1182" s="30"/>
      <c r="D1182" s="30"/>
      <c r="E1182" s="30"/>
      <c r="F1182" s="30"/>
      <c r="G1182" s="30"/>
      <c r="H1182" s="30"/>
      <c r="I1182" s="30"/>
      <c r="J1182" s="30"/>
      <c r="K1182" s="30"/>
    </row>
    <row r="1183" spans="1:11" ht="15">
      <c r="A1183" s="30"/>
      <c r="B1183" s="30"/>
      <c r="C1183" s="30"/>
      <c r="D1183" s="30"/>
      <c r="E1183" s="30"/>
      <c r="F1183" s="30"/>
      <c r="G1183" s="30"/>
      <c r="H1183" s="30"/>
      <c r="I1183" s="30"/>
      <c r="J1183" s="30"/>
      <c r="K1183" s="30"/>
    </row>
    <row r="1184" spans="1:11" ht="15">
      <c r="A1184" s="30"/>
      <c r="B1184" s="30"/>
      <c r="C1184" s="30"/>
      <c r="D1184" s="30"/>
      <c r="E1184" s="30"/>
      <c r="F1184" s="30"/>
      <c r="G1184" s="30"/>
      <c r="H1184" s="30"/>
      <c r="I1184" s="30"/>
      <c r="J1184" s="30"/>
      <c r="K1184" s="30"/>
    </row>
    <row r="1185" spans="1:11" ht="15">
      <c r="A1185" s="30"/>
      <c r="B1185" s="30"/>
      <c r="C1185" s="30"/>
      <c r="D1185" s="30"/>
      <c r="E1185" s="30"/>
      <c r="F1185" s="30"/>
      <c r="G1185" s="30"/>
      <c r="H1185" s="30"/>
      <c r="I1185" s="30"/>
      <c r="J1185" s="30"/>
      <c r="K1185" s="30"/>
    </row>
    <row r="1186" spans="1:11" ht="15">
      <c r="A1186" s="30"/>
      <c r="B1186" s="30"/>
      <c r="C1186" s="30"/>
      <c r="D1186" s="30"/>
      <c r="E1186" s="30"/>
      <c r="F1186" s="30"/>
      <c r="G1186" s="30"/>
      <c r="H1186" s="30"/>
      <c r="I1186" s="30"/>
      <c r="J1186" s="30"/>
      <c r="K1186" s="30"/>
    </row>
    <row r="1187" spans="1:11" ht="15">
      <c r="A1187" s="30"/>
      <c r="B1187" s="30"/>
      <c r="C1187" s="30"/>
      <c r="D1187" s="30"/>
      <c r="E1187" s="30"/>
      <c r="F1187" s="30"/>
      <c r="G1187" s="30"/>
      <c r="H1187" s="30"/>
      <c r="I1187" s="30"/>
      <c r="J1187" s="30"/>
      <c r="K1187" s="30"/>
    </row>
    <row r="1188" spans="1:11" ht="15">
      <c r="A1188" s="30"/>
      <c r="B1188" s="30"/>
      <c r="C1188" s="30"/>
      <c r="D1188" s="30"/>
      <c r="E1188" s="30"/>
      <c r="F1188" s="30"/>
      <c r="G1188" s="30"/>
      <c r="H1188" s="30"/>
      <c r="I1188" s="30"/>
      <c r="J1188" s="30"/>
      <c r="K1188" s="30"/>
    </row>
    <row r="1189" spans="1:11" ht="15">
      <c r="A1189" s="30"/>
      <c r="B1189" s="30"/>
      <c r="C1189" s="30"/>
      <c r="D1189" s="30"/>
      <c r="E1189" s="30"/>
      <c r="F1189" s="30"/>
      <c r="G1189" s="30"/>
      <c r="H1189" s="30"/>
      <c r="I1189" s="30"/>
      <c r="J1189" s="30"/>
      <c r="K1189" s="30"/>
    </row>
    <row r="1190" spans="1:11" ht="15">
      <c r="A1190" s="30"/>
      <c r="B1190" s="30"/>
      <c r="C1190" s="30"/>
      <c r="D1190" s="30"/>
      <c r="E1190" s="30"/>
      <c r="F1190" s="30"/>
      <c r="G1190" s="30"/>
      <c r="H1190" s="30"/>
      <c r="I1190" s="30"/>
      <c r="J1190" s="30"/>
      <c r="K1190" s="30"/>
    </row>
    <row r="1191" spans="1:11" ht="15">
      <c r="A1191" s="30"/>
      <c r="B1191" s="30"/>
      <c r="C1191" s="30"/>
      <c r="D1191" s="30"/>
      <c r="E1191" s="30"/>
      <c r="F1191" s="30"/>
      <c r="G1191" s="30"/>
      <c r="H1191" s="30"/>
      <c r="I1191" s="30"/>
      <c r="J1191" s="30"/>
      <c r="K1191" s="30"/>
    </row>
    <row r="1192" spans="1:11" ht="15">
      <c r="A1192" s="30"/>
      <c r="B1192" s="30"/>
      <c r="C1192" s="30"/>
      <c r="D1192" s="30"/>
      <c r="E1192" s="30"/>
      <c r="F1192" s="30"/>
      <c r="G1192" s="30"/>
      <c r="H1192" s="30"/>
      <c r="I1192" s="30"/>
      <c r="J1192" s="30"/>
      <c r="K1192" s="30"/>
    </row>
    <row r="1193" spans="1:11" ht="15">
      <c r="A1193" s="30"/>
      <c r="B1193" s="30"/>
      <c r="C1193" s="30"/>
      <c r="D1193" s="30"/>
      <c r="E1193" s="30"/>
      <c r="F1193" s="30"/>
      <c r="G1193" s="30"/>
      <c r="H1193" s="30"/>
      <c r="I1193" s="30"/>
      <c r="J1193" s="30"/>
      <c r="K1193" s="30"/>
    </row>
    <row r="1194" spans="1:11" ht="15">
      <c r="A1194" s="30"/>
      <c r="B1194" s="30"/>
      <c r="C1194" s="30"/>
      <c r="D1194" s="30"/>
      <c r="E1194" s="30"/>
      <c r="F1194" s="30"/>
      <c r="G1194" s="30"/>
      <c r="H1194" s="30"/>
      <c r="I1194" s="30"/>
      <c r="J1194" s="30"/>
      <c r="K1194" s="30"/>
    </row>
    <row r="1195" spans="1:11" ht="15">
      <c r="A1195" s="30"/>
      <c r="B1195" s="30"/>
      <c r="C1195" s="30"/>
      <c r="D1195" s="30"/>
      <c r="E1195" s="30"/>
      <c r="F1195" s="30"/>
      <c r="G1195" s="30"/>
      <c r="H1195" s="30"/>
      <c r="I1195" s="30"/>
      <c r="J1195" s="30"/>
      <c r="K1195" s="30"/>
    </row>
    <row r="1196" spans="1:11" ht="15">
      <c r="A1196" s="30"/>
      <c r="B1196" s="30"/>
      <c r="C1196" s="30"/>
      <c r="D1196" s="30"/>
      <c r="E1196" s="30"/>
      <c r="F1196" s="30"/>
      <c r="G1196" s="30"/>
      <c r="H1196" s="30"/>
      <c r="I1196" s="30"/>
      <c r="J1196" s="30"/>
      <c r="K1196" s="30"/>
    </row>
    <row r="1197" spans="1:11" ht="15">
      <c r="A1197" s="30"/>
      <c r="B1197" s="30"/>
      <c r="C1197" s="30"/>
      <c r="D1197" s="30"/>
      <c r="E1197" s="30"/>
      <c r="F1197" s="30"/>
      <c r="G1197" s="30"/>
      <c r="H1197" s="30"/>
      <c r="I1197" s="30"/>
      <c r="J1197" s="30"/>
      <c r="K1197" s="30"/>
    </row>
    <row r="1198" spans="1:11" ht="15">
      <c r="A1198" s="30"/>
      <c r="B1198" s="30"/>
      <c r="C1198" s="30"/>
      <c r="D1198" s="30"/>
      <c r="E1198" s="30"/>
      <c r="F1198" s="30"/>
      <c r="G1198" s="30"/>
      <c r="H1198" s="30"/>
      <c r="I1198" s="30"/>
      <c r="J1198" s="30"/>
      <c r="K1198" s="30"/>
    </row>
    <row r="1199" spans="1:11" ht="15">
      <c r="A1199" s="30"/>
      <c r="B1199" s="30"/>
      <c r="C1199" s="30"/>
      <c r="D1199" s="30"/>
      <c r="E1199" s="30"/>
      <c r="F1199" s="30"/>
      <c r="G1199" s="30"/>
      <c r="H1199" s="30"/>
      <c r="I1199" s="30"/>
      <c r="J1199" s="30"/>
      <c r="K1199" s="30"/>
    </row>
    <row r="1200" spans="1:11" ht="15">
      <c r="A1200" s="30"/>
      <c r="B1200" s="30"/>
      <c r="C1200" s="30"/>
      <c r="D1200" s="30"/>
      <c r="E1200" s="30"/>
      <c r="F1200" s="30"/>
      <c r="G1200" s="30"/>
      <c r="H1200" s="30"/>
      <c r="I1200" s="30"/>
      <c r="J1200" s="30"/>
      <c r="K1200" s="30"/>
    </row>
    <row r="1201" spans="1:11" ht="15">
      <c r="A1201" s="30"/>
      <c r="B1201" s="30"/>
      <c r="C1201" s="30"/>
      <c r="D1201" s="30"/>
      <c r="E1201" s="30"/>
      <c r="F1201" s="30"/>
      <c r="G1201" s="30"/>
      <c r="H1201" s="30"/>
      <c r="I1201" s="30"/>
      <c r="J1201" s="30"/>
      <c r="K1201" s="30"/>
    </row>
    <row r="1202" spans="1:11" ht="15">
      <c r="A1202" s="30"/>
      <c r="B1202" s="30"/>
      <c r="C1202" s="30"/>
      <c r="D1202" s="30"/>
      <c r="E1202" s="30"/>
      <c r="F1202" s="30"/>
      <c r="G1202" s="30"/>
      <c r="H1202" s="30"/>
      <c r="I1202" s="30"/>
      <c r="J1202" s="30"/>
      <c r="K1202" s="30"/>
    </row>
    <row r="1203" spans="1:11" ht="15">
      <c r="A1203" s="30"/>
      <c r="B1203" s="30"/>
      <c r="C1203" s="30"/>
      <c r="D1203" s="30"/>
      <c r="E1203" s="30"/>
      <c r="F1203" s="30"/>
      <c r="G1203" s="30"/>
      <c r="H1203" s="30"/>
      <c r="I1203" s="30"/>
      <c r="J1203" s="30"/>
      <c r="K1203" s="30"/>
    </row>
    <row r="1204" spans="1:11" ht="15">
      <c r="A1204" s="30"/>
      <c r="B1204" s="30"/>
      <c r="C1204" s="30"/>
      <c r="D1204" s="30"/>
      <c r="E1204" s="30"/>
      <c r="F1204" s="30"/>
      <c r="G1204" s="30"/>
      <c r="H1204" s="30"/>
      <c r="I1204" s="30"/>
      <c r="J1204" s="30"/>
      <c r="K1204" s="30"/>
    </row>
    <row r="1205" spans="1:11" ht="15">
      <c r="A1205" s="30"/>
      <c r="B1205" s="30"/>
      <c r="C1205" s="30"/>
      <c r="D1205" s="30"/>
      <c r="E1205" s="30"/>
      <c r="F1205" s="30"/>
      <c r="G1205" s="30"/>
      <c r="H1205" s="30"/>
      <c r="I1205" s="30"/>
      <c r="J1205" s="30"/>
      <c r="K1205" s="30"/>
    </row>
    <row r="1206" spans="1:11" ht="15">
      <c r="A1206" s="30"/>
      <c r="B1206" s="30"/>
      <c r="C1206" s="30"/>
      <c r="D1206" s="30"/>
      <c r="E1206" s="30"/>
      <c r="F1206" s="30"/>
      <c r="G1206" s="30"/>
      <c r="H1206" s="30"/>
      <c r="I1206" s="30"/>
      <c r="J1206" s="30"/>
      <c r="K1206" s="30"/>
    </row>
    <row r="1207" spans="1:11" ht="15">
      <c r="A1207" s="30"/>
      <c r="B1207" s="30"/>
      <c r="C1207" s="30"/>
      <c r="D1207" s="30"/>
      <c r="E1207" s="30"/>
      <c r="F1207" s="30"/>
      <c r="G1207" s="30"/>
      <c r="H1207" s="30"/>
      <c r="I1207" s="30"/>
      <c r="J1207" s="30"/>
      <c r="K1207" s="30"/>
    </row>
    <row r="1208" spans="1:11" ht="15">
      <c r="A1208" s="30"/>
      <c r="B1208" s="30"/>
      <c r="C1208" s="30"/>
      <c r="D1208" s="30"/>
      <c r="E1208" s="30"/>
      <c r="F1208" s="30"/>
      <c r="G1208" s="30"/>
      <c r="H1208" s="30"/>
      <c r="I1208" s="30"/>
      <c r="J1208" s="30"/>
      <c r="K1208" s="30"/>
    </row>
    <row r="1209" spans="1:11" ht="15">
      <c r="A1209" s="30"/>
      <c r="B1209" s="30"/>
      <c r="C1209" s="30"/>
      <c r="D1209" s="30"/>
      <c r="E1209" s="30"/>
      <c r="F1209" s="30"/>
      <c r="G1209" s="30"/>
      <c r="H1209" s="30"/>
      <c r="I1209" s="30"/>
      <c r="J1209" s="30"/>
      <c r="K1209" s="30"/>
    </row>
    <row r="1210" spans="1:11" ht="15">
      <c r="A1210" s="30"/>
      <c r="B1210" s="30"/>
      <c r="C1210" s="30"/>
      <c r="D1210" s="30"/>
      <c r="E1210" s="30"/>
      <c r="F1210" s="30"/>
      <c r="G1210" s="30"/>
      <c r="H1210" s="30"/>
      <c r="I1210" s="30"/>
      <c r="J1210" s="30"/>
      <c r="K1210" s="30"/>
    </row>
    <row r="1211" spans="1:11" ht="15">
      <c r="A1211" s="30"/>
      <c r="B1211" s="30"/>
      <c r="C1211" s="30"/>
      <c r="D1211" s="30"/>
      <c r="E1211" s="30"/>
      <c r="F1211" s="30"/>
      <c r="G1211" s="30"/>
      <c r="H1211" s="30"/>
      <c r="I1211" s="30"/>
      <c r="J1211" s="30"/>
      <c r="K1211" s="30"/>
    </row>
    <row r="1212" spans="1:11" ht="15">
      <c r="A1212" s="30"/>
      <c r="B1212" s="30"/>
      <c r="C1212" s="30"/>
      <c r="D1212" s="30"/>
      <c r="E1212" s="30"/>
      <c r="F1212" s="30"/>
      <c r="G1212" s="30"/>
      <c r="H1212" s="30"/>
      <c r="I1212" s="30"/>
      <c r="J1212" s="30"/>
      <c r="K1212" s="30"/>
    </row>
    <row r="1213" spans="1:11" ht="15">
      <c r="A1213" s="30"/>
      <c r="B1213" s="30"/>
      <c r="C1213" s="30"/>
      <c r="D1213" s="30"/>
      <c r="E1213" s="30"/>
      <c r="F1213" s="30"/>
      <c r="G1213" s="30"/>
      <c r="H1213" s="30"/>
      <c r="I1213" s="30"/>
      <c r="J1213" s="30"/>
      <c r="K1213" s="30"/>
    </row>
    <row r="1214" spans="1:11" ht="15">
      <c r="A1214" s="30"/>
      <c r="B1214" s="30"/>
      <c r="C1214" s="30"/>
      <c r="D1214" s="30"/>
      <c r="E1214" s="30"/>
      <c r="F1214" s="30"/>
      <c r="G1214" s="30"/>
      <c r="H1214" s="30"/>
      <c r="I1214" s="30"/>
      <c r="J1214" s="30"/>
      <c r="K1214" s="30"/>
    </row>
    <row r="1215" spans="1:11" ht="15">
      <c r="A1215" s="30"/>
      <c r="B1215" s="30"/>
      <c r="C1215" s="30"/>
      <c r="D1215" s="30"/>
      <c r="E1215" s="30"/>
      <c r="F1215" s="30"/>
      <c r="G1215" s="30"/>
      <c r="H1215" s="30"/>
      <c r="I1215" s="30"/>
      <c r="J1215" s="30"/>
      <c r="K1215" s="30"/>
    </row>
    <row r="1216" spans="1:11" ht="15">
      <c r="A1216" s="30"/>
      <c r="B1216" s="30"/>
      <c r="C1216" s="30"/>
      <c r="D1216" s="30"/>
      <c r="E1216" s="30"/>
      <c r="F1216" s="30"/>
      <c r="G1216" s="30"/>
      <c r="H1216" s="30"/>
      <c r="I1216" s="30"/>
      <c r="J1216" s="30"/>
      <c r="K1216" s="30"/>
    </row>
    <row r="1217" spans="1:11" ht="15">
      <c r="A1217" s="30"/>
      <c r="B1217" s="30"/>
      <c r="C1217" s="30"/>
      <c r="D1217" s="30"/>
      <c r="E1217" s="30"/>
      <c r="F1217" s="30"/>
      <c r="G1217" s="30"/>
      <c r="H1217" s="30"/>
      <c r="I1217" s="30"/>
      <c r="J1217" s="30"/>
      <c r="K1217" s="30"/>
    </row>
    <row r="1218" spans="1:11" ht="15">
      <c r="A1218" s="30"/>
      <c r="B1218" s="30"/>
      <c r="C1218" s="30"/>
      <c r="D1218" s="30"/>
      <c r="E1218" s="30"/>
      <c r="F1218" s="30"/>
      <c r="G1218" s="30"/>
      <c r="H1218" s="30"/>
      <c r="I1218" s="30"/>
      <c r="J1218" s="30"/>
      <c r="K1218" s="30"/>
    </row>
    <row r="1219" spans="1:11" ht="15">
      <c r="A1219" s="30"/>
      <c r="B1219" s="30"/>
      <c r="C1219" s="30"/>
      <c r="D1219" s="30"/>
      <c r="E1219" s="30"/>
      <c r="F1219" s="30"/>
      <c r="G1219" s="30"/>
      <c r="H1219" s="30"/>
      <c r="I1219" s="30"/>
      <c r="J1219" s="30"/>
      <c r="K1219" s="30"/>
    </row>
    <row r="1220" spans="1:11" ht="15">
      <c r="A1220" s="30"/>
      <c r="B1220" s="30"/>
      <c r="C1220" s="30"/>
      <c r="D1220" s="30"/>
      <c r="E1220" s="30"/>
      <c r="F1220" s="30"/>
      <c r="G1220" s="30"/>
      <c r="H1220" s="30"/>
      <c r="I1220" s="30"/>
      <c r="J1220" s="30"/>
      <c r="K1220" s="30"/>
    </row>
    <row r="1221" spans="1:11" ht="15">
      <c r="A1221" s="30"/>
      <c r="B1221" s="30"/>
      <c r="C1221" s="30"/>
      <c r="D1221" s="30"/>
      <c r="E1221" s="30"/>
      <c r="F1221" s="30"/>
      <c r="G1221" s="30"/>
      <c r="H1221" s="30"/>
      <c r="I1221" s="30"/>
      <c r="J1221" s="30"/>
      <c r="K1221" s="30"/>
    </row>
    <row r="1222" spans="1:11" ht="15">
      <c r="A1222" s="30"/>
      <c r="B1222" s="30"/>
      <c r="C1222" s="30"/>
      <c r="D1222" s="30"/>
      <c r="E1222" s="30"/>
      <c r="F1222" s="30"/>
      <c r="G1222" s="30"/>
      <c r="H1222" s="30"/>
      <c r="I1222" s="30"/>
      <c r="J1222" s="30"/>
      <c r="K1222" s="30"/>
    </row>
    <row r="1223" spans="1:11" ht="15">
      <c r="A1223" s="30"/>
      <c r="B1223" s="30"/>
      <c r="C1223" s="30"/>
      <c r="D1223" s="30"/>
      <c r="E1223" s="30"/>
      <c r="F1223" s="30"/>
      <c r="G1223" s="30"/>
      <c r="H1223" s="30"/>
      <c r="I1223" s="30"/>
      <c r="J1223" s="30"/>
      <c r="K1223" s="30"/>
    </row>
    <row r="1224" spans="1:11" ht="15">
      <c r="A1224" s="30"/>
      <c r="B1224" s="30"/>
      <c r="C1224" s="30"/>
      <c r="D1224" s="30"/>
      <c r="E1224" s="30"/>
      <c r="F1224" s="30"/>
      <c r="G1224" s="30"/>
      <c r="H1224" s="30"/>
      <c r="I1224" s="30"/>
      <c r="J1224" s="30"/>
      <c r="K1224" s="30"/>
    </row>
    <row r="1225" spans="1:11" ht="15">
      <c r="A1225" s="30"/>
      <c r="B1225" s="30"/>
      <c r="C1225" s="30"/>
      <c r="D1225" s="30"/>
      <c r="E1225" s="30"/>
      <c r="F1225" s="30"/>
      <c r="G1225" s="30"/>
      <c r="H1225" s="30"/>
      <c r="I1225" s="30"/>
      <c r="J1225" s="30"/>
      <c r="K1225" s="30"/>
    </row>
    <row r="1226" spans="1:11" ht="15">
      <c r="A1226" s="30"/>
      <c r="B1226" s="30"/>
      <c r="C1226" s="30"/>
      <c r="D1226" s="30"/>
      <c r="E1226" s="30"/>
      <c r="F1226" s="30"/>
      <c r="G1226" s="30"/>
      <c r="H1226" s="30"/>
      <c r="I1226" s="30"/>
      <c r="J1226" s="30"/>
      <c r="K1226" s="30"/>
    </row>
    <row r="1227" spans="1:11" ht="15">
      <c r="A1227" s="30"/>
      <c r="B1227" s="30"/>
      <c r="C1227" s="30"/>
      <c r="D1227" s="30"/>
      <c r="E1227" s="30"/>
      <c r="F1227" s="30"/>
      <c r="G1227" s="30"/>
      <c r="H1227" s="30"/>
      <c r="I1227" s="30"/>
      <c r="J1227" s="30"/>
      <c r="K1227" s="30"/>
    </row>
    <row r="1228" spans="1:11" ht="15">
      <c r="A1228" s="30"/>
      <c r="B1228" s="30"/>
      <c r="C1228" s="30"/>
      <c r="D1228" s="30"/>
      <c r="E1228" s="30"/>
      <c r="F1228" s="30"/>
      <c r="G1228" s="30"/>
      <c r="H1228" s="30"/>
      <c r="I1228" s="30"/>
      <c r="J1228" s="30"/>
      <c r="K1228" s="30"/>
    </row>
    <row r="1229" spans="1:11" ht="15">
      <c r="A1229" s="30"/>
      <c r="B1229" s="30"/>
      <c r="C1229" s="30"/>
      <c r="D1229" s="30"/>
      <c r="E1229" s="30"/>
      <c r="F1229" s="30"/>
      <c r="G1229" s="30"/>
      <c r="H1229" s="30"/>
      <c r="I1229" s="30"/>
      <c r="J1229" s="30"/>
      <c r="K1229" s="30"/>
    </row>
    <row r="1230" spans="1:11" ht="15">
      <c r="A1230" s="30"/>
      <c r="B1230" s="30"/>
      <c r="C1230" s="30"/>
      <c r="D1230" s="30"/>
      <c r="E1230" s="30"/>
      <c r="F1230" s="30"/>
      <c r="G1230" s="30"/>
      <c r="H1230" s="30"/>
      <c r="I1230" s="30"/>
      <c r="J1230" s="30"/>
      <c r="K1230" s="30"/>
    </row>
    <row r="1231" spans="1:11" ht="15">
      <c r="A1231" s="30"/>
      <c r="B1231" s="30"/>
      <c r="C1231" s="30"/>
      <c r="D1231" s="30"/>
      <c r="E1231" s="30"/>
      <c r="F1231" s="30"/>
      <c r="G1231" s="30"/>
      <c r="H1231" s="30"/>
      <c r="I1231" s="30"/>
      <c r="J1231" s="30"/>
      <c r="K1231" s="30"/>
    </row>
    <row r="1232" spans="1:11" ht="15">
      <c r="A1232" s="30"/>
      <c r="B1232" s="30"/>
      <c r="C1232" s="30"/>
      <c r="D1232" s="30"/>
      <c r="E1232" s="30"/>
      <c r="F1232" s="30"/>
      <c r="G1232" s="30"/>
      <c r="H1232" s="30"/>
      <c r="I1232" s="30"/>
      <c r="J1232" s="30"/>
      <c r="K1232" s="30"/>
    </row>
    <row r="1233" spans="1:11" ht="15">
      <c r="A1233" s="30"/>
      <c r="B1233" s="30"/>
      <c r="C1233" s="30"/>
      <c r="D1233" s="30"/>
      <c r="E1233" s="30"/>
      <c r="F1233" s="30"/>
      <c r="G1233" s="30"/>
      <c r="H1233" s="30"/>
      <c r="I1233" s="30"/>
      <c r="J1233" s="30"/>
      <c r="K1233" s="30"/>
    </row>
    <row r="1234" spans="1:11" ht="15">
      <c r="A1234" s="30"/>
      <c r="B1234" s="30"/>
      <c r="C1234" s="30"/>
      <c r="D1234" s="30"/>
      <c r="E1234" s="30"/>
      <c r="F1234" s="30"/>
      <c r="G1234" s="30"/>
      <c r="H1234" s="30"/>
      <c r="I1234" s="30"/>
      <c r="J1234" s="30"/>
      <c r="K1234" s="30"/>
    </row>
    <row r="1235" spans="1:11" ht="15">
      <c r="A1235" s="30"/>
      <c r="B1235" s="30"/>
      <c r="C1235" s="30"/>
      <c r="D1235" s="30"/>
      <c r="E1235" s="30"/>
      <c r="F1235" s="30"/>
      <c r="G1235" s="30"/>
      <c r="H1235" s="30"/>
      <c r="I1235" s="30"/>
      <c r="J1235" s="30"/>
      <c r="K1235" s="30"/>
    </row>
    <row r="1236" spans="1:11" ht="15">
      <c r="A1236" s="30"/>
      <c r="B1236" s="30"/>
      <c r="C1236" s="30"/>
      <c r="D1236" s="30"/>
      <c r="E1236" s="30"/>
      <c r="F1236" s="30"/>
      <c r="G1236" s="30"/>
      <c r="H1236" s="30"/>
      <c r="I1236" s="30"/>
      <c r="J1236" s="30"/>
      <c r="K1236" s="30"/>
    </row>
    <row r="1237" spans="1:11" ht="15">
      <c r="A1237" s="30"/>
      <c r="B1237" s="30"/>
      <c r="C1237" s="30"/>
      <c r="D1237" s="30"/>
      <c r="E1237" s="30"/>
      <c r="F1237" s="30"/>
      <c r="G1237" s="30"/>
      <c r="H1237" s="30"/>
      <c r="I1237" s="30"/>
      <c r="J1237" s="30"/>
      <c r="K1237" s="30"/>
    </row>
    <row r="1238" spans="1:11" ht="15">
      <c r="A1238" s="30"/>
      <c r="B1238" s="30"/>
      <c r="C1238" s="30"/>
      <c r="D1238" s="30"/>
      <c r="E1238" s="30"/>
      <c r="F1238" s="30"/>
      <c r="G1238" s="30"/>
      <c r="H1238" s="30"/>
      <c r="I1238" s="30"/>
      <c r="J1238" s="30"/>
      <c r="K1238" s="30"/>
    </row>
    <row r="1239" spans="1:11" ht="15">
      <c r="A1239" s="30"/>
      <c r="B1239" s="30"/>
      <c r="C1239" s="30"/>
      <c r="D1239" s="30"/>
      <c r="E1239" s="30"/>
      <c r="F1239" s="30"/>
      <c r="G1239" s="30"/>
      <c r="H1239" s="30"/>
      <c r="I1239" s="30"/>
      <c r="J1239" s="30"/>
      <c r="K1239" s="30"/>
    </row>
    <row r="1240" spans="1:11" ht="15">
      <c r="A1240" s="30"/>
      <c r="B1240" s="30"/>
      <c r="C1240" s="30"/>
      <c r="D1240" s="30"/>
      <c r="E1240" s="30"/>
      <c r="F1240" s="30"/>
      <c r="G1240" s="30"/>
      <c r="H1240" s="30"/>
      <c r="I1240" s="30"/>
      <c r="J1240" s="30"/>
      <c r="K1240" s="30"/>
    </row>
    <row r="1241" spans="1:11" ht="15">
      <c r="A1241" s="30"/>
      <c r="B1241" s="30"/>
      <c r="C1241" s="30"/>
      <c r="D1241" s="30"/>
      <c r="E1241" s="30"/>
      <c r="F1241" s="30"/>
      <c r="G1241" s="30"/>
      <c r="H1241" s="30"/>
      <c r="I1241" s="30"/>
      <c r="J1241" s="30"/>
      <c r="K1241" s="30"/>
    </row>
    <row r="1242" spans="1:11" ht="15">
      <c r="A1242" s="30"/>
      <c r="B1242" s="30"/>
      <c r="C1242" s="30"/>
      <c r="D1242" s="30"/>
      <c r="E1242" s="30"/>
      <c r="F1242" s="30"/>
      <c r="G1242" s="30"/>
      <c r="H1242" s="30"/>
      <c r="I1242" s="30"/>
      <c r="J1242" s="30"/>
      <c r="K1242" s="30"/>
    </row>
    <row r="1243" spans="1:11" ht="15">
      <c r="A1243" s="30"/>
      <c r="B1243" s="30"/>
      <c r="C1243" s="30"/>
      <c r="D1243" s="30"/>
      <c r="E1243" s="30"/>
      <c r="F1243" s="30"/>
      <c r="G1243" s="30"/>
      <c r="H1243" s="30"/>
      <c r="I1243" s="30"/>
      <c r="J1243" s="30"/>
      <c r="K1243" s="30"/>
    </row>
    <row r="1244" spans="1:11" ht="15">
      <c r="A1244" s="30"/>
      <c r="B1244" s="30"/>
      <c r="C1244" s="30"/>
      <c r="D1244" s="30"/>
      <c r="E1244" s="30"/>
      <c r="F1244" s="30"/>
      <c r="G1244" s="30"/>
      <c r="H1244" s="30"/>
      <c r="I1244" s="30"/>
      <c r="J1244" s="30"/>
      <c r="K1244" s="30"/>
    </row>
    <row r="1245" spans="1:11" ht="15">
      <c r="A1245" s="30"/>
      <c r="B1245" s="30"/>
      <c r="C1245" s="30"/>
      <c r="D1245" s="30"/>
      <c r="E1245" s="30"/>
      <c r="F1245" s="30"/>
      <c r="G1245" s="30"/>
      <c r="H1245" s="30"/>
      <c r="I1245" s="30"/>
      <c r="J1245" s="30"/>
      <c r="K1245" s="30"/>
    </row>
    <row r="1246" spans="1:11" ht="15">
      <c r="A1246" s="30"/>
      <c r="B1246" s="30"/>
      <c r="C1246" s="30"/>
      <c r="D1246" s="30"/>
      <c r="E1246" s="30"/>
      <c r="F1246" s="30"/>
      <c r="G1246" s="30"/>
      <c r="H1246" s="30"/>
      <c r="I1246" s="30"/>
      <c r="J1246" s="30"/>
      <c r="K1246" s="30"/>
    </row>
    <row r="1247" spans="1:11" ht="15">
      <c r="A1247" s="30"/>
      <c r="B1247" s="30"/>
      <c r="C1247" s="30"/>
      <c r="D1247" s="30"/>
      <c r="E1247" s="30"/>
      <c r="F1247" s="30"/>
      <c r="G1247" s="30"/>
      <c r="H1247" s="30"/>
      <c r="I1247" s="30"/>
      <c r="J1247" s="30"/>
      <c r="K1247" s="30"/>
    </row>
    <row r="1248" spans="1:11" ht="15">
      <c r="A1248" s="30"/>
      <c r="B1248" s="30"/>
      <c r="C1248" s="30"/>
      <c r="D1248" s="30"/>
      <c r="E1248" s="30"/>
      <c r="F1248" s="30"/>
      <c r="G1248" s="30"/>
      <c r="H1248" s="30"/>
      <c r="I1248" s="30"/>
      <c r="J1248" s="30"/>
      <c r="K1248" s="30"/>
    </row>
    <row r="1249" spans="1:11" ht="15">
      <c r="A1249" s="30"/>
      <c r="B1249" s="30"/>
      <c r="C1249" s="30"/>
      <c r="D1249" s="30"/>
      <c r="E1249" s="30"/>
      <c r="F1249" s="30"/>
      <c r="G1249" s="30"/>
      <c r="H1249" s="30"/>
      <c r="I1249" s="30"/>
      <c r="J1249" s="30"/>
      <c r="K1249" s="30"/>
    </row>
    <row r="1250" spans="1:11" ht="15">
      <c r="A1250" s="30"/>
      <c r="B1250" s="30"/>
      <c r="C1250" s="30"/>
      <c r="D1250" s="30"/>
      <c r="E1250" s="30"/>
      <c r="F1250" s="30"/>
      <c r="G1250" s="30"/>
      <c r="H1250" s="30"/>
      <c r="I1250" s="30"/>
      <c r="J1250" s="30"/>
      <c r="K1250" s="30"/>
    </row>
    <row r="1251" spans="1:11" ht="15">
      <c r="A1251" s="30"/>
      <c r="B1251" s="30"/>
      <c r="C1251" s="30"/>
      <c r="D1251" s="30"/>
      <c r="E1251" s="30"/>
      <c r="F1251" s="30"/>
      <c r="G1251" s="30"/>
      <c r="H1251" s="30"/>
      <c r="I1251" s="30"/>
      <c r="J1251" s="30"/>
      <c r="K1251" s="30"/>
    </row>
    <row r="1252" spans="1:11" ht="15">
      <c r="A1252" s="30"/>
      <c r="B1252" s="30"/>
      <c r="C1252" s="30"/>
      <c r="D1252" s="30"/>
      <c r="E1252" s="30"/>
      <c r="F1252" s="30"/>
      <c r="G1252" s="30"/>
      <c r="H1252" s="30"/>
      <c r="I1252" s="30"/>
      <c r="J1252" s="30"/>
      <c r="K1252" s="30"/>
    </row>
    <row r="1253" spans="1:11" ht="15">
      <c r="A1253" s="30"/>
      <c r="B1253" s="30"/>
      <c r="C1253" s="30"/>
      <c r="D1253" s="30"/>
      <c r="E1253" s="30"/>
      <c r="F1253" s="30"/>
      <c r="G1253" s="30"/>
      <c r="H1253" s="30"/>
      <c r="I1253" s="30"/>
      <c r="J1253" s="30"/>
      <c r="K1253" s="30"/>
    </row>
    <row r="1254" spans="1:11" ht="15">
      <c r="A1254" s="30"/>
      <c r="B1254" s="30"/>
      <c r="C1254" s="30"/>
      <c r="D1254" s="30"/>
      <c r="E1254" s="30"/>
      <c r="F1254" s="30"/>
      <c r="G1254" s="30"/>
      <c r="H1254" s="30"/>
      <c r="I1254" s="30"/>
      <c r="J1254" s="30"/>
      <c r="K1254" s="30"/>
    </row>
    <row r="1255" spans="1:11" ht="15">
      <c r="A1255" s="30"/>
      <c r="B1255" s="30"/>
      <c r="C1255" s="30"/>
      <c r="D1255" s="30"/>
      <c r="E1255" s="30"/>
      <c r="F1255" s="30"/>
      <c r="G1255" s="30"/>
      <c r="H1255" s="30"/>
      <c r="I1255" s="30"/>
      <c r="J1255" s="30"/>
      <c r="K1255" s="30"/>
    </row>
    <row r="1256" spans="1:11" ht="15">
      <c r="A1256" s="30"/>
      <c r="B1256" s="30"/>
      <c r="C1256" s="30"/>
      <c r="D1256" s="30"/>
      <c r="E1256" s="30"/>
      <c r="F1256" s="30"/>
      <c r="G1256" s="30"/>
      <c r="H1256" s="30"/>
      <c r="I1256" s="30"/>
      <c r="J1256" s="30"/>
      <c r="K1256" s="30"/>
    </row>
    <row r="1257" spans="1:11" ht="15">
      <c r="A1257" s="30"/>
      <c r="B1257" s="30"/>
      <c r="C1257" s="30"/>
      <c r="D1257" s="30"/>
      <c r="E1257" s="30"/>
      <c r="F1257" s="30"/>
      <c r="G1257" s="30"/>
      <c r="H1257" s="30"/>
      <c r="I1257" s="30"/>
      <c r="J1257" s="30"/>
      <c r="K1257" s="30"/>
    </row>
    <row r="1258" spans="1:11" ht="15">
      <c r="A1258" s="30"/>
      <c r="B1258" s="30"/>
      <c r="C1258" s="30"/>
      <c r="D1258" s="30"/>
      <c r="E1258" s="30"/>
      <c r="F1258" s="30"/>
      <c r="G1258" s="30"/>
      <c r="H1258" s="30"/>
      <c r="I1258" s="30"/>
      <c r="J1258" s="30"/>
      <c r="K1258" s="30"/>
    </row>
    <row r="1259" spans="1:11" ht="15">
      <c r="A1259" s="30"/>
      <c r="B1259" s="30"/>
      <c r="C1259" s="30"/>
      <c r="D1259" s="30"/>
      <c r="E1259" s="30"/>
      <c r="F1259" s="30"/>
      <c r="G1259" s="30"/>
      <c r="H1259" s="30"/>
      <c r="I1259" s="30"/>
      <c r="J1259" s="30"/>
      <c r="K1259" s="30"/>
    </row>
    <row r="1260" spans="1:11" ht="15">
      <c r="A1260" s="30"/>
      <c r="B1260" s="30"/>
      <c r="C1260" s="30"/>
      <c r="D1260" s="30"/>
      <c r="E1260" s="30"/>
      <c r="F1260" s="30"/>
      <c r="G1260" s="30"/>
      <c r="H1260" s="30"/>
      <c r="I1260" s="30"/>
      <c r="J1260" s="30"/>
      <c r="K1260" s="30"/>
    </row>
    <row r="1261" spans="1:11" ht="15">
      <c r="A1261" s="30"/>
      <c r="B1261" s="30"/>
      <c r="C1261" s="30"/>
      <c r="D1261" s="30"/>
      <c r="E1261" s="30"/>
      <c r="F1261" s="30"/>
      <c r="G1261" s="30"/>
      <c r="H1261" s="30"/>
      <c r="I1261" s="30"/>
      <c r="J1261" s="30"/>
      <c r="K1261" s="30"/>
    </row>
    <row r="1262" spans="1:11" ht="15">
      <c r="A1262" s="30"/>
      <c r="B1262" s="30"/>
      <c r="C1262" s="30"/>
      <c r="D1262" s="30"/>
      <c r="E1262" s="30"/>
      <c r="F1262" s="30"/>
      <c r="G1262" s="30"/>
      <c r="H1262" s="30"/>
      <c r="I1262" s="30"/>
      <c r="J1262" s="30"/>
      <c r="K1262" s="30"/>
    </row>
    <row r="1263" spans="1:11" ht="15">
      <c r="A1263" s="30"/>
      <c r="B1263" s="30"/>
      <c r="C1263" s="30"/>
      <c r="D1263" s="30"/>
      <c r="E1263" s="30"/>
      <c r="F1263" s="30"/>
      <c r="G1263" s="30"/>
      <c r="H1263" s="30"/>
      <c r="I1263" s="30"/>
      <c r="J1263" s="30"/>
      <c r="K1263" s="30"/>
    </row>
    <row r="1264" spans="1:11" ht="15">
      <c r="A1264" s="30"/>
      <c r="B1264" s="30"/>
      <c r="C1264" s="30"/>
      <c r="D1264" s="30"/>
      <c r="E1264" s="30"/>
      <c r="F1264" s="30"/>
      <c r="G1264" s="30"/>
      <c r="H1264" s="30"/>
      <c r="I1264" s="30"/>
      <c r="J1264" s="30"/>
      <c r="K1264" s="30"/>
    </row>
    <row r="1265" spans="1:11" ht="15">
      <c r="A1265" s="30"/>
      <c r="B1265" s="30"/>
      <c r="C1265" s="30"/>
      <c r="D1265" s="30"/>
      <c r="E1265" s="30"/>
      <c r="F1265" s="30"/>
      <c r="G1265" s="30"/>
      <c r="H1265" s="30"/>
      <c r="I1265" s="30"/>
      <c r="J1265" s="30"/>
      <c r="K1265" s="30"/>
    </row>
    <row r="1266" spans="1:11" ht="15">
      <c r="A1266" s="30"/>
      <c r="B1266" s="30"/>
      <c r="C1266" s="30"/>
      <c r="D1266" s="30"/>
      <c r="E1266" s="30"/>
      <c r="F1266" s="30"/>
      <c r="G1266" s="30"/>
      <c r="H1266" s="30"/>
      <c r="I1266" s="30"/>
      <c r="J1266" s="30"/>
      <c r="K1266" s="30"/>
    </row>
    <row r="1267" spans="1:11" ht="15">
      <c r="A1267" s="30"/>
      <c r="B1267" s="30"/>
      <c r="C1267" s="30"/>
      <c r="D1267" s="30"/>
      <c r="E1267" s="30"/>
      <c r="F1267" s="30"/>
      <c r="G1267" s="30"/>
      <c r="H1267" s="30"/>
      <c r="I1267" s="30"/>
      <c r="J1267" s="30"/>
      <c r="K1267" s="30"/>
    </row>
    <row r="1268" spans="1:11" ht="15">
      <c r="A1268" s="30"/>
      <c r="B1268" s="30"/>
      <c r="C1268" s="30"/>
      <c r="D1268" s="30"/>
      <c r="E1268" s="30"/>
      <c r="F1268" s="30"/>
      <c r="G1268" s="30"/>
      <c r="H1268" s="30"/>
      <c r="I1268" s="30"/>
      <c r="J1268" s="30"/>
      <c r="K1268" s="30"/>
    </row>
    <row r="1269" spans="1:11" ht="15">
      <c r="A1269" s="30"/>
      <c r="B1269" s="30"/>
      <c r="C1269" s="30"/>
      <c r="D1269" s="30"/>
      <c r="E1269" s="30"/>
      <c r="F1269" s="30"/>
      <c r="G1269" s="30"/>
      <c r="H1269" s="30"/>
      <c r="I1269" s="30"/>
      <c r="J1269" s="30"/>
      <c r="K1269" s="30"/>
    </row>
    <row r="1270" spans="1:11" ht="15">
      <c r="A1270" s="30"/>
      <c r="B1270" s="30"/>
      <c r="C1270" s="30"/>
      <c r="D1270" s="30"/>
      <c r="E1270" s="30"/>
      <c r="F1270" s="30"/>
      <c r="G1270" s="30"/>
      <c r="H1270" s="30"/>
      <c r="I1270" s="30"/>
      <c r="J1270" s="30"/>
      <c r="K1270" s="30"/>
    </row>
    <row r="1271" spans="1:11" ht="15">
      <c r="A1271" s="30"/>
      <c r="B1271" s="30"/>
      <c r="C1271" s="30"/>
      <c r="D1271" s="30"/>
      <c r="E1271" s="30"/>
      <c r="F1271" s="30"/>
      <c r="G1271" s="30"/>
      <c r="H1271" s="30"/>
      <c r="I1271" s="30"/>
      <c r="J1271" s="30"/>
      <c r="K1271" s="30"/>
    </row>
    <row r="1272" spans="1:11" ht="15">
      <c r="A1272" s="30"/>
      <c r="B1272" s="30"/>
      <c r="C1272" s="30"/>
      <c r="D1272" s="30"/>
      <c r="E1272" s="30"/>
      <c r="F1272" s="30"/>
      <c r="G1272" s="30"/>
      <c r="H1272" s="30"/>
      <c r="I1272" s="30"/>
      <c r="J1272" s="30"/>
      <c r="K1272" s="30"/>
    </row>
    <row r="1273" spans="1:11" ht="15">
      <c r="A1273" s="30"/>
      <c r="B1273" s="30"/>
      <c r="C1273" s="30"/>
      <c r="D1273" s="30"/>
      <c r="E1273" s="30"/>
      <c r="F1273" s="30"/>
      <c r="G1273" s="30"/>
      <c r="H1273" s="30"/>
      <c r="I1273" s="30"/>
      <c r="J1273" s="30"/>
      <c r="K1273" s="30"/>
    </row>
    <row r="1274" spans="1:11" ht="15">
      <c r="A1274" s="30"/>
      <c r="B1274" s="30"/>
      <c r="C1274" s="30"/>
      <c r="D1274" s="30"/>
      <c r="E1274" s="30"/>
      <c r="F1274" s="30"/>
      <c r="G1274" s="30"/>
      <c r="H1274" s="30"/>
      <c r="I1274" s="30"/>
      <c r="J1274" s="30"/>
      <c r="K1274" s="30"/>
    </row>
    <row r="1275" spans="1:11" ht="15">
      <c r="A1275" s="30"/>
      <c r="B1275" s="30"/>
      <c r="C1275" s="30"/>
      <c r="D1275" s="30"/>
      <c r="E1275" s="30"/>
      <c r="F1275" s="30"/>
      <c r="G1275" s="30"/>
      <c r="H1275" s="30"/>
      <c r="I1275" s="30"/>
      <c r="J1275" s="30"/>
      <c r="K1275" s="30"/>
    </row>
    <row r="1276" spans="1:11" ht="15">
      <c r="A1276" s="30"/>
      <c r="B1276" s="30"/>
      <c r="C1276" s="30"/>
      <c r="D1276" s="30"/>
      <c r="E1276" s="30"/>
      <c r="F1276" s="30"/>
      <c r="G1276" s="30"/>
      <c r="H1276" s="30"/>
      <c r="I1276" s="30"/>
      <c r="J1276" s="30"/>
      <c r="K1276" s="30"/>
    </row>
    <row r="1277" spans="1:11" ht="15">
      <c r="A1277" s="30"/>
      <c r="B1277" s="30"/>
      <c r="C1277" s="30"/>
      <c r="D1277" s="30"/>
      <c r="E1277" s="30"/>
      <c r="F1277" s="30"/>
      <c r="G1277" s="30"/>
      <c r="H1277" s="30"/>
      <c r="I1277" s="30"/>
      <c r="J1277" s="30"/>
      <c r="K1277" s="30"/>
    </row>
    <row r="1278" spans="1:11" ht="15">
      <c r="A1278" s="30"/>
      <c r="B1278" s="30"/>
      <c r="C1278" s="30"/>
      <c r="D1278" s="30"/>
      <c r="E1278" s="30"/>
      <c r="F1278" s="30"/>
      <c r="G1278" s="30"/>
      <c r="H1278" s="30"/>
      <c r="I1278" s="30"/>
      <c r="J1278" s="30"/>
      <c r="K1278" s="30"/>
    </row>
    <row r="1279" spans="1:11" ht="15">
      <c r="A1279" s="30"/>
      <c r="B1279" s="30"/>
      <c r="C1279" s="30"/>
      <c r="D1279" s="30"/>
      <c r="E1279" s="30"/>
      <c r="F1279" s="30"/>
      <c r="G1279" s="30"/>
      <c r="H1279" s="30"/>
      <c r="I1279" s="30"/>
      <c r="J1279" s="30"/>
      <c r="K1279" s="30"/>
    </row>
    <row r="1280" spans="1:11" ht="15">
      <c r="A1280" s="30"/>
      <c r="B1280" s="30"/>
      <c r="C1280" s="30"/>
      <c r="D1280" s="30"/>
      <c r="E1280" s="30"/>
      <c r="F1280" s="30"/>
      <c r="G1280" s="30"/>
      <c r="H1280" s="30"/>
      <c r="I1280" s="30"/>
      <c r="J1280" s="30"/>
      <c r="K1280" s="30"/>
    </row>
    <row r="1281" spans="1:11" ht="15">
      <c r="A1281" s="30"/>
      <c r="B1281" s="30"/>
      <c r="C1281" s="30"/>
      <c r="D1281" s="30"/>
      <c r="E1281" s="30"/>
      <c r="F1281" s="30"/>
      <c r="G1281" s="30"/>
      <c r="H1281" s="30"/>
      <c r="I1281" s="30"/>
      <c r="J1281" s="30"/>
      <c r="K1281" s="30"/>
    </row>
    <row r="1282" spans="1:11" ht="15">
      <c r="A1282" s="30"/>
      <c r="B1282" s="30"/>
      <c r="C1282" s="30"/>
      <c r="D1282" s="30"/>
      <c r="E1282" s="30"/>
      <c r="F1282" s="30"/>
      <c r="G1282" s="30"/>
      <c r="H1282" s="30"/>
      <c r="I1282" s="30"/>
      <c r="J1282" s="30"/>
      <c r="K1282" s="30"/>
    </row>
    <row r="1283" spans="1:11" ht="15">
      <c r="A1283" s="30"/>
      <c r="B1283" s="30"/>
      <c r="C1283" s="30"/>
      <c r="D1283" s="30"/>
      <c r="E1283" s="30"/>
      <c r="F1283" s="30"/>
      <c r="G1283" s="30"/>
      <c r="H1283" s="30"/>
      <c r="I1283" s="30"/>
      <c r="J1283" s="30"/>
      <c r="K1283" s="30"/>
    </row>
    <row r="1284" spans="1:11" ht="15">
      <c r="A1284" s="30"/>
      <c r="B1284" s="30"/>
      <c r="C1284" s="30"/>
      <c r="D1284" s="30"/>
      <c r="E1284" s="30"/>
      <c r="F1284" s="30"/>
      <c r="G1284" s="30"/>
      <c r="H1284" s="30"/>
      <c r="I1284" s="30"/>
      <c r="J1284" s="30"/>
      <c r="K1284" s="30"/>
    </row>
    <row r="1285" spans="1:11" ht="15">
      <c r="A1285" s="30"/>
      <c r="B1285" s="30"/>
      <c r="C1285" s="30"/>
      <c r="D1285" s="30"/>
      <c r="E1285" s="30"/>
      <c r="F1285" s="30"/>
      <c r="G1285" s="30"/>
      <c r="H1285" s="30"/>
      <c r="I1285" s="30"/>
      <c r="J1285" s="30"/>
      <c r="K1285" s="30"/>
    </row>
    <row r="1286" spans="1:11" ht="15">
      <c r="A1286" s="30"/>
      <c r="B1286" s="30"/>
      <c r="C1286" s="30"/>
      <c r="D1286" s="30"/>
      <c r="E1286" s="30"/>
      <c r="F1286" s="30"/>
      <c r="G1286" s="30"/>
      <c r="H1286" s="30"/>
      <c r="I1286" s="30"/>
      <c r="J1286" s="30"/>
      <c r="K1286" s="30"/>
    </row>
    <row r="1287" spans="1:11" ht="15">
      <c r="A1287" s="30"/>
      <c r="B1287" s="30"/>
      <c r="C1287" s="30"/>
      <c r="D1287" s="30"/>
      <c r="E1287" s="30"/>
      <c r="F1287" s="30"/>
      <c r="G1287" s="30"/>
      <c r="H1287" s="30"/>
      <c r="I1287" s="30"/>
      <c r="J1287" s="30"/>
      <c r="K1287" s="30"/>
    </row>
    <row r="1288" spans="1:11" ht="15">
      <c r="A1288" s="30"/>
      <c r="B1288" s="30"/>
      <c r="C1288" s="30"/>
      <c r="D1288" s="30"/>
      <c r="E1288" s="30"/>
      <c r="F1288" s="30"/>
      <c r="G1288" s="30"/>
      <c r="H1288" s="30"/>
      <c r="I1288" s="30"/>
      <c r="J1288" s="30"/>
      <c r="K1288" s="30"/>
    </row>
    <row r="1289" spans="1:11" ht="15">
      <c r="A1289" s="30"/>
      <c r="B1289" s="30"/>
      <c r="C1289" s="30"/>
      <c r="D1289" s="30"/>
      <c r="E1289" s="30"/>
      <c r="F1289" s="30"/>
      <c r="G1289" s="30"/>
      <c r="H1289" s="30"/>
      <c r="I1289" s="30"/>
      <c r="J1289" s="30"/>
      <c r="K1289" s="30"/>
    </row>
    <row r="1290" spans="1:11" ht="15">
      <c r="A1290" s="30"/>
      <c r="B1290" s="30"/>
      <c r="C1290" s="30"/>
      <c r="D1290" s="30"/>
      <c r="E1290" s="30"/>
      <c r="F1290" s="30"/>
      <c r="G1290" s="30"/>
      <c r="H1290" s="30"/>
      <c r="I1290" s="30"/>
      <c r="J1290" s="30"/>
      <c r="K1290" s="30"/>
    </row>
    <row r="1291" spans="1:11" ht="15">
      <c r="A1291" s="30"/>
      <c r="B1291" s="30"/>
      <c r="C1291" s="30"/>
      <c r="D1291" s="30"/>
      <c r="E1291" s="30"/>
      <c r="F1291" s="30"/>
      <c r="G1291" s="30"/>
      <c r="H1291" s="30"/>
      <c r="I1291" s="30"/>
      <c r="J1291" s="30"/>
      <c r="K1291" s="30"/>
    </row>
    <row r="1292" spans="1:11" ht="15">
      <c r="A1292" s="30"/>
      <c r="B1292" s="30"/>
      <c r="C1292" s="30"/>
      <c r="D1292" s="30"/>
      <c r="E1292" s="30"/>
      <c r="F1292" s="30"/>
      <c r="G1292" s="30"/>
      <c r="H1292" s="30"/>
      <c r="I1292" s="30"/>
      <c r="J1292" s="30"/>
      <c r="K1292" s="30"/>
    </row>
    <row r="1293" spans="1:11" ht="15">
      <c r="A1293" s="30"/>
      <c r="B1293" s="30"/>
      <c r="C1293" s="30"/>
      <c r="D1293" s="30"/>
      <c r="E1293" s="30"/>
      <c r="F1293" s="30"/>
      <c r="G1293" s="30"/>
      <c r="H1293" s="30"/>
      <c r="I1293" s="30"/>
      <c r="J1293" s="30"/>
      <c r="K1293" s="30"/>
    </row>
    <row r="1294" spans="1:11" ht="15">
      <c r="A1294" s="30"/>
      <c r="B1294" s="30"/>
      <c r="C1294" s="30"/>
      <c r="D1294" s="30"/>
      <c r="E1294" s="30"/>
      <c r="F1294" s="30"/>
      <c r="G1294" s="30"/>
      <c r="H1294" s="30"/>
      <c r="I1294" s="30"/>
      <c r="J1294" s="30"/>
      <c r="K1294" s="30"/>
    </row>
    <row r="1295" spans="1:11" ht="15">
      <c r="A1295" s="30"/>
      <c r="B1295" s="30"/>
      <c r="C1295" s="30"/>
      <c r="D1295" s="30"/>
      <c r="E1295" s="30"/>
      <c r="F1295" s="30"/>
      <c r="G1295" s="30"/>
      <c r="H1295" s="30"/>
      <c r="I1295" s="30"/>
      <c r="J1295" s="30"/>
      <c r="K1295" s="30"/>
    </row>
    <row r="1296" spans="1:11" ht="15">
      <c r="A1296" s="30"/>
      <c r="B1296" s="30"/>
      <c r="C1296" s="30"/>
      <c r="D1296" s="30"/>
      <c r="E1296" s="30"/>
      <c r="F1296" s="30"/>
      <c r="G1296" s="30"/>
      <c r="H1296" s="30"/>
      <c r="I1296" s="30"/>
      <c r="J1296" s="30"/>
      <c r="K1296" s="30"/>
    </row>
    <row r="1297" spans="1:11" ht="15">
      <c r="A1297" s="30"/>
      <c r="B1297" s="30"/>
      <c r="C1297" s="30"/>
      <c r="D1297" s="30"/>
      <c r="E1297" s="30"/>
      <c r="F1297" s="30"/>
      <c r="G1297" s="30"/>
      <c r="H1297" s="30"/>
      <c r="I1297" s="30"/>
      <c r="J1297" s="30"/>
      <c r="K1297" s="30"/>
    </row>
    <row r="1298" spans="1:11" ht="15">
      <c r="A1298" s="30"/>
      <c r="B1298" s="30"/>
      <c r="C1298" s="30"/>
      <c r="D1298" s="30"/>
      <c r="E1298" s="30"/>
      <c r="F1298" s="30"/>
      <c r="G1298" s="30"/>
      <c r="H1298" s="30"/>
      <c r="I1298" s="30"/>
      <c r="J1298" s="30"/>
      <c r="K1298" s="30"/>
    </row>
    <row r="1299" spans="1:11" ht="15">
      <c r="A1299" s="30"/>
      <c r="B1299" s="30"/>
      <c r="C1299" s="30"/>
      <c r="D1299" s="30"/>
      <c r="E1299" s="30"/>
      <c r="F1299" s="30"/>
      <c r="G1299" s="30"/>
      <c r="H1299" s="30"/>
      <c r="I1299" s="30"/>
      <c r="J1299" s="30"/>
      <c r="K1299" s="30"/>
    </row>
    <row r="1300" spans="1:11" ht="15">
      <c r="A1300" s="30"/>
      <c r="B1300" s="30"/>
      <c r="C1300" s="30"/>
      <c r="D1300" s="30"/>
      <c r="E1300" s="30"/>
      <c r="F1300" s="30"/>
      <c r="G1300" s="30"/>
      <c r="H1300" s="30"/>
      <c r="I1300" s="30"/>
      <c r="J1300" s="30"/>
      <c r="K1300" s="30"/>
    </row>
    <row r="1301" spans="1:11" ht="15">
      <c r="A1301" s="30"/>
      <c r="B1301" s="30"/>
      <c r="C1301" s="30"/>
      <c r="D1301" s="30"/>
      <c r="E1301" s="30"/>
      <c r="F1301" s="30"/>
      <c r="G1301" s="30"/>
      <c r="H1301" s="30"/>
      <c r="I1301" s="30"/>
      <c r="J1301" s="30"/>
      <c r="K1301" s="30"/>
    </row>
    <row r="1302" spans="1:11" ht="15">
      <c r="A1302" s="30"/>
      <c r="B1302" s="30"/>
      <c r="C1302" s="30"/>
      <c r="D1302" s="30"/>
      <c r="E1302" s="30"/>
      <c r="F1302" s="30"/>
      <c r="G1302" s="30"/>
      <c r="H1302" s="30"/>
      <c r="I1302" s="30"/>
      <c r="J1302" s="30"/>
      <c r="K1302" s="30"/>
    </row>
    <row r="1303" spans="1:11" ht="15">
      <c r="A1303" s="30"/>
      <c r="B1303" s="30"/>
      <c r="C1303" s="30"/>
      <c r="D1303" s="30"/>
      <c r="E1303" s="30"/>
      <c r="F1303" s="30"/>
      <c r="G1303" s="30"/>
      <c r="H1303" s="30"/>
      <c r="I1303" s="30"/>
      <c r="J1303" s="30"/>
      <c r="K1303" s="30"/>
    </row>
    <row r="1304" spans="1:11" ht="15">
      <c r="A1304" s="30"/>
      <c r="B1304" s="30"/>
      <c r="C1304" s="30"/>
      <c r="D1304" s="30"/>
      <c r="E1304" s="30"/>
      <c r="F1304" s="30"/>
      <c r="G1304" s="30"/>
      <c r="H1304" s="30"/>
      <c r="I1304" s="30"/>
      <c r="J1304" s="30"/>
      <c r="K1304" s="30"/>
    </row>
    <row r="1305" spans="1:11" ht="15">
      <c r="A1305" s="30"/>
      <c r="B1305" s="30"/>
      <c r="C1305" s="30"/>
      <c r="D1305" s="30"/>
      <c r="E1305" s="30"/>
      <c r="F1305" s="30"/>
      <c r="G1305" s="30"/>
      <c r="H1305" s="30"/>
      <c r="I1305" s="30"/>
      <c r="J1305" s="30"/>
      <c r="K1305" s="30"/>
    </row>
    <row r="1306" spans="1:11" ht="15">
      <c r="A1306" s="30"/>
      <c r="B1306" s="30"/>
      <c r="C1306" s="30"/>
      <c r="D1306" s="30"/>
      <c r="E1306" s="30"/>
      <c r="F1306" s="30"/>
      <c r="G1306" s="30"/>
      <c r="H1306" s="30"/>
      <c r="I1306" s="30"/>
      <c r="J1306" s="30"/>
      <c r="K1306" s="30"/>
    </row>
    <row r="1307" spans="1:11" ht="15">
      <c r="A1307" s="30"/>
      <c r="B1307" s="30"/>
      <c r="C1307" s="30"/>
      <c r="D1307" s="30"/>
      <c r="E1307" s="30"/>
      <c r="F1307" s="30"/>
      <c r="G1307" s="30"/>
      <c r="H1307" s="30"/>
      <c r="I1307" s="30"/>
      <c r="J1307" s="30"/>
      <c r="K1307" s="30"/>
    </row>
    <row r="1308" spans="1:11" ht="15">
      <c r="A1308" s="30"/>
      <c r="B1308" s="30"/>
      <c r="C1308" s="30"/>
      <c r="D1308" s="30"/>
      <c r="E1308" s="30"/>
      <c r="F1308" s="30"/>
      <c r="G1308" s="30"/>
      <c r="H1308" s="30"/>
      <c r="I1308" s="30"/>
      <c r="J1308" s="30"/>
      <c r="K1308" s="30"/>
    </row>
    <row r="1309" spans="1:11" ht="15">
      <c r="A1309" s="30"/>
      <c r="B1309" s="30"/>
      <c r="C1309" s="30"/>
      <c r="D1309" s="30"/>
      <c r="E1309" s="30"/>
      <c r="F1309" s="30"/>
      <c r="G1309" s="30"/>
      <c r="H1309" s="30"/>
      <c r="I1309" s="30"/>
      <c r="J1309" s="30"/>
      <c r="K1309" s="30"/>
    </row>
    <row r="1310" spans="1:11" ht="15">
      <c r="A1310" s="30"/>
      <c r="B1310" s="30"/>
      <c r="C1310" s="30"/>
      <c r="D1310" s="30"/>
      <c r="E1310" s="30"/>
      <c r="F1310" s="30"/>
      <c r="G1310" s="30"/>
      <c r="H1310" s="30"/>
      <c r="I1310" s="30"/>
      <c r="J1310" s="30"/>
      <c r="K1310" s="30"/>
    </row>
    <row r="1311" spans="1:11" ht="15">
      <c r="A1311" s="30"/>
      <c r="B1311" s="30"/>
      <c r="C1311" s="30"/>
      <c r="D1311" s="30"/>
      <c r="E1311" s="30"/>
      <c r="F1311" s="30"/>
      <c r="G1311" s="30"/>
      <c r="H1311" s="30"/>
      <c r="I1311" s="30"/>
      <c r="J1311" s="30"/>
      <c r="K1311" s="30"/>
    </row>
    <row r="1312" spans="1:11" ht="15">
      <c r="A1312" s="30"/>
      <c r="B1312" s="30"/>
      <c r="C1312" s="30"/>
      <c r="D1312" s="30"/>
      <c r="E1312" s="30"/>
      <c r="F1312" s="30"/>
      <c r="G1312" s="30"/>
      <c r="H1312" s="30"/>
      <c r="I1312" s="30"/>
      <c r="J1312" s="30"/>
      <c r="K1312" s="30"/>
    </row>
    <row r="1313" spans="1:11" ht="15">
      <c r="A1313" s="30"/>
      <c r="B1313" s="30"/>
      <c r="C1313" s="30"/>
      <c r="D1313" s="30"/>
      <c r="E1313" s="30"/>
      <c r="F1313" s="30"/>
      <c r="G1313" s="30"/>
      <c r="H1313" s="30"/>
      <c r="I1313" s="30"/>
      <c r="J1313" s="30"/>
      <c r="K1313" s="30"/>
    </row>
    <row r="1314" spans="1:11" ht="15">
      <c r="A1314" s="30"/>
      <c r="B1314" s="30"/>
      <c r="C1314" s="30"/>
      <c r="D1314" s="30"/>
      <c r="E1314" s="30"/>
      <c r="F1314" s="30"/>
      <c r="G1314" s="30"/>
      <c r="H1314" s="30"/>
      <c r="I1314" s="30"/>
      <c r="J1314" s="30"/>
      <c r="K1314" s="30"/>
    </row>
    <row r="1315" spans="1:11" ht="15">
      <c r="A1315" s="30"/>
      <c r="B1315" s="30"/>
      <c r="C1315" s="30"/>
      <c r="D1315" s="30"/>
      <c r="E1315" s="30"/>
      <c r="F1315" s="30"/>
      <c r="G1315" s="30"/>
      <c r="H1315" s="30"/>
      <c r="I1315" s="30"/>
      <c r="J1315" s="30"/>
      <c r="K1315" s="30"/>
    </row>
    <row r="1316" spans="1:11" ht="15">
      <c r="A1316" s="30"/>
      <c r="B1316" s="30"/>
      <c r="C1316" s="30"/>
      <c r="D1316" s="30"/>
      <c r="E1316" s="30"/>
      <c r="F1316" s="30"/>
      <c r="G1316" s="30"/>
      <c r="H1316" s="30"/>
      <c r="I1316" s="30"/>
      <c r="J1316" s="30"/>
      <c r="K1316" s="30"/>
    </row>
    <row r="1317" spans="1:11" ht="15">
      <c r="A1317" s="30"/>
      <c r="B1317" s="30"/>
      <c r="C1317" s="30"/>
      <c r="D1317" s="30"/>
      <c r="E1317" s="30"/>
      <c r="F1317" s="30"/>
      <c r="G1317" s="30"/>
      <c r="H1317" s="30"/>
      <c r="I1317" s="30"/>
      <c r="J1317" s="30"/>
      <c r="K1317" s="30"/>
    </row>
    <row r="1318" spans="1:11" ht="15">
      <c r="A1318" s="30"/>
      <c r="B1318" s="30"/>
      <c r="C1318" s="30"/>
      <c r="D1318" s="30"/>
      <c r="E1318" s="30"/>
      <c r="F1318" s="30"/>
      <c r="G1318" s="30"/>
      <c r="H1318" s="30"/>
      <c r="I1318" s="30"/>
      <c r="J1318" s="30"/>
      <c r="K1318" s="30"/>
    </row>
    <row r="1319" spans="1:11" ht="15">
      <c r="A1319" s="30"/>
      <c r="B1319" s="30"/>
      <c r="C1319" s="30"/>
      <c r="D1319" s="30"/>
      <c r="E1319" s="30"/>
      <c r="F1319" s="30"/>
      <c r="G1319" s="30"/>
      <c r="H1319" s="30"/>
      <c r="I1319" s="30"/>
      <c r="J1319" s="30"/>
      <c r="K1319" s="30"/>
    </row>
    <row r="1320" spans="1:11" ht="15">
      <c r="A1320" s="30"/>
      <c r="B1320" s="30"/>
      <c r="C1320" s="30"/>
      <c r="D1320" s="30"/>
      <c r="E1320" s="30"/>
      <c r="F1320" s="30"/>
      <c r="G1320" s="30"/>
      <c r="H1320" s="30"/>
      <c r="I1320" s="30"/>
      <c r="J1320" s="30"/>
      <c r="K1320" s="30"/>
    </row>
    <row r="1321" spans="1:11" ht="15">
      <c r="A1321" s="30"/>
      <c r="B1321" s="30"/>
      <c r="C1321" s="30"/>
      <c r="D1321" s="30"/>
      <c r="E1321" s="30"/>
      <c r="F1321" s="30"/>
      <c r="G1321" s="30"/>
      <c r="H1321" s="30"/>
      <c r="I1321" s="30"/>
      <c r="J1321" s="30"/>
      <c r="K1321" s="30"/>
    </row>
    <row r="1322" spans="1:11" ht="15">
      <c r="A1322" s="30"/>
      <c r="B1322" s="30"/>
      <c r="C1322" s="30"/>
      <c r="D1322" s="30"/>
      <c r="E1322" s="30"/>
      <c r="F1322" s="30"/>
      <c r="G1322" s="30"/>
      <c r="H1322" s="30"/>
      <c r="I1322" s="30"/>
      <c r="J1322" s="30"/>
      <c r="K1322" s="30"/>
    </row>
    <row r="1323" spans="1:11" ht="15">
      <c r="A1323" s="30"/>
      <c r="B1323" s="30"/>
      <c r="C1323" s="30"/>
      <c r="D1323" s="30"/>
      <c r="E1323" s="30"/>
      <c r="F1323" s="30"/>
      <c r="G1323" s="30"/>
      <c r="H1323" s="30"/>
      <c r="I1323" s="30"/>
      <c r="J1323" s="30"/>
      <c r="K1323" s="30"/>
    </row>
    <row r="1324" spans="1:11" ht="15">
      <c r="A1324" s="30"/>
      <c r="B1324" s="30"/>
      <c r="C1324" s="30"/>
      <c r="D1324" s="30"/>
      <c r="E1324" s="30"/>
      <c r="F1324" s="30"/>
      <c r="G1324" s="30"/>
      <c r="H1324" s="30"/>
      <c r="I1324" s="30"/>
      <c r="J1324" s="30"/>
      <c r="K1324" s="30"/>
    </row>
    <row r="1325" spans="1:11" ht="15">
      <c r="A1325" s="30"/>
      <c r="B1325" s="30"/>
      <c r="C1325" s="30"/>
      <c r="D1325" s="30"/>
      <c r="E1325" s="30"/>
      <c r="F1325" s="30"/>
      <c r="G1325" s="30"/>
      <c r="H1325" s="30"/>
      <c r="I1325" s="30"/>
      <c r="J1325" s="30"/>
      <c r="K1325" s="30"/>
    </row>
    <row r="1326" spans="1:11" ht="15">
      <c r="A1326" s="30"/>
      <c r="B1326" s="30"/>
      <c r="C1326" s="30"/>
      <c r="D1326" s="30"/>
      <c r="E1326" s="30"/>
      <c r="F1326" s="30"/>
      <c r="G1326" s="30"/>
      <c r="H1326" s="30"/>
      <c r="I1326" s="30"/>
      <c r="J1326" s="30"/>
      <c r="K1326" s="30"/>
    </row>
    <row r="1327" spans="1:11" ht="15">
      <c r="A1327" s="30"/>
      <c r="B1327" s="30"/>
      <c r="C1327" s="30"/>
      <c r="D1327" s="30"/>
      <c r="E1327" s="30"/>
      <c r="F1327" s="30"/>
      <c r="G1327" s="30"/>
      <c r="H1327" s="30"/>
      <c r="I1327" s="30"/>
      <c r="J1327" s="30"/>
      <c r="K1327" s="30"/>
    </row>
    <row r="1328" spans="1:11" ht="15">
      <c r="A1328" s="30"/>
      <c r="B1328" s="30"/>
      <c r="C1328" s="30"/>
      <c r="D1328" s="30"/>
      <c r="E1328" s="30"/>
      <c r="F1328" s="30"/>
      <c r="G1328" s="30"/>
      <c r="H1328" s="30"/>
      <c r="I1328" s="30"/>
      <c r="J1328" s="30"/>
      <c r="K1328" s="30"/>
    </row>
    <row r="1329" spans="1:11" ht="15">
      <c r="A1329" s="30"/>
      <c r="B1329" s="30"/>
      <c r="C1329" s="30"/>
      <c r="D1329" s="30"/>
      <c r="E1329" s="30"/>
      <c r="F1329" s="30"/>
      <c r="G1329" s="30"/>
      <c r="H1329" s="30"/>
      <c r="I1329" s="30"/>
      <c r="J1329" s="30"/>
      <c r="K1329" s="30"/>
    </row>
    <row r="1330" spans="1:11" ht="15">
      <c r="A1330" s="30"/>
      <c r="B1330" s="30"/>
      <c r="C1330" s="30"/>
      <c r="D1330" s="30"/>
      <c r="E1330" s="30"/>
      <c r="F1330" s="30"/>
      <c r="G1330" s="30"/>
      <c r="H1330" s="30"/>
      <c r="I1330" s="30"/>
      <c r="J1330" s="30"/>
      <c r="K1330" s="30"/>
    </row>
    <row r="1331" spans="1:11" ht="15">
      <c r="A1331" s="30"/>
      <c r="B1331" s="30"/>
      <c r="C1331" s="30"/>
      <c r="D1331" s="30"/>
      <c r="E1331" s="30"/>
      <c r="F1331" s="30"/>
      <c r="G1331" s="30"/>
      <c r="H1331" s="30"/>
      <c r="I1331" s="30"/>
      <c r="J1331" s="30"/>
      <c r="K1331" s="30"/>
    </row>
    <row r="1332" spans="1:11" ht="15">
      <c r="A1332" s="30"/>
      <c r="B1332" s="30"/>
      <c r="C1332" s="30"/>
      <c r="D1332" s="30"/>
      <c r="E1332" s="30"/>
      <c r="F1332" s="30"/>
      <c r="G1332" s="30"/>
      <c r="H1332" s="30"/>
      <c r="I1332" s="30"/>
      <c r="J1332" s="30"/>
      <c r="K1332" s="30"/>
    </row>
    <row r="1333" spans="1:11" ht="15">
      <c r="A1333" s="30"/>
      <c r="B1333" s="30"/>
      <c r="C1333" s="30"/>
      <c r="D1333" s="30"/>
      <c r="E1333" s="30"/>
      <c r="F1333" s="30"/>
      <c r="G1333" s="30"/>
      <c r="H1333" s="30"/>
      <c r="I1333" s="30"/>
      <c r="J1333" s="30"/>
      <c r="K1333" s="30"/>
    </row>
    <row r="1334" spans="1:11" ht="15">
      <c r="A1334" s="30"/>
      <c r="B1334" s="30"/>
      <c r="C1334" s="30"/>
      <c r="D1334" s="30"/>
      <c r="E1334" s="30"/>
      <c r="F1334" s="30"/>
      <c r="G1334" s="30"/>
      <c r="H1334" s="30"/>
      <c r="I1334" s="30"/>
      <c r="J1334" s="30"/>
      <c r="K1334" s="30"/>
    </row>
    <row r="1335" spans="1:11" ht="15">
      <c r="A1335" s="30"/>
      <c r="B1335" s="30"/>
      <c r="C1335" s="30"/>
      <c r="D1335" s="30"/>
      <c r="E1335" s="30"/>
      <c r="F1335" s="30"/>
      <c r="G1335" s="30"/>
      <c r="H1335" s="30"/>
      <c r="I1335" s="30"/>
      <c r="J1335" s="30"/>
      <c r="K1335" s="30"/>
    </row>
    <row r="1336" spans="1:11" ht="15">
      <c r="A1336" s="30"/>
      <c r="B1336" s="30"/>
      <c r="C1336" s="30"/>
      <c r="D1336" s="30"/>
      <c r="E1336" s="30"/>
      <c r="F1336" s="30"/>
      <c r="G1336" s="30"/>
      <c r="H1336" s="30"/>
      <c r="I1336" s="30"/>
      <c r="J1336" s="30"/>
      <c r="K1336" s="30"/>
    </row>
    <row r="1337" spans="1:11" ht="15">
      <c r="A1337" s="30"/>
      <c r="B1337" s="30"/>
      <c r="C1337" s="30"/>
      <c r="D1337" s="30"/>
      <c r="E1337" s="30"/>
      <c r="F1337" s="30"/>
      <c r="G1337" s="30"/>
      <c r="H1337" s="30"/>
      <c r="I1337" s="30"/>
      <c r="J1337" s="30"/>
      <c r="K1337" s="30"/>
    </row>
    <row r="1338" spans="1:11" ht="15">
      <c r="A1338" s="30"/>
      <c r="B1338" s="30"/>
      <c r="C1338" s="30"/>
      <c r="D1338" s="30"/>
      <c r="E1338" s="30"/>
      <c r="F1338" s="30"/>
      <c r="G1338" s="30"/>
      <c r="H1338" s="30"/>
      <c r="I1338" s="30"/>
      <c r="J1338" s="30"/>
      <c r="K1338" s="30"/>
    </row>
    <row r="1339" spans="1:11" ht="15">
      <c r="A1339" s="30"/>
      <c r="B1339" s="30"/>
      <c r="C1339" s="30"/>
      <c r="D1339" s="30"/>
      <c r="E1339" s="30"/>
      <c r="F1339" s="30"/>
      <c r="G1339" s="30"/>
      <c r="H1339" s="30"/>
      <c r="I1339" s="30"/>
      <c r="J1339" s="30"/>
      <c r="K1339" s="30"/>
    </row>
    <row r="1340" spans="1:11" ht="15">
      <c r="A1340" s="30"/>
      <c r="B1340" s="30"/>
      <c r="C1340" s="30"/>
      <c r="D1340" s="30"/>
      <c r="E1340" s="30"/>
      <c r="F1340" s="30"/>
      <c r="G1340" s="30"/>
      <c r="H1340" s="30"/>
      <c r="I1340" s="30"/>
      <c r="J1340" s="30"/>
      <c r="K1340" s="30"/>
    </row>
    <row r="1341" spans="1:11" ht="15">
      <c r="A1341" s="30"/>
      <c r="B1341" s="30"/>
      <c r="C1341" s="30"/>
      <c r="D1341" s="30"/>
      <c r="E1341" s="30"/>
      <c r="F1341" s="30"/>
      <c r="G1341" s="30"/>
      <c r="H1341" s="30"/>
      <c r="I1341" s="30"/>
      <c r="J1341" s="30"/>
      <c r="K1341" s="30"/>
    </row>
    <row r="1342" spans="1:11" ht="15">
      <c r="A1342" s="30"/>
      <c r="B1342" s="30"/>
      <c r="C1342" s="30"/>
      <c r="D1342" s="30"/>
      <c r="E1342" s="30"/>
      <c r="F1342" s="30"/>
      <c r="G1342" s="30"/>
      <c r="H1342" s="30"/>
      <c r="I1342" s="30"/>
      <c r="J1342" s="30"/>
      <c r="K1342" s="30"/>
    </row>
    <row r="1343" spans="1:11" ht="15">
      <c r="A1343" s="30"/>
      <c r="B1343" s="30"/>
      <c r="C1343" s="30"/>
      <c r="D1343" s="30"/>
      <c r="E1343" s="30"/>
      <c r="F1343" s="30"/>
      <c r="G1343" s="30"/>
      <c r="H1343" s="30"/>
      <c r="I1343" s="30"/>
      <c r="J1343" s="30"/>
      <c r="K1343" s="30"/>
    </row>
    <row r="1344" spans="1:11" ht="15">
      <c r="A1344" s="30"/>
      <c r="B1344" s="30"/>
      <c r="C1344" s="30"/>
      <c r="D1344" s="30"/>
      <c r="E1344" s="30"/>
      <c r="F1344" s="30"/>
      <c r="G1344" s="30"/>
      <c r="H1344" s="30"/>
      <c r="I1344" s="30"/>
      <c r="J1344" s="30"/>
      <c r="K1344" s="30"/>
    </row>
    <row r="1345" spans="1:11" ht="15">
      <c r="A1345" s="30"/>
      <c r="B1345" s="30"/>
      <c r="C1345" s="30"/>
      <c r="D1345" s="30"/>
      <c r="E1345" s="30"/>
      <c r="F1345" s="30"/>
      <c r="G1345" s="30"/>
      <c r="H1345" s="30"/>
      <c r="I1345" s="30"/>
      <c r="J1345" s="30"/>
      <c r="K1345" s="30"/>
    </row>
    <row r="1346" spans="1:11" ht="15">
      <c r="A1346" s="30"/>
      <c r="B1346" s="30"/>
      <c r="C1346" s="30"/>
      <c r="D1346" s="30"/>
      <c r="E1346" s="30"/>
      <c r="F1346" s="30"/>
      <c r="G1346" s="30"/>
      <c r="H1346" s="30"/>
      <c r="I1346" s="30"/>
      <c r="J1346" s="30"/>
      <c r="K1346" s="30"/>
    </row>
    <row r="1347" spans="1:11" ht="15">
      <c r="A1347" s="30"/>
      <c r="B1347" s="30"/>
      <c r="C1347" s="30"/>
      <c r="D1347" s="30"/>
      <c r="E1347" s="30"/>
      <c r="F1347" s="30"/>
      <c r="G1347" s="30"/>
      <c r="H1347" s="30"/>
      <c r="I1347" s="30"/>
      <c r="J1347" s="30"/>
      <c r="K1347" s="30"/>
    </row>
    <row r="1348" spans="1:11" ht="15">
      <c r="A1348" s="30"/>
      <c r="B1348" s="30"/>
      <c r="C1348" s="30"/>
      <c r="D1348" s="30"/>
      <c r="E1348" s="30"/>
      <c r="F1348" s="30"/>
      <c r="G1348" s="30"/>
      <c r="H1348" s="30"/>
      <c r="I1348" s="30"/>
      <c r="J1348" s="30"/>
      <c r="K1348" s="30"/>
    </row>
    <row r="1349" spans="1:11" ht="15">
      <c r="A1349" s="30"/>
      <c r="B1349" s="30"/>
      <c r="C1349" s="30"/>
      <c r="D1349" s="30"/>
      <c r="E1349" s="30"/>
      <c r="F1349" s="30"/>
      <c r="G1349" s="30"/>
      <c r="H1349" s="30"/>
      <c r="I1349" s="30"/>
      <c r="J1349" s="30"/>
      <c r="K1349" s="30"/>
    </row>
    <row r="1350" spans="1:11" ht="15">
      <c r="A1350" s="30"/>
      <c r="B1350" s="30"/>
      <c r="C1350" s="30"/>
      <c r="D1350" s="30"/>
      <c r="E1350" s="30"/>
      <c r="F1350" s="30"/>
      <c r="G1350" s="30"/>
      <c r="H1350" s="30"/>
      <c r="I1350" s="30"/>
      <c r="J1350" s="30"/>
      <c r="K1350" s="30"/>
    </row>
    <row r="1351" spans="1:11" ht="15">
      <c r="A1351" s="30"/>
      <c r="B1351" s="30"/>
      <c r="C1351" s="30"/>
      <c r="D1351" s="30"/>
      <c r="E1351" s="30"/>
      <c r="F1351" s="30"/>
      <c r="G1351" s="30"/>
      <c r="H1351" s="30"/>
      <c r="I1351" s="30"/>
      <c r="J1351" s="30"/>
      <c r="K1351" s="30"/>
    </row>
    <row r="1352" spans="1:11" ht="15">
      <c r="A1352" s="30"/>
      <c r="B1352" s="30"/>
      <c r="C1352" s="30"/>
      <c r="D1352" s="30"/>
      <c r="E1352" s="30"/>
      <c r="F1352" s="30"/>
      <c r="G1352" s="30"/>
      <c r="H1352" s="30"/>
      <c r="I1352" s="30"/>
      <c r="J1352" s="30"/>
      <c r="K1352" s="30"/>
    </row>
    <row r="1353" spans="1:11" ht="15">
      <c r="A1353" s="30"/>
      <c r="B1353" s="30"/>
      <c r="C1353" s="30"/>
      <c r="D1353" s="30"/>
      <c r="E1353" s="30"/>
      <c r="F1353" s="30"/>
      <c r="G1353" s="30"/>
      <c r="H1353" s="30"/>
      <c r="I1353" s="30"/>
      <c r="J1353" s="30"/>
      <c r="K1353" s="30"/>
    </row>
    <row r="1354" spans="1:11" ht="15">
      <c r="A1354" s="30"/>
      <c r="B1354" s="30"/>
      <c r="C1354" s="30"/>
      <c r="D1354" s="30"/>
      <c r="E1354" s="30"/>
      <c r="F1354" s="30"/>
      <c r="G1354" s="30"/>
      <c r="H1354" s="30"/>
      <c r="I1354" s="30"/>
      <c r="J1354" s="30"/>
      <c r="K1354" s="30"/>
    </row>
    <row r="1355" spans="1:11" ht="15">
      <c r="A1355" s="30"/>
      <c r="B1355" s="30"/>
      <c r="C1355" s="30"/>
      <c r="D1355" s="30"/>
      <c r="E1355" s="30"/>
      <c r="F1355" s="30"/>
      <c r="G1355" s="30"/>
      <c r="H1355" s="30"/>
      <c r="I1355" s="30"/>
      <c r="J1355" s="30"/>
      <c r="K1355" s="30"/>
    </row>
    <row r="1356" spans="1:11" ht="15">
      <c r="A1356" s="30"/>
      <c r="B1356" s="30"/>
      <c r="C1356" s="30"/>
      <c r="D1356" s="30"/>
      <c r="E1356" s="30"/>
      <c r="F1356" s="30"/>
      <c r="G1356" s="30"/>
      <c r="H1356" s="30"/>
      <c r="I1356" s="30"/>
      <c r="J1356" s="30"/>
      <c r="K1356" s="30"/>
    </row>
    <row r="1357" spans="1:11" ht="15">
      <c r="A1357" s="30"/>
      <c r="B1357" s="30"/>
      <c r="C1357" s="30"/>
      <c r="D1357" s="30"/>
      <c r="E1357" s="30"/>
      <c r="F1357" s="30"/>
      <c r="G1357" s="30"/>
      <c r="H1357" s="30"/>
      <c r="I1357" s="30"/>
      <c r="J1357" s="30"/>
      <c r="K1357" s="30"/>
    </row>
    <row r="1358" spans="1:11" ht="15">
      <c r="A1358" s="30"/>
      <c r="B1358" s="30"/>
      <c r="C1358" s="30"/>
      <c r="D1358" s="30"/>
      <c r="E1358" s="30"/>
      <c r="F1358" s="30"/>
      <c r="G1358" s="30"/>
      <c r="H1358" s="30"/>
      <c r="I1358" s="30"/>
      <c r="J1358" s="30"/>
      <c r="K1358" s="30"/>
    </row>
    <row r="1359" spans="1:11" ht="15">
      <c r="A1359" s="30"/>
      <c r="B1359" s="30"/>
      <c r="C1359" s="30"/>
      <c r="D1359" s="30"/>
      <c r="E1359" s="30"/>
      <c r="F1359" s="30"/>
      <c r="G1359" s="30"/>
      <c r="H1359" s="30"/>
      <c r="I1359" s="30"/>
      <c r="J1359" s="30"/>
      <c r="K1359" s="30"/>
    </row>
    <row r="1360" spans="1:11" ht="15">
      <c r="A1360" s="30"/>
      <c r="B1360" s="30"/>
      <c r="C1360" s="30"/>
      <c r="D1360" s="30"/>
      <c r="E1360" s="30"/>
      <c r="F1360" s="30"/>
      <c r="G1360" s="30"/>
      <c r="H1360" s="30"/>
      <c r="I1360" s="30"/>
      <c r="J1360" s="30"/>
      <c r="K1360" s="30"/>
    </row>
    <row r="1361" spans="1:11" ht="15">
      <c r="A1361" s="30"/>
      <c r="B1361" s="30"/>
      <c r="C1361" s="30"/>
      <c r="D1361" s="30"/>
      <c r="E1361" s="30"/>
      <c r="F1361" s="30"/>
      <c r="G1361" s="30"/>
      <c r="H1361" s="30"/>
      <c r="I1361" s="30"/>
      <c r="J1361" s="30"/>
      <c r="K1361" s="30"/>
    </row>
    <row r="1362" spans="1:11" ht="15">
      <c r="A1362" s="30"/>
      <c r="B1362" s="30"/>
      <c r="C1362" s="30"/>
      <c r="D1362" s="30"/>
      <c r="E1362" s="30"/>
      <c r="F1362" s="30"/>
      <c r="G1362" s="30"/>
      <c r="H1362" s="30"/>
      <c r="I1362" s="30"/>
      <c r="J1362" s="30"/>
      <c r="K1362" s="30"/>
    </row>
    <row r="1363" spans="1:11" ht="15">
      <c r="A1363" s="30"/>
      <c r="B1363" s="30"/>
      <c r="C1363" s="30"/>
      <c r="D1363" s="30"/>
      <c r="E1363" s="30"/>
      <c r="F1363" s="30"/>
      <c r="G1363" s="30"/>
      <c r="H1363" s="30"/>
      <c r="I1363" s="30"/>
      <c r="J1363" s="30"/>
      <c r="K1363" s="30"/>
    </row>
    <row r="1364" spans="1:11" ht="15">
      <c r="A1364" s="30"/>
      <c r="B1364" s="30"/>
      <c r="C1364" s="30"/>
      <c r="D1364" s="30"/>
      <c r="E1364" s="30"/>
      <c r="F1364" s="30"/>
      <c r="G1364" s="30"/>
      <c r="H1364" s="30"/>
      <c r="I1364" s="30"/>
      <c r="J1364" s="30"/>
      <c r="K1364" s="30"/>
    </row>
    <row r="1365" spans="1:11" ht="15">
      <c r="A1365" s="30"/>
      <c r="B1365" s="30"/>
      <c r="C1365" s="30"/>
      <c r="D1365" s="30"/>
      <c r="E1365" s="30"/>
      <c r="F1365" s="30"/>
      <c r="G1365" s="30"/>
      <c r="H1365" s="30"/>
      <c r="I1365" s="30"/>
      <c r="J1365" s="30"/>
      <c r="K1365" s="30"/>
    </row>
    <row r="1366" spans="1:11" ht="15">
      <c r="A1366" s="30"/>
      <c r="B1366" s="30"/>
      <c r="C1366" s="30"/>
      <c r="D1366" s="30"/>
      <c r="E1366" s="30"/>
      <c r="F1366" s="30"/>
      <c r="G1366" s="30"/>
      <c r="H1366" s="30"/>
      <c r="I1366" s="30"/>
      <c r="J1366" s="30"/>
      <c r="K1366" s="30"/>
    </row>
    <row r="1367" spans="1:11" ht="15">
      <c r="A1367" s="30"/>
      <c r="B1367" s="30"/>
      <c r="C1367" s="30"/>
      <c r="D1367" s="30"/>
      <c r="E1367" s="30"/>
      <c r="F1367" s="30"/>
      <c r="G1367" s="30"/>
      <c r="H1367" s="30"/>
      <c r="I1367" s="30"/>
      <c r="J1367" s="30"/>
      <c r="K1367" s="30"/>
    </row>
    <row r="1368" spans="1:11" ht="15">
      <c r="A1368" s="30"/>
      <c r="B1368" s="30"/>
      <c r="C1368" s="30"/>
      <c r="D1368" s="30"/>
      <c r="E1368" s="30"/>
      <c r="F1368" s="30"/>
      <c r="G1368" s="30"/>
      <c r="H1368" s="30"/>
      <c r="I1368" s="30"/>
      <c r="J1368" s="30"/>
      <c r="K1368" s="30"/>
    </row>
    <row r="1369" spans="1:11" ht="15">
      <c r="A1369" s="30"/>
      <c r="B1369" s="30"/>
      <c r="C1369" s="30"/>
      <c r="D1369" s="30"/>
      <c r="E1369" s="30"/>
      <c r="F1369" s="30"/>
      <c r="G1369" s="30"/>
      <c r="H1369" s="30"/>
      <c r="I1369" s="30"/>
      <c r="J1369" s="30"/>
      <c r="K1369" s="30"/>
    </row>
    <row r="1370" spans="1:11" ht="15">
      <c r="A1370" s="30"/>
      <c r="B1370" s="30"/>
      <c r="C1370" s="30"/>
      <c r="D1370" s="30"/>
      <c r="E1370" s="30"/>
      <c r="F1370" s="30"/>
      <c r="G1370" s="30"/>
      <c r="H1370" s="30"/>
      <c r="I1370" s="30"/>
      <c r="J1370" s="30"/>
      <c r="K1370" s="30"/>
    </row>
    <row r="1371" spans="1:11" ht="15">
      <c r="A1371" s="30"/>
      <c r="B1371" s="30"/>
      <c r="C1371" s="30"/>
      <c r="D1371" s="30"/>
      <c r="E1371" s="30"/>
      <c r="F1371" s="30"/>
      <c r="G1371" s="30"/>
      <c r="H1371" s="30"/>
      <c r="I1371" s="30"/>
      <c r="J1371" s="30"/>
      <c r="K1371" s="30"/>
    </row>
    <row r="1372" spans="1:11" ht="15">
      <c r="A1372" s="30"/>
      <c r="B1372" s="30"/>
      <c r="C1372" s="30"/>
      <c r="D1372" s="30"/>
      <c r="E1372" s="30"/>
      <c r="F1372" s="30"/>
      <c r="G1372" s="30"/>
      <c r="H1372" s="30"/>
      <c r="I1372" s="30"/>
      <c r="J1372" s="30"/>
      <c r="K1372" s="30"/>
    </row>
    <row r="1373" spans="1:11" ht="15">
      <c r="A1373" s="30"/>
      <c r="B1373" s="30"/>
      <c r="C1373" s="30"/>
      <c r="D1373" s="30"/>
      <c r="E1373" s="30"/>
      <c r="F1373" s="30"/>
      <c r="G1373" s="30"/>
      <c r="H1373" s="30"/>
      <c r="I1373" s="30"/>
      <c r="J1373" s="30"/>
      <c r="K1373" s="30"/>
    </row>
    <row r="1374" spans="1:11" ht="15">
      <c r="A1374" s="30"/>
      <c r="B1374" s="30"/>
      <c r="C1374" s="30"/>
      <c r="D1374" s="30"/>
      <c r="E1374" s="30"/>
      <c r="F1374" s="30"/>
      <c r="G1374" s="30"/>
      <c r="H1374" s="30"/>
      <c r="I1374" s="30"/>
      <c r="J1374" s="30"/>
      <c r="K1374" s="30"/>
    </row>
    <row r="1375" spans="1:11" ht="15">
      <c r="A1375" s="30"/>
      <c r="B1375" s="30"/>
      <c r="C1375" s="30"/>
      <c r="D1375" s="30"/>
      <c r="E1375" s="30"/>
      <c r="F1375" s="30"/>
      <c r="G1375" s="30"/>
      <c r="H1375" s="30"/>
      <c r="I1375" s="30"/>
      <c r="J1375" s="30"/>
      <c r="K1375" s="30"/>
    </row>
    <row r="1376" spans="1:11" ht="15">
      <c r="A1376" s="30"/>
      <c r="B1376" s="30"/>
      <c r="C1376" s="30"/>
      <c r="D1376" s="30"/>
      <c r="E1376" s="30"/>
      <c r="F1376" s="30"/>
      <c r="G1376" s="30"/>
      <c r="H1376" s="30"/>
      <c r="I1376" s="30"/>
      <c r="J1376" s="30"/>
      <c r="K1376" s="30"/>
    </row>
    <row r="1377" spans="1:11" ht="15">
      <c r="A1377" s="30"/>
      <c r="B1377" s="30"/>
      <c r="C1377" s="30"/>
      <c r="D1377" s="30"/>
      <c r="E1377" s="30"/>
      <c r="F1377" s="30"/>
      <c r="G1377" s="30"/>
      <c r="H1377" s="30"/>
      <c r="I1377" s="30"/>
      <c r="J1377" s="30"/>
      <c r="K1377" s="30"/>
    </row>
    <row r="1378" spans="1:11" ht="15">
      <c r="A1378" s="30"/>
      <c r="B1378" s="30"/>
      <c r="C1378" s="30"/>
      <c r="D1378" s="30"/>
      <c r="E1378" s="30"/>
      <c r="F1378" s="30"/>
      <c r="G1378" s="30"/>
      <c r="H1378" s="30"/>
      <c r="I1378" s="30"/>
      <c r="J1378" s="30"/>
      <c r="K1378" s="30"/>
    </row>
    <row r="1379" spans="1:11" ht="15">
      <c r="A1379" s="30"/>
      <c r="B1379" s="30"/>
      <c r="C1379" s="30"/>
      <c r="D1379" s="30"/>
      <c r="E1379" s="30"/>
      <c r="F1379" s="30"/>
      <c r="G1379" s="30"/>
      <c r="H1379" s="30"/>
      <c r="I1379" s="30"/>
      <c r="J1379" s="30"/>
      <c r="K1379" s="30"/>
    </row>
    <row r="1380" spans="1:11" ht="15">
      <c r="A1380" s="30"/>
      <c r="B1380" s="30"/>
      <c r="C1380" s="30"/>
      <c r="D1380" s="30"/>
      <c r="E1380" s="30"/>
      <c r="F1380" s="30"/>
      <c r="G1380" s="30"/>
      <c r="H1380" s="30"/>
      <c r="I1380" s="30"/>
      <c r="J1380" s="30"/>
      <c r="K1380" s="30"/>
    </row>
    <row r="1381" spans="1:11" ht="15">
      <c r="A1381" s="30"/>
      <c r="B1381" s="30"/>
      <c r="C1381" s="30"/>
      <c r="D1381" s="30"/>
      <c r="E1381" s="30"/>
      <c r="F1381" s="30"/>
      <c r="G1381" s="30"/>
      <c r="H1381" s="30"/>
      <c r="I1381" s="30"/>
      <c r="J1381" s="30"/>
      <c r="K1381" s="30"/>
    </row>
    <row r="1382" spans="1:11" ht="15">
      <c r="A1382" s="30"/>
      <c r="B1382" s="30"/>
      <c r="C1382" s="30"/>
      <c r="D1382" s="30"/>
      <c r="E1382" s="30"/>
      <c r="F1382" s="30"/>
      <c r="G1382" s="30"/>
      <c r="H1382" s="30"/>
      <c r="I1382" s="30"/>
      <c r="J1382" s="30"/>
      <c r="K1382" s="30"/>
    </row>
    <row r="1383" spans="1:11" ht="15">
      <c r="A1383" s="30"/>
      <c r="B1383" s="30"/>
      <c r="C1383" s="30"/>
      <c r="D1383" s="30"/>
      <c r="E1383" s="30"/>
      <c r="F1383" s="30"/>
      <c r="G1383" s="30"/>
      <c r="H1383" s="30"/>
      <c r="I1383" s="30"/>
      <c r="J1383" s="30"/>
      <c r="K1383" s="30"/>
    </row>
    <row r="1384" spans="1:11" ht="15">
      <c r="A1384" s="30"/>
      <c r="B1384" s="30"/>
      <c r="C1384" s="30"/>
      <c r="D1384" s="30"/>
      <c r="E1384" s="30"/>
      <c r="F1384" s="30"/>
      <c r="G1384" s="30"/>
      <c r="H1384" s="30"/>
      <c r="I1384" s="30"/>
      <c r="J1384" s="30"/>
      <c r="K1384" s="30"/>
    </row>
    <row r="1385" spans="1:11" ht="15">
      <c r="A1385" s="30"/>
      <c r="B1385" s="30"/>
      <c r="C1385" s="30"/>
      <c r="D1385" s="30"/>
      <c r="E1385" s="30"/>
      <c r="F1385" s="30"/>
      <c r="G1385" s="30"/>
      <c r="H1385" s="30"/>
      <c r="I1385" s="30"/>
      <c r="J1385" s="30"/>
      <c r="K1385" s="30"/>
    </row>
    <row r="1386" spans="1:11" ht="15">
      <c r="A1386" s="30"/>
      <c r="B1386" s="30"/>
      <c r="C1386" s="30"/>
      <c r="D1386" s="30"/>
      <c r="E1386" s="30"/>
      <c r="F1386" s="30"/>
      <c r="G1386" s="30"/>
      <c r="H1386" s="30"/>
      <c r="I1386" s="30"/>
      <c r="J1386" s="30"/>
      <c r="K1386" s="30"/>
    </row>
    <row r="1387" spans="1:11" ht="15">
      <c r="A1387" s="30"/>
      <c r="B1387" s="30"/>
      <c r="C1387" s="30"/>
      <c r="D1387" s="30"/>
      <c r="E1387" s="30"/>
      <c r="F1387" s="30"/>
      <c r="G1387" s="30"/>
      <c r="H1387" s="30"/>
      <c r="I1387" s="30"/>
      <c r="J1387" s="30"/>
      <c r="K1387" s="30"/>
    </row>
    <row r="1388" spans="1:11" ht="15">
      <c r="A1388" s="30"/>
      <c r="B1388" s="30"/>
      <c r="C1388" s="30"/>
      <c r="D1388" s="30"/>
      <c r="E1388" s="30"/>
      <c r="F1388" s="30"/>
      <c r="G1388" s="30"/>
      <c r="H1388" s="30"/>
      <c r="I1388" s="30"/>
      <c r="J1388" s="30"/>
      <c r="K1388" s="30"/>
    </row>
    <row r="1389" spans="1:11" ht="15">
      <c r="A1389" s="30"/>
      <c r="B1389" s="30"/>
      <c r="C1389" s="30"/>
      <c r="D1389" s="30"/>
      <c r="E1389" s="30"/>
      <c r="F1389" s="30"/>
      <c r="G1389" s="30"/>
      <c r="H1389" s="30"/>
      <c r="I1389" s="30"/>
      <c r="J1389" s="30"/>
      <c r="K1389" s="30"/>
    </row>
    <row r="1390" spans="1:11" ht="15">
      <c r="A1390" s="30"/>
      <c r="B1390" s="30"/>
      <c r="C1390" s="30"/>
      <c r="D1390" s="30"/>
      <c r="E1390" s="30"/>
      <c r="F1390" s="30"/>
      <c r="G1390" s="30"/>
      <c r="H1390" s="30"/>
      <c r="I1390" s="30"/>
      <c r="J1390" s="30"/>
      <c r="K1390" s="30"/>
    </row>
    <row r="1391" spans="1:11" ht="15">
      <c r="A1391" s="30"/>
      <c r="B1391" s="30"/>
      <c r="C1391" s="30"/>
      <c r="D1391" s="30"/>
      <c r="E1391" s="30"/>
      <c r="F1391" s="30"/>
      <c r="G1391" s="30"/>
      <c r="H1391" s="30"/>
      <c r="I1391" s="30"/>
      <c r="J1391" s="30"/>
      <c r="K1391" s="30"/>
    </row>
    <row r="1392" spans="1:11" ht="15">
      <c r="A1392" s="30"/>
      <c r="B1392" s="30"/>
      <c r="C1392" s="30"/>
      <c r="D1392" s="30"/>
      <c r="E1392" s="30"/>
      <c r="F1392" s="30"/>
      <c r="G1392" s="30"/>
      <c r="H1392" s="30"/>
      <c r="I1392" s="30"/>
      <c r="J1392" s="30"/>
      <c r="K1392" s="30"/>
    </row>
    <row r="1393" spans="1:11" ht="15">
      <c r="A1393" s="30"/>
      <c r="B1393" s="30"/>
      <c r="C1393" s="30"/>
      <c r="D1393" s="30"/>
      <c r="E1393" s="30"/>
      <c r="F1393" s="30"/>
      <c r="G1393" s="30"/>
      <c r="H1393" s="30"/>
      <c r="I1393" s="30"/>
      <c r="J1393" s="30"/>
      <c r="K1393" s="30"/>
    </row>
    <row r="1394" spans="1:11" ht="15">
      <c r="A1394" s="30"/>
      <c r="B1394" s="30"/>
      <c r="C1394" s="30"/>
      <c r="D1394" s="30"/>
      <c r="E1394" s="30"/>
      <c r="F1394" s="30"/>
      <c r="G1394" s="30"/>
      <c r="H1394" s="30"/>
      <c r="I1394" s="30"/>
      <c r="J1394" s="30"/>
      <c r="K1394" s="30"/>
    </row>
    <row r="1395" spans="1:11" ht="15">
      <c r="A1395" s="30"/>
      <c r="B1395" s="30"/>
      <c r="C1395" s="30"/>
      <c r="D1395" s="30"/>
      <c r="E1395" s="30"/>
      <c r="F1395" s="30"/>
      <c r="G1395" s="30"/>
      <c r="H1395" s="30"/>
      <c r="I1395" s="30"/>
      <c r="J1395" s="30"/>
      <c r="K1395" s="30"/>
    </row>
    <row r="1396" spans="1:11" ht="15">
      <c r="A1396" s="30"/>
      <c r="B1396" s="30"/>
      <c r="C1396" s="30"/>
      <c r="D1396" s="30"/>
      <c r="E1396" s="30"/>
      <c r="F1396" s="30"/>
      <c r="G1396" s="30"/>
      <c r="H1396" s="30"/>
      <c r="I1396" s="30"/>
      <c r="J1396" s="30"/>
      <c r="K1396" s="30"/>
    </row>
    <row r="1397" spans="1:11" ht="15">
      <c r="A1397" s="30"/>
      <c r="B1397" s="30"/>
      <c r="C1397" s="30"/>
      <c r="D1397" s="30"/>
      <c r="E1397" s="30"/>
      <c r="F1397" s="30"/>
      <c r="G1397" s="30"/>
      <c r="H1397" s="30"/>
      <c r="I1397" s="30"/>
      <c r="J1397" s="30"/>
      <c r="K1397" s="30"/>
    </row>
    <row r="1398" spans="1:11" ht="15">
      <c r="A1398" s="30"/>
      <c r="B1398" s="30"/>
      <c r="C1398" s="30"/>
      <c r="D1398" s="30"/>
      <c r="E1398" s="30"/>
      <c r="F1398" s="30"/>
      <c r="G1398" s="30"/>
      <c r="H1398" s="30"/>
      <c r="I1398" s="30"/>
      <c r="J1398" s="30"/>
      <c r="K1398" s="30"/>
    </row>
    <row r="1399" spans="1:11" ht="15">
      <c r="A1399" s="30"/>
      <c r="B1399" s="30"/>
      <c r="C1399" s="30"/>
      <c r="D1399" s="30"/>
      <c r="E1399" s="30"/>
      <c r="F1399" s="30"/>
      <c r="G1399" s="30"/>
      <c r="H1399" s="30"/>
      <c r="I1399" s="30"/>
      <c r="J1399" s="30"/>
      <c r="K1399" s="30"/>
    </row>
    <row r="1400" spans="1:11" ht="15">
      <c r="A1400" s="30"/>
      <c r="B1400" s="30"/>
      <c r="C1400" s="30"/>
      <c r="D1400" s="30"/>
      <c r="E1400" s="30"/>
      <c r="F1400" s="30"/>
      <c r="G1400" s="30"/>
      <c r="H1400" s="30"/>
      <c r="I1400" s="30"/>
      <c r="J1400" s="30"/>
      <c r="K1400" s="30"/>
    </row>
    <row r="1401" spans="1:11" ht="15">
      <c r="A1401" s="30"/>
      <c r="B1401" s="30"/>
      <c r="C1401" s="30"/>
      <c r="D1401" s="30"/>
      <c r="E1401" s="30"/>
      <c r="F1401" s="30"/>
      <c r="G1401" s="30"/>
      <c r="H1401" s="30"/>
      <c r="I1401" s="30"/>
      <c r="J1401" s="30"/>
      <c r="K1401" s="30"/>
    </row>
    <row r="1402" spans="1:11" ht="15">
      <c r="A1402" s="30"/>
      <c r="B1402" s="30"/>
      <c r="C1402" s="30"/>
      <c r="D1402" s="30"/>
      <c r="E1402" s="30"/>
      <c r="F1402" s="30"/>
      <c r="G1402" s="30"/>
      <c r="H1402" s="30"/>
      <c r="I1402" s="30"/>
      <c r="J1402" s="30"/>
      <c r="K1402" s="30"/>
    </row>
    <row r="1403" spans="1:11" ht="15">
      <c r="A1403" s="30"/>
      <c r="B1403" s="30"/>
      <c r="C1403" s="30"/>
      <c r="D1403" s="30"/>
      <c r="E1403" s="30"/>
      <c r="F1403" s="30"/>
      <c r="G1403" s="30"/>
      <c r="H1403" s="30"/>
      <c r="I1403" s="30"/>
      <c r="J1403" s="30"/>
      <c r="K1403" s="30"/>
    </row>
    <row r="1404" spans="1:11" ht="15">
      <c r="A1404" s="30"/>
      <c r="B1404" s="30"/>
      <c r="C1404" s="30"/>
      <c r="D1404" s="30"/>
      <c r="E1404" s="30"/>
      <c r="F1404" s="30"/>
      <c r="G1404" s="30"/>
      <c r="H1404" s="30"/>
      <c r="I1404" s="30"/>
      <c r="J1404" s="30"/>
      <c r="K1404" s="30"/>
    </row>
    <row r="1405" spans="1:11" ht="15">
      <c r="A1405" s="30"/>
      <c r="B1405" s="30"/>
      <c r="C1405" s="30"/>
      <c r="D1405" s="30"/>
      <c r="E1405" s="30"/>
      <c r="F1405" s="30"/>
      <c r="G1405" s="30"/>
      <c r="H1405" s="30"/>
      <c r="I1405" s="30"/>
      <c r="J1405" s="30"/>
      <c r="K1405" s="30"/>
    </row>
    <row r="1406" spans="1:11" ht="15">
      <c r="A1406" s="30"/>
      <c r="B1406" s="30"/>
      <c r="C1406" s="30"/>
      <c r="D1406" s="30"/>
      <c r="E1406" s="30"/>
      <c r="F1406" s="30"/>
      <c r="G1406" s="30"/>
      <c r="H1406" s="30"/>
      <c r="I1406" s="30"/>
      <c r="J1406" s="30"/>
      <c r="K1406" s="30"/>
    </row>
    <row r="1407" spans="1:11" ht="15">
      <c r="A1407" s="30"/>
      <c r="B1407" s="30"/>
      <c r="C1407" s="30"/>
      <c r="D1407" s="30"/>
      <c r="E1407" s="30"/>
      <c r="F1407" s="30"/>
      <c r="G1407" s="30"/>
      <c r="H1407" s="30"/>
      <c r="I1407" s="30"/>
      <c r="J1407" s="30"/>
      <c r="K1407" s="30"/>
    </row>
    <row r="1408" spans="1:11" ht="15">
      <c r="A1408" s="30"/>
      <c r="B1408" s="30"/>
      <c r="C1408" s="30"/>
      <c r="D1408" s="30"/>
      <c r="E1408" s="30"/>
      <c r="F1408" s="30"/>
      <c r="G1408" s="30"/>
      <c r="H1408" s="30"/>
      <c r="I1408" s="30"/>
      <c r="J1408" s="30"/>
      <c r="K1408" s="30"/>
    </row>
    <row r="1409" spans="1:11" ht="15">
      <c r="A1409" s="30"/>
      <c r="B1409" s="30"/>
      <c r="C1409" s="30"/>
      <c r="D1409" s="30"/>
      <c r="E1409" s="30"/>
      <c r="F1409" s="30"/>
      <c r="G1409" s="30"/>
      <c r="H1409" s="30"/>
      <c r="I1409" s="30"/>
      <c r="J1409" s="30"/>
      <c r="K1409" s="30"/>
    </row>
    <row r="1410" spans="1:11" ht="15">
      <c r="A1410" s="30"/>
      <c r="B1410" s="30"/>
      <c r="C1410" s="30"/>
      <c r="D1410" s="30"/>
      <c r="E1410" s="30"/>
      <c r="F1410" s="30"/>
      <c r="G1410" s="30"/>
      <c r="H1410" s="30"/>
      <c r="I1410" s="30"/>
      <c r="J1410" s="30"/>
      <c r="K1410" s="30"/>
    </row>
    <row r="1411" spans="1:11" ht="15">
      <c r="A1411" s="30"/>
      <c r="B1411" s="30"/>
      <c r="C1411" s="30"/>
      <c r="D1411" s="30"/>
      <c r="E1411" s="30"/>
      <c r="F1411" s="30"/>
      <c r="G1411" s="30"/>
      <c r="H1411" s="30"/>
      <c r="I1411" s="30"/>
      <c r="J1411" s="30"/>
      <c r="K1411" s="30"/>
    </row>
    <row r="1412" spans="1:11" ht="15">
      <c r="A1412" s="30"/>
      <c r="B1412" s="30"/>
      <c r="C1412" s="30"/>
      <c r="D1412" s="30"/>
      <c r="E1412" s="30"/>
      <c r="F1412" s="30"/>
      <c r="G1412" s="30"/>
      <c r="H1412" s="30"/>
      <c r="I1412" s="30"/>
      <c r="J1412" s="30"/>
      <c r="K1412" s="30"/>
    </row>
    <row r="1413" spans="1:11" ht="15">
      <c r="A1413" s="30"/>
      <c r="B1413" s="30"/>
      <c r="C1413" s="30"/>
      <c r="D1413" s="30"/>
      <c r="E1413" s="30"/>
      <c r="F1413" s="30"/>
      <c r="G1413" s="30"/>
      <c r="H1413" s="30"/>
      <c r="I1413" s="30"/>
      <c r="J1413" s="30"/>
      <c r="K1413" s="30"/>
    </row>
    <row r="1414" spans="1:11" ht="15">
      <c r="A1414" s="30"/>
      <c r="B1414" s="30"/>
      <c r="C1414" s="30"/>
      <c r="D1414" s="30"/>
      <c r="E1414" s="30"/>
      <c r="F1414" s="30"/>
      <c r="G1414" s="30"/>
      <c r="H1414" s="30"/>
      <c r="I1414" s="30"/>
      <c r="J1414" s="30"/>
      <c r="K1414" s="30"/>
    </row>
    <row r="1415" spans="1:11" ht="15">
      <c r="A1415" s="30"/>
      <c r="B1415" s="30"/>
      <c r="C1415" s="30"/>
      <c r="D1415" s="30"/>
      <c r="E1415" s="30"/>
      <c r="F1415" s="30"/>
      <c r="G1415" s="30"/>
      <c r="H1415" s="30"/>
      <c r="I1415" s="30"/>
      <c r="J1415" s="30"/>
      <c r="K1415" s="30"/>
    </row>
    <row r="1416" spans="1:11" ht="15">
      <c r="A1416" s="30"/>
      <c r="B1416" s="30"/>
      <c r="C1416" s="30"/>
      <c r="D1416" s="30"/>
      <c r="E1416" s="30"/>
      <c r="F1416" s="30"/>
      <c r="G1416" s="30"/>
      <c r="H1416" s="30"/>
      <c r="I1416" s="30"/>
      <c r="J1416" s="30"/>
      <c r="K1416" s="30"/>
    </row>
    <row r="1417" spans="1:11" ht="15">
      <c r="A1417" s="30"/>
      <c r="B1417" s="30"/>
      <c r="C1417" s="30"/>
      <c r="D1417" s="30"/>
      <c r="E1417" s="30"/>
      <c r="F1417" s="30"/>
      <c r="G1417" s="30"/>
      <c r="H1417" s="30"/>
      <c r="I1417" s="30"/>
      <c r="J1417" s="30"/>
      <c r="K1417" s="30"/>
    </row>
    <row r="1418" spans="1:11" ht="15">
      <c r="A1418" s="30"/>
      <c r="B1418" s="30"/>
      <c r="C1418" s="30"/>
      <c r="D1418" s="30"/>
      <c r="E1418" s="30"/>
      <c r="F1418" s="30"/>
      <c r="G1418" s="30"/>
      <c r="H1418" s="30"/>
      <c r="I1418" s="30"/>
      <c r="J1418" s="30"/>
      <c r="K1418" s="30"/>
    </row>
    <row r="1419" spans="1:11" ht="15">
      <c r="A1419" s="30"/>
      <c r="B1419" s="30"/>
      <c r="C1419" s="30"/>
      <c r="D1419" s="30"/>
      <c r="E1419" s="30"/>
      <c r="F1419" s="30"/>
      <c r="G1419" s="30"/>
      <c r="H1419" s="30"/>
      <c r="I1419" s="30"/>
      <c r="J1419" s="30"/>
      <c r="K1419" s="30"/>
    </row>
    <row r="1420" spans="1:11" ht="15">
      <c r="A1420" s="30"/>
      <c r="B1420" s="30"/>
      <c r="C1420" s="30"/>
      <c r="D1420" s="30"/>
      <c r="E1420" s="30"/>
      <c r="F1420" s="30"/>
      <c r="G1420" s="30"/>
      <c r="H1420" s="30"/>
      <c r="I1420" s="30"/>
      <c r="J1420" s="30"/>
      <c r="K1420" s="30"/>
    </row>
    <row r="1421" spans="1:11" ht="15">
      <c r="A1421" s="30"/>
      <c r="B1421" s="30"/>
      <c r="C1421" s="30"/>
      <c r="D1421" s="30"/>
      <c r="E1421" s="30"/>
      <c r="F1421" s="30"/>
      <c r="G1421" s="30"/>
      <c r="H1421" s="30"/>
      <c r="I1421" s="30"/>
      <c r="J1421" s="30"/>
      <c r="K1421" s="30"/>
    </row>
    <row r="1422" spans="1:11" ht="15">
      <c r="A1422" s="30"/>
      <c r="B1422" s="30"/>
      <c r="C1422" s="30"/>
      <c r="D1422" s="30"/>
      <c r="E1422" s="30"/>
      <c r="F1422" s="30"/>
      <c r="G1422" s="30"/>
      <c r="H1422" s="30"/>
      <c r="I1422" s="30"/>
      <c r="J1422" s="30"/>
      <c r="K1422" s="30"/>
    </row>
    <row r="1423" spans="1:11" ht="15">
      <c r="A1423" s="30"/>
      <c r="B1423" s="30"/>
      <c r="C1423" s="30"/>
      <c r="D1423" s="30"/>
      <c r="E1423" s="30"/>
      <c r="F1423" s="30"/>
      <c r="G1423" s="30"/>
      <c r="H1423" s="30"/>
      <c r="I1423" s="30"/>
      <c r="J1423" s="30"/>
      <c r="K1423" s="30"/>
    </row>
    <row r="1424" spans="1:11" ht="15">
      <c r="A1424" s="30"/>
      <c r="B1424" s="30"/>
      <c r="C1424" s="30"/>
      <c r="D1424" s="30"/>
      <c r="E1424" s="30"/>
      <c r="F1424" s="30"/>
      <c r="G1424" s="30"/>
      <c r="H1424" s="30"/>
      <c r="I1424" s="30"/>
      <c r="J1424" s="30"/>
      <c r="K1424" s="30"/>
    </row>
    <row r="1425" spans="1:11" ht="15">
      <c r="A1425" s="30"/>
      <c r="B1425" s="30"/>
      <c r="C1425" s="30"/>
      <c r="D1425" s="30"/>
      <c r="E1425" s="30"/>
      <c r="F1425" s="30"/>
      <c r="G1425" s="30"/>
      <c r="H1425" s="30"/>
      <c r="I1425" s="30"/>
      <c r="J1425" s="30"/>
      <c r="K1425" s="30"/>
    </row>
    <row r="1426" spans="1:11" ht="15">
      <c r="A1426" s="30"/>
      <c r="B1426" s="30"/>
      <c r="C1426" s="30"/>
      <c r="D1426" s="30"/>
      <c r="E1426" s="30"/>
      <c r="F1426" s="30"/>
      <c r="G1426" s="30"/>
      <c r="H1426" s="30"/>
      <c r="I1426" s="30"/>
      <c r="J1426" s="30"/>
      <c r="K1426" s="30"/>
    </row>
    <row r="1427" spans="1:11" ht="15">
      <c r="A1427" s="30"/>
      <c r="B1427" s="30"/>
      <c r="C1427" s="30"/>
      <c r="D1427" s="30"/>
      <c r="E1427" s="30"/>
      <c r="F1427" s="30"/>
      <c r="G1427" s="30"/>
      <c r="H1427" s="30"/>
      <c r="I1427" s="30"/>
      <c r="J1427" s="30"/>
      <c r="K1427" s="30"/>
    </row>
    <row r="1428" spans="1:11" ht="15">
      <c r="A1428" s="30"/>
      <c r="B1428" s="30"/>
      <c r="C1428" s="30"/>
      <c r="D1428" s="30"/>
      <c r="E1428" s="30"/>
      <c r="F1428" s="30"/>
      <c r="G1428" s="30"/>
      <c r="H1428" s="30"/>
      <c r="I1428" s="30"/>
      <c r="J1428" s="30"/>
      <c r="K1428" s="30"/>
    </row>
    <row r="1429" spans="1:11" ht="15">
      <c r="A1429" s="30"/>
      <c r="B1429" s="30"/>
      <c r="C1429" s="30"/>
      <c r="D1429" s="30"/>
      <c r="E1429" s="30"/>
      <c r="F1429" s="30"/>
      <c r="G1429" s="30"/>
      <c r="H1429" s="30"/>
      <c r="I1429" s="30"/>
      <c r="J1429" s="30"/>
      <c r="K1429" s="30"/>
    </row>
    <row r="1430" spans="1:11" ht="15">
      <c r="A1430" s="30"/>
      <c r="B1430" s="30"/>
      <c r="C1430" s="30"/>
      <c r="D1430" s="30"/>
      <c r="E1430" s="30"/>
      <c r="F1430" s="30"/>
      <c r="G1430" s="30"/>
      <c r="H1430" s="30"/>
      <c r="I1430" s="30"/>
      <c r="J1430" s="30"/>
      <c r="K1430" s="30"/>
    </row>
    <row r="1431" spans="1:11" ht="15">
      <c r="A1431" s="30"/>
      <c r="B1431" s="30"/>
      <c r="C1431" s="30"/>
      <c r="D1431" s="30"/>
      <c r="E1431" s="30"/>
      <c r="F1431" s="30"/>
      <c r="G1431" s="30"/>
      <c r="H1431" s="30"/>
      <c r="I1431" s="30"/>
      <c r="J1431" s="30"/>
      <c r="K1431" s="30"/>
    </row>
    <row r="1432" spans="1:11" ht="15">
      <c r="A1432" s="30"/>
      <c r="B1432" s="30"/>
      <c r="C1432" s="30"/>
      <c r="D1432" s="30"/>
      <c r="E1432" s="30"/>
      <c r="F1432" s="30"/>
      <c r="G1432" s="30"/>
      <c r="H1432" s="30"/>
      <c r="I1432" s="30"/>
      <c r="J1432" s="30"/>
      <c r="K1432" s="30"/>
    </row>
    <row r="1433" spans="1:11" ht="15">
      <c r="A1433" s="30"/>
      <c r="B1433" s="30"/>
      <c r="C1433" s="30"/>
      <c r="D1433" s="30"/>
      <c r="E1433" s="30"/>
      <c r="F1433" s="30"/>
      <c r="G1433" s="30"/>
      <c r="H1433" s="30"/>
      <c r="I1433" s="30"/>
      <c r="J1433" s="30"/>
      <c r="K1433" s="30"/>
    </row>
    <row r="1434" spans="1:11" ht="15">
      <c r="A1434" s="30"/>
      <c r="B1434" s="30"/>
      <c r="C1434" s="30"/>
      <c r="D1434" s="30"/>
      <c r="E1434" s="30"/>
      <c r="F1434" s="30"/>
      <c r="G1434" s="30"/>
      <c r="H1434" s="30"/>
      <c r="I1434" s="30"/>
      <c r="J1434" s="30"/>
      <c r="K1434" s="30"/>
    </row>
    <row r="1435" spans="1:11" ht="15">
      <c r="A1435" s="30"/>
      <c r="B1435" s="30"/>
      <c r="C1435" s="30"/>
      <c r="D1435" s="30"/>
      <c r="E1435" s="30"/>
      <c r="F1435" s="30"/>
      <c r="G1435" s="30"/>
      <c r="H1435" s="30"/>
      <c r="I1435" s="30"/>
      <c r="J1435" s="30"/>
      <c r="K1435" s="30"/>
    </row>
    <row r="1436" spans="1:11" ht="15">
      <c r="A1436" s="30"/>
      <c r="B1436" s="30"/>
      <c r="C1436" s="30"/>
      <c r="D1436" s="30"/>
      <c r="E1436" s="30"/>
      <c r="F1436" s="30"/>
      <c r="G1436" s="30"/>
      <c r="H1436" s="30"/>
      <c r="I1436" s="30"/>
      <c r="J1436" s="30"/>
      <c r="K1436" s="30"/>
    </row>
    <row r="1437" spans="1:11" ht="15">
      <c r="A1437" s="30"/>
      <c r="B1437" s="30"/>
      <c r="C1437" s="30"/>
      <c r="D1437" s="30"/>
      <c r="E1437" s="30"/>
      <c r="F1437" s="30"/>
      <c r="G1437" s="30"/>
      <c r="H1437" s="30"/>
      <c r="I1437" s="30"/>
      <c r="J1437" s="30"/>
      <c r="K1437" s="30"/>
    </row>
    <row r="1438" spans="1:11" ht="15">
      <c r="A1438" s="30"/>
      <c r="B1438" s="30"/>
      <c r="C1438" s="30"/>
      <c r="D1438" s="30"/>
      <c r="E1438" s="30"/>
      <c r="F1438" s="30"/>
      <c r="G1438" s="30"/>
      <c r="H1438" s="30"/>
      <c r="I1438" s="30"/>
      <c r="J1438" s="30"/>
      <c r="K1438" s="30"/>
    </row>
    <row r="1439" spans="1:11" ht="15">
      <c r="A1439" s="30"/>
      <c r="B1439" s="30"/>
      <c r="C1439" s="30"/>
      <c r="D1439" s="30"/>
      <c r="E1439" s="30"/>
      <c r="F1439" s="30"/>
      <c r="G1439" s="30"/>
      <c r="H1439" s="30"/>
      <c r="I1439" s="30"/>
      <c r="J1439" s="30"/>
      <c r="K1439" s="30"/>
    </row>
    <row r="1440" spans="1:11" ht="15">
      <c r="A1440" s="30"/>
      <c r="B1440" s="30"/>
      <c r="C1440" s="30"/>
      <c r="D1440" s="30"/>
      <c r="E1440" s="30"/>
      <c r="F1440" s="30"/>
      <c r="G1440" s="30"/>
      <c r="H1440" s="30"/>
      <c r="I1440" s="30"/>
      <c r="J1440" s="30"/>
      <c r="K1440" s="30"/>
    </row>
    <row r="1441" spans="1:11" ht="15">
      <c r="A1441" s="30"/>
      <c r="B1441" s="30"/>
      <c r="C1441" s="30"/>
      <c r="D1441" s="30"/>
      <c r="E1441" s="30"/>
      <c r="F1441" s="30"/>
      <c r="G1441" s="30"/>
      <c r="H1441" s="30"/>
      <c r="I1441" s="30"/>
      <c r="J1441" s="30"/>
      <c r="K1441" s="30"/>
    </row>
    <row r="1442" spans="1:11" ht="15">
      <c r="A1442" s="30"/>
      <c r="B1442" s="30"/>
      <c r="C1442" s="30"/>
      <c r="D1442" s="30"/>
      <c r="E1442" s="30"/>
      <c r="F1442" s="30"/>
      <c r="G1442" s="30"/>
      <c r="H1442" s="30"/>
      <c r="I1442" s="30"/>
      <c r="J1442" s="30"/>
      <c r="K1442" s="30"/>
    </row>
    <row r="1443" spans="1:11" ht="15">
      <c r="A1443" s="30"/>
      <c r="B1443" s="30"/>
      <c r="C1443" s="30"/>
      <c r="D1443" s="30"/>
      <c r="E1443" s="30"/>
      <c r="F1443" s="30"/>
      <c r="G1443" s="30"/>
      <c r="H1443" s="30"/>
      <c r="I1443" s="30"/>
      <c r="J1443" s="30"/>
      <c r="K1443" s="30"/>
    </row>
    <row r="1444" spans="1:11" ht="15">
      <c r="A1444" s="30"/>
      <c r="B1444" s="30"/>
      <c r="C1444" s="30"/>
      <c r="D1444" s="30"/>
      <c r="E1444" s="30"/>
      <c r="F1444" s="30"/>
      <c r="G1444" s="30"/>
      <c r="H1444" s="30"/>
      <c r="I1444" s="30"/>
      <c r="J1444" s="30"/>
      <c r="K1444" s="30"/>
    </row>
    <row r="1445" spans="1:11" ht="15">
      <c r="A1445" s="30"/>
      <c r="B1445" s="30"/>
      <c r="C1445" s="30"/>
      <c r="D1445" s="30"/>
      <c r="E1445" s="30"/>
      <c r="F1445" s="30"/>
      <c r="G1445" s="30"/>
      <c r="H1445" s="30"/>
      <c r="I1445" s="30"/>
      <c r="J1445" s="30"/>
      <c r="K1445" s="30"/>
    </row>
    <row r="1446" spans="1:11" ht="15">
      <c r="A1446" s="30"/>
      <c r="B1446" s="30"/>
      <c r="C1446" s="30"/>
      <c r="D1446" s="30"/>
      <c r="E1446" s="30"/>
      <c r="F1446" s="30"/>
      <c r="G1446" s="30"/>
      <c r="H1446" s="30"/>
      <c r="I1446" s="30"/>
      <c r="J1446" s="30"/>
      <c r="K1446" s="30"/>
    </row>
    <row r="1447" spans="1:11" ht="15">
      <c r="A1447" s="30"/>
      <c r="B1447" s="30"/>
      <c r="C1447" s="30"/>
      <c r="D1447" s="30"/>
      <c r="E1447" s="30"/>
      <c r="F1447" s="30"/>
      <c r="G1447" s="30"/>
      <c r="H1447" s="30"/>
      <c r="I1447" s="30"/>
      <c r="J1447" s="30"/>
      <c r="K1447" s="30"/>
    </row>
    <row r="1448" spans="1:11" ht="15">
      <c r="A1448" s="30"/>
      <c r="B1448" s="30"/>
      <c r="C1448" s="30"/>
      <c r="D1448" s="30"/>
      <c r="E1448" s="30"/>
      <c r="F1448" s="30"/>
      <c r="G1448" s="30"/>
      <c r="H1448" s="30"/>
      <c r="I1448" s="30"/>
      <c r="J1448" s="30"/>
      <c r="K1448" s="30"/>
    </row>
    <row r="1449" spans="1:11" ht="15">
      <c r="A1449" s="30"/>
      <c r="B1449" s="30"/>
      <c r="C1449" s="30"/>
      <c r="D1449" s="30"/>
      <c r="E1449" s="30"/>
      <c r="F1449" s="30"/>
      <c r="G1449" s="30"/>
      <c r="H1449" s="30"/>
      <c r="I1449" s="30"/>
      <c r="J1449" s="30"/>
      <c r="K1449" s="30"/>
    </row>
    <row r="1450" spans="1:11" ht="15">
      <c r="A1450" s="30"/>
      <c r="B1450" s="30"/>
      <c r="C1450" s="30"/>
      <c r="D1450" s="30"/>
      <c r="E1450" s="30"/>
      <c r="F1450" s="30"/>
      <c r="G1450" s="30"/>
      <c r="H1450" s="30"/>
      <c r="I1450" s="30"/>
      <c r="J1450" s="30"/>
      <c r="K1450" s="30"/>
    </row>
    <row r="1451" spans="1:11" ht="15">
      <c r="A1451" s="30"/>
      <c r="B1451" s="30"/>
      <c r="C1451" s="30"/>
      <c r="D1451" s="30"/>
      <c r="E1451" s="30"/>
      <c r="F1451" s="30"/>
      <c r="G1451" s="30"/>
      <c r="H1451" s="30"/>
      <c r="I1451" s="30"/>
      <c r="J1451" s="30"/>
      <c r="K1451" s="30"/>
    </row>
    <row r="1452" spans="1:11" ht="15">
      <c r="A1452" s="30"/>
      <c r="B1452" s="30"/>
      <c r="C1452" s="30"/>
      <c r="D1452" s="30"/>
      <c r="E1452" s="30"/>
      <c r="F1452" s="30"/>
      <c r="G1452" s="30"/>
      <c r="H1452" s="30"/>
      <c r="I1452" s="30"/>
      <c r="J1452" s="30"/>
      <c r="K1452" s="30"/>
    </row>
    <row r="1453" spans="1:11" ht="15">
      <c r="A1453" s="30"/>
      <c r="B1453" s="30"/>
      <c r="C1453" s="30"/>
      <c r="D1453" s="30"/>
      <c r="E1453" s="30"/>
      <c r="F1453" s="30"/>
      <c r="G1453" s="30"/>
      <c r="H1453" s="30"/>
      <c r="I1453" s="30"/>
      <c r="J1453" s="30"/>
      <c r="K1453" s="30"/>
    </row>
    <row r="1454" spans="1:11" ht="15">
      <c r="A1454" s="30"/>
      <c r="B1454" s="30"/>
      <c r="C1454" s="30"/>
      <c r="D1454" s="30"/>
      <c r="E1454" s="30"/>
      <c r="F1454" s="30"/>
      <c r="G1454" s="30"/>
      <c r="H1454" s="30"/>
      <c r="I1454" s="30"/>
      <c r="J1454" s="30"/>
      <c r="K1454" s="30"/>
    </row>
    <row r="1455" spans="1:11" ht="15">
      <c r="A1455" s="30"/>
      <c r="B1455" s="30"/>
      <c r="C1455" s="30"/>
      <c r="D1455" s="30"/>
      <c r="E1455" s="30"/>
      <c r="F1455" s="30"/>
      <c r="G1455" s="30"/>
      <c r="H1455" s="30"/>
      <c r="I1455" s="30"/>
      <c r="J1455" s="30"/>
      <c r="K1455" s="30"/>
    </row>
    <row r="1456" spans="1:11" ht="15">
      <c r="A1456" s="30"/>
      <c r="B1456" s="30"/>
      <c r="C1456" s="30"/>
      <c r="D1456" s="30"/>
      <c r="E1456" s="30"/>
      <c r="F1456" s="30"/>
      <c r="G1456" s="30"/>
      <c r="H1456" s="30"/>
      <c r="I1456" s="30"/>
      <c r="J1456" s="30"/>
      <c r="K1456" s="30"/>
    </row>
    <row r="1457" spans="1:11" ht="15">
      <c r="A1457" s="30"/>
      <c r="B1457" s="30"/>
      <c r="C1457" s="30"/>
      <c r="D1457" s="30"/>
      <c r="E1457" s="30"/>
      <c r="F1457" s="30"/>
      <c r="G1457" s="30"/>
      <c r="H1457" s="30"/>
      <c r="I1457" s="30"/>
      <c r="J1457" s="30"/>
      <c r="K1457" s="30"/>
    </row>
    <row r="1458" spans="1:11" ht="15">
      <c r="A1458" s="30"/>
      <c r="B1458" s="30"/>
      <c r="C1458" s="30"/>
      <c r="D1458" s="30"/>
      <c r="E1458" s="30"/>
      <c r="F1458" s="30"/>
      <c r="G1458" s="30"/>
      <c r="H1458" s="30"/>
      <c r="I1458" s="30"/>
      <c r="J1458" s="30"/>
      <c r="K1458" s="30"/>
    </row>
    <row r="1459" spans="1:11" ht="15">
      <c r="A1459" s="30"/>
      <c r="B1459" s="30"/>
      <c r="C1459" s="30"/>
      <c r="D1459" s="30"/>
      <c r="E1459" s="30"/>
      <c r="F1459" s="30"/>
      <c r="G1459" s="30"/>
      <c r="H1459" s="30"/>
      <c r="I1459" s="30"/>
      <c r="J1459" s="30"/>
      <c r="K1459" s="30"/>
    </row>
    <row r="1460" spans="1:11" ht="15">
      <c r="A1460" s="30"/>
      <c r="B1460" s="30"/>
      <c r="C1460" s="30"/>
      <c r="D1460" s="30"/>
      <c r="E1460" s="30"/>
      <c r="F1460" s="30"/>
      <c r="G1460" s="30"/>
      <c r="H1460" s="30"/>
      <c r="I1460" s="30"/>
      <c r="J1460" s="30"/>
      <c r="K1460" s="30"/>
    </row>
    <row r="1461" spans="1:11" ht="15">
      <c r="A1461" s="30"/>
      <c r="B1461" s="30"/>
      <c r="C1461" s="30"/>
      <c r="D1461" s="30"/>
      <c r="E1461" s="30"/>
      <c r="F1461" s="30"/>
      <c r="G1461" s="30"/>
      <c r="H1461" s="30"/>
      <c r="I1461" s="30"/>
      <c r="J1461" s="30"/>
      <c r="K1461" s="30"/>
    </row>
    <row r="1462" spans="1:11" ht="15">
      <c r="A1462" s="30"/>
      <c r="B1462" s="30"/>
      <c r="C1462" s="30"/>
      <c r="D1462" s="30"/>
      <c r="E1462" s="30"/>
      <c r="F1462" s="30"/>
      <c r="G1462" s="30"/>
      <c r="H1462" s="30"/>
      <c r="I1462" s="30"/>
      <c r="J1462" s="30"/>
      <c r="K1462" s="30"/>
    </row>
    <row r="1463" spans="1:11" ht="15">
      <c r="A1463" s="30"/>
      <c r="B1463" s="30"/>
      <c r="C1463" s="30"/>
      <c r="D1463" s="30"/>
      <c r="E1463" s="30"/>
      <c r="F1463" s="30"/>
      <c r="G1463" s="30"/>
      <c r="H1463" s="30"/>
      <c r="I1463" s="30"/>
      <c r="J1463" s="30"/>
      <c r="K1463" s="30"/>
    </row>
    <row r="1464" spans="1:11" ht="15">
      <c r="A1464" s="30"/>
      <c r="B1464" s="30"/>
      <c r="C1464" s="30"/>
      <c r="D1464" s="30"/>
      <c r="E1464" s="30"/>
      <c r="F1464" s="30"/>
      <c r="G1464" s="30"/>
      <c r="H1464" s="30"/>
      <c r="I1464" s="30"/>
      <c r="J1464" s="30"/>
      <c r="K1464" s="30"/>
    </row>
    <row r="1465" spans="1:11" ht="15">
      <c r="A1465" s="30"/>
      <c r="B1465" s="30"/>
      <c r="C1465" s="30"/>
      <c r="D1465" s="30"/>
      <c r="E1465" s="30"/>
      <c r="F1465" s="30"/>
      <c r="G1465" s="30"/>
      <c r="H1465" s="30"/>
      <c r="I1465" s="30"/>
      <c r="J1465" s="30"/>
      <c r="K1465" s="30"/>
    </row>
    <row r="1466" spans="1:11" ht="15">
      <c r="A1466" s="30"/>
      <c r="B1466" s="30"/>
      <c r="C1466" s="30"/>
      <c r="D1466" s="30"/>
      <c r="E1466" s="30"/>
      <c r="F1466" s="30"/>
      <c r="G1466" s="30"/>
      <c r="H1466" s="30"/>
      <c r="I1466" s="30"/>
      <c r="J1466" s="30"/>
      <c r="K1466" s="30"/>
    </row>
    <row r="1467" spans="1:11" ht="15">
      <c r="A1467" s="30"/>
      <c r="B1467" s="30"/>
      <c r="C1467" s="30"/>
      <c r="D1467" s="30"/>
      <c r="E1467" s="30"/>
      <c r="F1467" s="30"/>
      <c r="G1467" s="30"/>
      <c r="H1467" s="30"/>
      <c r="I1467" s="30"/>
      <c r="J1467" s="30"/>
      <c r="K1467" s="30"/>
    </row>
    <row r="1468" spans="1:11" ht="15">
      <c r="A1468" s="30"/>
      <c r="B1468" s="30"/>
      <c r="C1468" s="30"/>
      <c r="D1468" s="30"/>
      <c r="E1468" s="30"/>
      <c r="F1468" s="30"/>
      <c r="G1468" s="30"/>
      <c r="H1468" s="30"/>
      <c r="I1468" s="30"/>
      <c r="J1468" s="30"/>
      <c r="K1468" s="30"/>
    </row>
    <row r="1469" spans="1:11" ht="15">
      <c r="A1469" s="30"/>
      <c r="B1469" s="30"/>
      <c r="C1469" s="30"/>
      <c r="D1469" s="30"/>
      <c r="E1469" s="30"/>
      <c r="F1469" s="30"/>
      <c r="G1469" s="30"/>
      <c r="H1469" s="30"/>
      <c r="I1469" s="30"/>
      <c r="J1469" s="30"/>
      <c r="K1469" s="30"/>
    </row>
    <row r="1470" spans="1:11" ht="15">
      <c r="A1470" s="30"/>
      <c r="B1470" s="30"/>
      <c r="C1470" s="30"/>
      <c r="D1470" s="30"/>
      <c r="E1470" s="30"/>
      <c r="F1470" s="30"/>
      <c r="G1470" s="30"/>
      <c r="H1470" s="30"/>
      <c r="I1470" s="30"/>
      <c r="J1470" s="30"/>
      <c r="K1470" s="30"/>
    </row>
    <row r="1471" spans="1:11" ht="15">
      <c r="A1471" s="30"/>
      <c r="B1471" s="30"/>
      <c r="C1471" s="30"/>
      <c r="D1471" s="30"/>
      <c r="E1471" s="30"/>
      <c r="F1471" s="30"/>
      <c r="G1471" s="30"/>
      <c r="H1471" s="30"/>
      <c r="I1471" s="30"/>
      <c r="J1471" s="30"/>
      <c r="K1471" s="30"/>
    </row>
    <row r="1472" spans="1:11" ht="15">
      <c r="A1472" s="30"/>
      <c r="B1472" s="30"/>
      <c r="C1472" s="30"/>
      <c r="D1472" s="30"/>
      <c r="E1472" s="30"/>
      <c r="F1472" s="30"/>
      <c r="G1472" s="30"/>
      <c r="H1472" s="30"/>
      <c r="I1472" s="30"/>
      <c r="J1472" s="30"/>
      <c r="K1472" s="30"/>
    </row>
    <row r="1473" spans="1:11" ht="15">
      <c r="A1473" s="30"/>
      <c r="B1473" s="30"/>
      <c r="C1473" s="30"/>
      <c r="D1473" s="30"/>
      <c r="E1473" s="30"/>
      <c r="F1473" s="30"/>
      <c r="G1473" s="30"/>
      <c r="H1473" s="30"/>
      <c r="I1473" s="30"/>
      <c r="J1473" s="30"/>
      <c r="K1473" s="30"/>
    </row>
    <row r="1474" spans="1:11" ht="15">
      <c r="A1474" s="30"/>
      <c r="B1474" s="30"/>
      <c r="C1474" s="30"/>
      <c r="D1474" s="30"/>
      <c r="E1474" s="30"/>
      <c r="F1474" s="30"/>
      <c r="G1474" s="30"/>
      <c r="H1474" s="30"/>
      <c r="I1474" s="30"/>
      <c r="J1474" s="30"/>
      <c r="K1474" s="30"/>
    </row>
    <row r="1475" spans="1:11" ht="15">
      <c r="A1475" s="30"/>
      <c r="B1475" s="30"/>
      <c r="C1475" s="30"/>
      <c r="D1475" s="30"/>
      <c r="E1475" s="30"/>
      <c r="F1475" s="30"/>
      <c r="G1475" s="30"/>
      <c r="H1475" s="30"/>
      <c r="I1475" s="30"/>
      <c r="J1475" s="30"/>
      <c r="K1475" s="30"/>
    </row>
    <row r="1476" spans="1:11" ht="15">
      <c r="A1476" s="30"/>
      <c r="B1476" s="30"/>
      <c r="C1476" s="30"/>
      <c r="D1476" s="30"/>
      <c r="E1476" s="30"/>
      <c r="F1476" s="30"/>
      <c r="G1476" s="30"/>
      <c r="H1476" s="30"/>
      <c r="I1476" s="30"/>
      <c r="J1476" s="30"/>
      <c r="K1476" s="30"/>
    </row>
    <row r="1477" spans="1:11" ht="15">
      <c r="A1477" s="30"/>
      <c r="B1477" s="30"/>
      <c r="C1477" s="30"/>
      <c r="D1477" s="30"/>
      <c r="E1477" s="30"/>
      <c r="F1477" s="30"/>
      <c r="G1477" s="30"/>
      <c r="H1477" s="30"/>
      <c r="I1477" s="30"/>
      <c r="J1477" s="30"/>
      <c r="K1477" s="30"/>
    </row>
    <row r="1478" spans="1:11" ht="15">
      <c r="A1478" s="30"/>
      <c r="B1478" s="30"/>
      <c r="C1478" s="30"/>
      <c r="D1478" s="30"/>
      <c r="E1478" s="30"/>
      <c r="F1478" s="30"/>
      <c r="G1478" s="30"/>
      <c r="H1478" s="30"/>
      <c r="I1478" s="30"/>
      <c r="J1478" s="30"/>
      <c r="K1478" s="30"/>
    </row>
    <row r="1479" spans="1:11" ht="15">
      <c r="A1479" s="30"/>
      <c r="B1479" s="30"/>
      <c r="C1479" s="30"/>
      <c r="D1479" s="30"/>
      <c r="E1479" s="30"/>
      <c r="F1479" s="30"/>
      <c r="G1479" s="30"/>
      <c r="H1479" s="30"/>
      <c r="I1479" s="30"/>
      <c r="J1479" s="30"/>
      <c r="K1479" s="30"/>
    </row>
    <row r="1480" spans="1:11" ht="15">
      <c r="A1480" s="30"/>
      <c r="B1480" s="30"/>
      <c r="C1480" s="30"/>
      <c r="D1480" s="30"/>
      <c r="E1480" s="30"/>
      <c r="F1480" s="30"/>
      <c r="G1480" s="30"/>
      <c r="H1480" s="30"/>
      <c r="I1480" s="30"/>
      <c r="J1480" s="30"/>
      <c r="K1480" s="30"/>
    </row>
    <row r="1481" spans="1:11" ht="15">
      <c r="A1481" s="30"/>
      <c r="B1481" s="30"/>
      <c r="C1481" s="30"/>
      <c r="D1481" s="30"/>
      <c r="E1481" s="30"/>
      <c r="F1481" s="30"/>
      <c r="G1481" s="30"/>
      <c r="H1481" s="30"/>
      <c r="I1481" s="30"/>
      <c r="J1481" s="30"/>
      <c r="K1481" s="30"/>
    </row>
    <row r="1482" spans="1:11" ht="15">
      <c r="A1482" s="30"/>
      <c r="B1482" s="30"/>
      <c r="C1482" s="30"/>
      <c r="D1482" s="30"/>
      <c r="E1482" s="30"/>
      <c r="F1482" s="30"/>
      <c r="G1482" s="30"/>
      <c r="H1482" s="30"/>
      <c r="I1482" s="30"/>
      <c r="J1482" s="30"/>
      <c r="K1482" s="30"/>
    </row>
    <row r="1483" spans="1:11" ht="15">
      <c r="A1483" s="30"/>
      <c r="B1483" s="30"/>
      <c r="C1483" s="30"/>
      <c r="D1483" s="30"/>
      <c r="E1483" s="30"/>
      <c r="F1483" s="30"/>
      <c r="G1483" s="30"/>
      <c r="H1483" s="30"/>
      <c r="I1483" s="30"/>
      <c r="J1483" s="30"/>
      <c r="K1483" s="30"/>
    </row>
    <row r="1484" spans="1:11" ht="15">
      <c r="A1484" s="30"/>
      <c r="B1484" s="30"/>
      <c r="C1484" s="30"/>
      <c r="D1484" s="30"/>
      <c r="E1484" s="30"/>
      <c r="F1484" s="30"/>
      <c r="G1484" s="30"/>
      <c r="H1484" s="30"/>
      <c r="I1484" s="30"/>
      <c r="J1484" s="30"/>
      <c r="K1484" s="30"/>
    </row>
    <row r="1485" spans="1:11" ht="15">
      <c r="A1485" s="30"/>
      <c r="B1485" s="30"/>
      <c r="C1485" s="30"/>
      <c r="D1485" s="30"/>
      <c r="E1485" s="30"/>
      <c r="F1485" s="30"/>
      <c r="G1485" s="30"/>
      <c r="H1485" s="30"/>
      <c r="I1485" s="30"/>
      <c r="J1485" s="30"/>
      <c r="K1485" s="30"/>
    </row>
    <row r="1486" spans="1:11" ht="15">
      <c r="A1486" s="30"/>
      <c r="B1486" s="30"/>
      <c r="C1486" s="30"/>
      <c r="D1486" s="30"/>
      <c r="E1486" s="30"/>
      <c r="F1486" s="30"/>
      <c r="G1486" s="30"/>
      <c r="H1486" s="30"/>
      <c r="I1486" s="30"/>
      <c r="J1486" s="30"/>
      <c r="K1486" s="30"/>
    </row>
    <row r="1487" spans="1:11" ht="15">
      <c r="A1487" s="30"/>
      <c r="B1487" s="30"/>
      <c r="C1487" s="30"/>
      <c r="D1487" s="30"/>
      <c r="E1487" s="30"/>
      <c r="F1487" s="30"/>
      <c r="G1487" s="30"/>
      <c r="H1487" s="30"/>
      <c r="I1487" s="30"/>
      <c r="J1487" s="30"/>
      <c r="K1487" s="30"/>
    </row>
    <row r="1488" spans="1:11" ht="15">
      <c r="A1488" s="30"/>
      <c r="B1488" s="30"/>
      <c r="C1488" s="30"/>
      <c r="D1488" s="30"/>
      <c r="E1488" s="30"/>
      <c r="F1488" s="30"/>
      <c r="G1488" s="30"/>
      <c r="H1488" s="30"/>
      <c r="I1488" s="30"/>
      <c r="J1488" s="30"/>
      <c r="K1488" s="30"/>
    </row>
    <row r="1489" spans="1:11" ht="15">
      <c r="A1489" s="30"/>
      <c r="B1489" s="30"/>
      <c r="C1489" s="30"/>
      <c r="D1489" s="30"/>
      <c r="E1489" s="30"/>
      <c r="F1489" s="30"/>
      <c r="G1489" s="30"/>
      <c r="H1489" s="30"/>
      <c r="I1489" s="30"/>
      <c r="J1489" s="30"/>
      <c r="K1489" s="30"/>
    </row>
    <row r="1490" spans="1:11" ht="15">
      <c r="A1490" s="30"/>
      <c r="B1490" s="30"/>
      <c r="C1490" s="30"/>
      <c r="D1490" s="30"/>
      <c r="E1490" s="30"/>
      <c r="F1490" s="30"/>
      <c r="G1490" s="30"/>
      <c r="H1490" s="30"/>
      <c r="I1490" s="30"/>
      <c r="J1490" s="30"/>
      <c r="K1490" s="30"/>
    </row>
    <row r="1491" spans="1:11" ht="15">
      <c r="A1491" s="30"/>
      <c r="B1491" s="30"/>
      <c r="C1491" s="30"/>
      <c r="D1491" s="30"/>
      <c r="E1491" s="30"/>
      <c r="F1491" s="30"/>
      <c r="G1491" s="30"/>
      <c r="H1491" s="30"/>
      <c r="I1491" s="30"/>
      <c r="J1491" s="30"/>
      <c r="K1491" s="30"/>
    </row>
    <row r="1492" spans="1:11" ht="15">
      <c r="A1492" s="30"/>
      <c r="B1492" s="30"/>
      <c r="C1492" s="30"/>
      <c r="D1492" s="30"/>
      <c r="E1492" s="30"/>
      <c r="F1492" s="30"/>
      <c r="G1492" s="30"/>
      <c r="H1492" s="30"/>
      <c r="I1492" s="30"/>
      <c r="J1492" s="30"/>
      <c r="K1492" s="30"/>
    </row>
    <row r="1493" spans="1:11" ht="15">
      <c r="A1493" s="30"/>
      <c r="B1493" s="30"/>
      <c r="C1493" s="30"/>
      <c r="D1493" s="30"/>
      <c r="E1493" s="30"/>
      <c r="F1493" s="30"/>
      <c r="G1493" s="30"/>
      <c r="H1493" s="30"/>
      <c r="I1493" s="30"/>
      <c r="J1493" s="30"/>
      <c r="K1493" s="30"/>
    </row>
    <row r="1494" spans="1:11" ht="15">
      <c r="A1494" s="30"/>
      <c r="B1494" s="30"/>
      <c r="C1494" s="30"/>
      <c r="D1494" s="30"/>
      <c r="E1494" s="30"/>
      <c r="F1494" s="30"/>
      <c r="G1494" s="30"/>
      <c r="H1494" s="30"/>
      <c r="I1494" s="30"/>
      <c r="J1494" s="30"/>
      <c r="K1494" s="30"/>
    </row>
    <row r="1495" spans="1:11" ht="15">
      <c r="A1495" s="30"/>
      <c r="B1495" s="30"/>
      <c r="C1495" s="30"/>
      <c r="D1495" s="30"/>
      <c r="E1495" s="30"/>
      <c r="F1495" s="30"/>
      <c r="G1495" s="30"/>
      <c r="H1495" s="30"/>
      <c r="I1495" s="30"/>
      <c r="J1495" s="30"/>
      <c r="K1495" s="30"/>
    </row>
    <row r="1496" spans="1:11" ht="15">
      <c r="A1496" s="30"/>
      <c r="B1496" s="30"/>
      <c r="C1496" s="30"/>
      <c r="D1496" s="30"/>
      <c r="E1496" s="30"/>
      <c r="F1496" s="30"/>
      <c r="G1496" s="30"/>
      <c r="H1496" s="30"/>
      <c r="I1496" s="30"/>
      <c r="J1496" s="30"/>
      <c r="K1496" s="30"/>
    </row>
    <row r="1497" spans="1:11" ht="15">
      <c r="A1497" s="30"/>
      <c r="B1497" s="30"/>
      <c r="C1497" s="30"/>
      <c r="D1497" s="30"/>
      <c r="E1497" s="30"/>
      <c r="F1497" s="30"/>
      <c r="G1497" s="30"/>
      <c r="H1497" s="30"/>
      <c r="I1497" s="30"/>
      <c r="J1497" s="30"/>
      <c r="K1497" s="30"/>
    </row>
    <row r="1498" spans="1:11" ht="15">
      <c r="A1498" s="30"/>
      <c r="B1498" s="30"/>
      <c r="C1498" s="30"/>
      <c r="D1498" s="30"/>
      <c r="E1498" s="30"/>
      <c r="F1498" s="30"/>
      <c r="G1498" s="30"/>
      <c r="H1498" s="30"/>
      <c r="I1498" s="30"/>
      <c r="J1498" s="30"/>
      <c r="K1498" s="30"/>
    </row>
    <row r="1499" spans="1:11" ht="15">
      <c r="A1499" s="30"/>
      <c r="B1499" s="30"/>
      <c r="C1499" s="30"/>
      <c r="D1499" s="30"/>
      <c r="E1499" s="30"/>
      <c r="F1499" s="30"/>
      <c r="G1499" s="30"/>
      <c r="H1499" s="30"/>
      <c r="I1499" s="30"/>
      <c r="J1499" s="30"/>
      <c r="K1499" s="30"/>
    </row>
    <row r="1500" spans="1:11" ht="15">
      <c r="A1500" s="30"/>
      <c r="B1500" s="30"/>
      <c r="C1500" s="30"/>
      <c r="D1500" s="30"/>
      <c r="E1500" s="30"/>
      <c r="F1500" s="30"/>
      <c r="G1500" s="30"/>
      <c r="H1500" s="30"/>
      <c r="I1500" s="30"/>
      <c r="J1500" s="30"/>
      <c r="K1500" s="30"/>
    </row>
    <row r="1501" spans="1:11" ht="15">
      <c r="A1501" s="30"/>
      <c r="B1501" s="30"/>
      <c r="C1501" s="30"/>
      <c r="D1501" s="30"/>
      <c r="E1501" s="30"/>
      <c r="F1501" s="30"/>
      <c r="G1501" s="30"/>
      <c r="H1501" s="30"/>
      <c r="I1501" s="30"/>
      <c r="J1501" s="30"/>
      <c r="K1501" s="30"/>
    </row>
    <row r="1502" spans="1:11" ht="15">
      <c r="A1502" s="30"/>
      <c r="B1502" s="30"/>
      <c r="C1502" s="30"/>
      <c r="D1502" s="30"/>
      <c r="E1502" s="30"/>
      <c r="F1502" s="30"/>
      <c r="G1502" s="30"/>
      <c r="H1502" s="30"/>
      <c r="I1502" s="30"/>
      <c r="J1502" s="30"/>
      <c r="K1502" s="30"/>
    </row>
    <row r="1503" spans="1:11" ht="15">
      <c r="A1503" s="30"/>
      <c r="B1503" s="30"/>
      <c r="C1503" s="30"/>
      <c r="D1503" s="30"/>
      <c r="E1503" s="30"/>
      <c r="F1503" s="30"/>
      <c r="G1503" s="30"/>
      <c r="H1503" s="30"/>
      <c r="I1503" s="30"/>
      <c r="J1503" s="30"/>
      <c r="K1503" s="30"/>
    </row>
    <row r="1504" spans="1:11" ht="15">
      <c r="A1504" s="30"/>
      <c r="B1504" s="30"/>
      <c r="C1504" s="30"/>
      <c r="D1504" s="30"/>
      <c r="E1504" s="30"/>
      <c r="F1504" s="30"/>
      <c r="G1504" s="30"/>
      <c r="H1504" s="30"/>
      <c r="I1504" s="30"/>
      <c r="J1504" s="30"/>
      <c r="K1504" s="30"/>
    </row>
    <row r="1505" spans="1:11" ht="15">
      <c r="A1505" s="30"/>
      <c r="B1505" s="30"/>
      <c r="C1505" s="30"/>
      <c r="D1505" s="30"/>
      <c r="E1505" s="30"/>
      <c r="F1505" s="30"/>
      <c r="G1505" s="30"/>
      <c r="H1505" s="30"/>
      <c r="I1505" s="30"/>
      <c r="J1505" s="30"/>
      <c r="K1505" s="30"/>
    </row>
    <row r="1506" spans="1:11" ht="15">
      <c r="A1506" s="30"/>
      <c r="B1506" s="30"/>
      <c r="C1506" s="30"/>
      <c r="D1506" s="30"/>
      <c r="E1506" s="30"/>
      <c r="F1506" s="30"/>
      <c r="G1506" s="30"/>
      <c r="H1506" s="30"/>
      <c r="I1506" s="30"/>
      <c r="J1506" s="30"/>
      <c r="K1506" s="30"/>
    </row>
    <row r="1507" spans="1:11" ht="15">
      <c r="A1507" s="30"/>
      <c r="B1507" s="30"/>
      <c r="C1507" s="30"/>
      <c r="D1507" s="30"/>
      <c r="E1507" s="30"/>
      <c r="F1507" s="30"/>
      <c r="G1507" s="30"/>
      <c r="H1507" s="30"/>
      <c r="I1507" s="30"/>
      <c r="J1507" s="30"/>
      <c r="K1507" s="30"/>
    </row>
    <row r="1508" spans="1:11" ht="15">
      <c r="A1508" s="30"/>
      <c r="B1508" s="30"/>
      <c r="C1508" s="30"/>
      <c r="D1508" s="30"/>
      <c r="E1508" s="30"/>
      <c r="F1508" s="30"/>
      <c r="G1508" s="30"/>
      <c r="H1508" s="30"/>
      <c r="I1508" s="30"/>
      <c r="J1508" s="30"/>
      <c r="K1508" s="30"/>
    </row>
    <row r="1509" spans="1:11" ht="15">
      <c r="A1509" s="30"/>
      <c r="B1509" s="30"/>
      <c r="C1509" s="30"/>
      <c r="D1509" s="30"/>
      <c r="E1509" s="30"/>
      <c r="F1509" s="30"/>
      <c r="G1509" s="30"/>
      <c r="H1509" s="30"/>
      <c r="I1509" s="30"/>
      <c r="J1509" s="30"/>
      <c r="K1509" s="30"/>
    </row>
    <row r="1510" spans="1:11" ht="15">
      <c r="A1510" s="30"/>
      <c r="B1510" s="30"/>
      <c r="C1510" s="30"/>
      <c r="D1510" s="30"/>
      <c r="E1510" s="30"/>
      <c r="F1510" s="30"/>
      <c r="G1510" s="30"/>
      <c r="H1510" s="30"/>
      <c r="I1510" s="30"/>
      <c r="J1510" s="30"/>
      <c r="K1510" s="30"/>
    </row>
    <row r="1511" spans="1:11" ht="15">
      <c r="A1511" s="30"/>
      <c r="B1511" s="30"/>
      <c r="C1511" s="30"/>
      <c r="D1511" s="30"/>
      <c r="E1511" s="30"/>
      <c r="F1511" s="30"/>
      <c r="G1511" s="30"/>
      <c r="H1511" s="30"/>
      <c r="I1511" s="30"/>
      <c r="J1511" s="30"/>
      <c r="K1511" s="30"/>
    </row>
    <row r="1512" spans="1:11" ht="15">
      <c r="A1512" s="30"/>
      <c r="B1512" s="30"/>
      <c r="C1512" s="30"/>
      <c r="D1512" s="30"/>
      <c r="E1512" s="30"/>
      <c r="F1512" s="30"/>
      <c r="G1512" s="30"/>
      <c r="H1512" s="30"/>
      <c r="I1512" s="30"/>
      <c r="J1512" s="30"/>
      <c r="K1512" s="30"/>
    </row>
    <row r="1513" spans="1:11" ht="15">
      <c r="A1513" s="30"/>
      <c r="B1513" s="30"/>
      <c r="C1513" s="30"/>
      <c r="D1513" s="30"/>
      <c r="E1513" s="30"/>
      <c r="F1513" s="30"/>
      <c r="G1513" s="30"/>
      <c r="H1513" s="30"/>
      <c r="I1513" s="30"/>
      <c r="J1513" s="30"/>
      <c r="K1513" s="30"/>
    </row>
    <row r="1514" spans="1:11" ht="15">
      <c r="A1514" s="30"/>
      <c r="B1514" s="30"/>
      <c r="C1514" s="30"/>
      <c r="D1514" s="30"/>
      <c r="E1514" s="30"/>
      <c r="F1514" s="30"/>
      <c r="G1514" s="30"/>
      <c r="H1514" s="30"/>
      <c r="I1514" s="30"/>
      <c r="J1514" s="30"/>
      <c r="K1514" s="30"/>
    </row>
    <row r="1515" spans="1:11" ht="15">
      <c r="A1515" s="30"/>
      <c r="B1515" s="30"/>
      <c r="C1515" s="30"/>
      <c r="D1515" s="30"/>
      <c r="E1515" s="30"/>
      <c r="F1515" s="30"/>
      <c r="G1515" s="30"/>
      <c r="H1515" s="30"/>
      <c r="I1515" s="30"/>
      <c r="J1515" s="30"/>
      <c r="K1515" s="30"/>
    </row>
    <row r="1516" spans="1:11" ht="15">
      <c r="A1516" s="30"/>
      <c r="B1516" s="30"/>
      <c r="C1516" s="30"/>
      <c r="D1516" s="30"/>
      <c r="E1516" s="30"/>
      <c r="F1516" s="30"/>
      <c r="G1516" s="30"/>
      <c r="H1516" s="30"/>
      <c r="I1516" s="30"/>
      <c r="J1516" s="30"/>
      <c r="K1516" s="30"/>
    </row>
    <row r="1517" spans="1:11" ht="15">
      <c r="A1517" s="30"/>
      <c r="B1517" s="30"/>
      <c r="C1517" s="30"/>
      <c r="D1517" s="30"/>
      <c r="E1517" s="30"/>
      <c r="F1517" s="30"/>
      <c r="G1517" s="30"/>
      <c r="H1517" s="30"/>
      <c r="I1517" s="30"/>
      <c r="J1517" s="30"/>
      <c r="K1517" s="30"/>
    </row>
    <row r="1518" spans="1:11" ht="15">
      <c r="A1518" s="30"/>
      <c r="B1518" s="30"/>
      <c r="C1518" s="30"/>
      <c r="D1518" s="30"/>
      <c r="E1518" s="30"/>
      <c r="F1518" s="30"/>
      <c r="G1518" s="30"/>
      <c r="H1518" s="30"/>
      <c r="I1518" s="30"/>
      <c r="J1518" s="30"/>
      <c r="K1518" s="30"/>
    </row>
    <row r="1519" spans="1:11" ht="15">
      <c r="A1519" s="30"/>
      <c r="B1519" s="30"/>
      <c r="C1519" s="30"/>
      <c r="D1519" s="30"/>
      <c r="E1519" s="30"/>
      <c r="F1519" s="30"/>
      <c r="G1519" s="30"/>
      <c r="H1519" s="30"/>
      <c r="I1519" s="30"/>
      <c r="J1519" s="30"/>
      <c r="K1519" s="30"/>
    </row>
    <row r="1520" spans="1:11" ht="15">
      <c r="A1520" s="30"/>
      <c r="B1520" s="30"/>
      <c r="C1520" s="30"/>
      <c r="D1520" s="30"/>
      <c r="E1520" s="30"/>
      <c r="F1520" s="30"/>
      <c r="G1520" s="30"/>
      <c r="H1520" s="30"/>
      <c r="I1520" s="30"/>
      <c r="J1520" s="30"/>
      <c r="K1520" s="30"/>
    </row>
    <row r="1521" spans="1:11" ht="15">
      <c r="A1521" s="30"/>
      <c r="B1521" s="30"/>
      <c r="C1521" s="30"/>
      <c r="D1521" s="30"/>
      <c r="E1521" s="30"/>
      <c r="F1521" s="30"/>
      <c r="G1521" s="30"/>
      <c r="H1521" s="30"/>
      <c r="I1521" s="30"/>
      <c r="J1521" s="30"/>
      <c r="K1521" s="30"/>
    </row>
    <row r="1522" spans="1:11" ht="15">
      <c r="A1522" s="30"/>
      <c r="B1522" s="30"/>
      <c r="C1522" s="30"/>
      <c r="D1522" s="30"/>
      <c r="E1522" s="30"/>
      <c r="F1522" s="30"/>
      <c r="G1522" s="30"/>
      <c r="H1522" s="30"/>
      <c r="I1522" s="30"/>
      <c r="J1522" s="30"/>
      <c r="K1522" s="30"/>
    </row>
    <row r="1523" spans="1:11" ht="15">
      <c r="A1523" s="30"/>
      <c r="B1523" s="30"/>
      <c r="C1523" s="30"/>
      <c r="D1523" s="30"/>
      <c r="E1523" s="30"/>
      <c r="F1523" s="30"/>
      <c r="G1523" s="30"/>
      <c r="H1523" s="30"/>
      <c r="I1523" s="30"/>
      <c r="J1523" s="30"/>
      <c r="K1523" s="30"/>
    </row>
    <row r="1524" spans="1:11" ht="15">
      <c r="A1524" s="30"/>
      <c r="B1524" s="30"/>
      <c r="C1524" s="30"/>
      <c r="D1524" s="30"/>
      <c r="E1524" s="30"/>
      <c r="F1524" s="30"/>
      <c r="G1524" s="30"/>
      <c r="H1524" s="30"/>
      <c r="I1524" s="30"/>
      <c r="J1524" s="30"/>
      <c r="K1524" s="30"/>
    </row>
    <row r="1525" spans="1:11" ht="15">
      <c r="A1525" s="30"/>
      <c r="B1525" s="30"/>
      <c r="C1525" s="30"/>
      <c r="D1525" s="30"/>
      <c r="E1525" s="30"/>
      <c r="F1525" s="30"/>
      <c r="G1525" s="30"/>
      <c r="H1525" s="30"/>
      <c r="I1525" s="30"/>
      <c r="J1525" s="30"/>
      <c r="K1525" s="30"/>
    </row>
    <row r="1526" spans="1:11" ht="15">
      <c r="A1526" s="30"/>
      <c r="B1526" s="30"/>
      <c r="C1526" s="30"/>
      <c r="D1526" s="30"/>
      <c r="E1526" s="30"/>
      <c r="F1526" s="30"/>
      <c r="G1526" s="30"/>
      <c r="H1526" s="30"/>
      <c r="I1526" s="30"/>
      <c r="J1526" s="30"/>
      <c r="K1526" s="30"/>
    </row>
    <row r="1527" spans="1:11" ht="15">
      <c r="A1527" s="30"/>
      <c r="B1527" s="30"/>
      <c r="C1527" s="30"/>
      <c r="D1527" s="30"/>
      <c r="E1527" s="30"/>
      <c r="F1527" s="30"/>
      <c r="G1527" s="30"/>
      <c r="H1527" s="30"/>
      <c r="I1527" s="30"/>
      <c r="J1527" s="30"/>
      <c r="K1527" s="30"/>
    </row>
    <row r="1528" spans="1:11" ht="15">
      <c r="A1528" s="30"/>
      <c r="B1528" s="30"/>
      <c r="C1528" s="30"/>
      <c r="D1528" s="30"/>
      <c r="E1528" s="30"/>
      <c r="F1528" s="30"/>
      <c r="G1528" s="30"/>
      <c r="H1528" s="30"/>
      <c r="I1528" s="30"/>
      <c r="J1528" s="30"/>
      <c r="K1528" s="30"/>
    </row>
    <row r="1529" spans="1:11" ht="15">
      <c r="A1529" s="30"/>
      <c r="B1529" s="30"/>
      <c r="C1529" s="30"/>
      <c r="D1529" s="30"/>
      <c r="E1529" s="30"/>
      <c r="F1529" s="30"/>
      <c r="G1529" s="30"/>
      <c r="H1529" s="30"/>
      <c r="I1529" s="30"/>
      <c r="J1529" s="30"/>
      <c r="K1529" s="30"/>
    </row>
    <row r="1530" spans="1:11" ht="15">
      <c r="A1530" s="30"/>
      <c r="B1530" s="30"/>
      <c r="C1530" s="30"/>
      <c r="D1530" s="30"/>
      <c r="E1530" s="30"/>
      <c r="F1530" s="30"/>
      <c r="G1530" s="30"/>
      <c r="H1530" s="30"/>
      <c r="I1530" s="30"/>
      <c r="J1530" s="30"/>
      <c r="K1530" s="30"/>
    </row>
    <row r="1531" spans="1:11" ht="15">
      <c r="A1531" s="30"/>
      <c r="B1531" s="30"/>
      <c r="C1531" s="30"/>
      <c r="D1531" s="30"/>
      <c r="E1531" s="30"/>
      <c r="F1531" s="30"/>
      <c r="G1531" s="30"/>
      <c r="H1531" s="30"/>
      <c r="I1531" s="30"/>
      <c r="J1531" s="30"/>
      <c r="K1531" s="30"/>
    </row>
    <row r="1532" spans="1:11" ht="15">
      <c r="A1532" s="30"/>
      <c r="B1532" s="30"/>
      <c r="C1532" s="30"/>
      <c r="D1532" s="30"/>
      <c r="E1532" s="30"/>
      <c r="F1532" s="30"/>
      <c r="G1532" s="30"/>
      <c r="H1532" s="30"/>
      <c r="I1532" s="30"/>
      <c r="J1532" s="30"/>
      <c r="K1532" s="30"/>
    </row>
    <row r="1533" spans="1:11" ht="15">
      <c r="A1533" s="30"/>
      <c r="B1533" s="30"/>
      <c r="C1533" s="30"/>
      <c r="D1533" s="30"/>
      <c r="E1533" s="30"/>
      <c r="F1533" s="30"/>
      <c r="G1533" s="30"/>
      <c r="H1533" s="30"/>
      <c r="I1533" s="30"/>
      <c r="J1533" s="30"/>
      <c r="K1533" s="30"/>
    </row>
    <row r="1534" spans="1:11" ht="15">
      <c r="A1534" s="30"/>
      <c r="B1534" s="30"/>
      <c r="C1534" s="30"/>
      <c r="D1534" s="30"/>
      <c r="E1534" s="30"/>
      <c r="F1534" s="30"/>
      <c r="G1534" s="30"/>
      <c r="H1534" s="30"/>
      <c r="I1534" s="30"/>
      <c r="J1534" s="30"/>
      <c r="K1534" s="30"/>
    </row>
    <row r="1535" spans="1:11" ht="15">
      <c r="A1535" s="30"/>
      <c r="B1535" s="30"/>
      <c r="C1535" s="30"/>
      <c r="D1535" s="30"/>
      <c r="E1535" s="30"/>
      <c r="F1535" s="30"/>
      <c r="G1535" s="30"/>
      <c r="H1535" s="30"/>
      <c r="I1535" s="30"/>
      <c r="J1535" s="30"/>
      <c r="K1535" s="30"/>
    </row>
    <row r="1536" spans="1:11" ht="15">
      <c r="A1536" s="30"/>
      <c r="B1536" s="30"/>
      <c r="C1536" s="30"/>
      <c r="D1536" s="30"/>
      <c r="E1536" s="30"/>
      <c r="F1536" s="30"/>
      <c r="G1536" s="30"/>
      <c r="H1536" s="30"/>
      <c r="I1536" s="30"/>
      <c r="J1536" s="30"/>
      <c r="K1536" s="30"/>
    </row>
    <row r="1537" spans="1:11" ht="15">
      <c r="A1537" s="30"/>
      <c r="B1537" s="30"/>
      <c r="C1537" s="30"/>
      <c r="D1537" s="30"/>
      <c r="E1537" s="30"/>
      <c r="F1537" s="30"/>
      <c r="G1537" s="30"/>
      <c r="H1537" s="30"/>
      <c r="I1537" s="30"/>
      <c r="J1537" s="30"/>
      <c r="K1537" s="30"/>
    </row>
    <row r="1538" spans="1:11" ht="15">
      <c r="A1538" s="30"/>
      <c r="B1538" s="30"/>
      <c r="C1538" s="30"/>
      <c r="D1538" s="30"/>
      <c r="E1538" s="30"/>
      <c r="F1538" s="30"/>
      <c r="G1538" s="30"/>
      <c r="H1538" s="30"/>
      <c r="I1538" s="30"/>
      <c r="J1538" s="30"/>
      <c r="K1538" s="30"/>
    </row>
    <row r="1539" spans="1:11" ht="15">
      <c r="A1539" s="30"/>
      <c r="B1539" s="30"/>
      <c r="C1539" s="30"/>
      <c r="D1539" s="30"/>
      <c r="E1539" s="30"/>
      <c r="F1539" s="30"/>
      <c r="G1539" s="30"/>
      <c r="H1539" s="30"/>
      <c r="I1539" s="30"/>
      <c r="J1539" s="30"/>
      <c r="K1539" s="30"/>
    </row>
    <row r="1540" spans="1:11" ht="15">
      <c r="A1540" s="30"/>
      <c r="B1540" s="30"/>
      <c r="C1540" s="30"/>
      <c r="D1540" s="30"/>
      <c r="E1540" s="30"/>
      <c r="F1540" s="30"/>
      <c r="G1540" s="30"/>
      <c r="H1540" s="30"/>
      <c r="I1540" s="30"/>
      <c r="J1540" s="30"/>
      <c r="K1540" s="30"/>
    </row>
    <row r="1541" spans="1:11" ht="15">
      <c r="A1541" s="30"/>
      <c r="B1541" s="30"/>
      <c r="C1541" s="30"/>
      <c r="D1541" s="30"/>
      <c r="E1541" s="30"/>
      <c r="F1541" s="30"/>
      <c r="G1541" s="30"/>
      <c r="H1541" s="30"/>
      <c r="I1541" s="30"/>
      <c r="J1541" s="30"/>
      <c r="K1541" s="30"/>
    </row>
    <row r="1542" spans="1:11" ht="15">
      <c r="A1542" s="30"/>
      <c r="B1542" s="30"/>
      <c r="C1542" s="30"/>
      <c r="D1542" s="30"/>
      <c r="E1542" s="30"/>
      <c r="F1542" s="30"/>
      <c r="G1542" s="30"/>
      <c r="H1542" s="30"/>
      <c r="I1542" s="30"/>
      <c r="J1542" s="30"/>
      <c r="K1542" s="30"/>
    </row>
    <row r="1543" spans="1:11" ht="15">
      <c r="A1543" s="30"/>
      <c r="B1543" s="30"/>
      <c r="C1543" s="30"/>
      <c r="D1543" s="30"/>
      <c r="E1543" s="30"/>
      <c r="F1543" s="30"/>
      <c r="G1543" s="30"/>
      <c r="H1543" s="30"/>
      <c r="I1543" s="30"/>
      <c r="J1543" s="30"/>
      <c r="K1543" s="30"/>
    </row>
    <row r="1544" spans="1:11" ht="15">
      <c r="A1544" s="30"/>
      <c r="B1544" s="30"/>
      <c r="C1544" s="30"/>
      <c r="D1544" s="30"/>
      <c r="E1544" s="30"/>
      <c r="F1544" s="30"/>
      <c r="G1544" s="30"/>
      <c r="H1544" s="30"/>
      <c r="I1544" s="30"/>
      <c r="J1544" s="30"/>
      <c r="K1544" s="30"/>
    </row>
    <row r="1545" spans="1:11" ht="15">
      <c r="A1545" s="30"/>
      <c r="B1545" s="30"/>
      <c r="C1545" s="30"/>
      <c r="D1545" s="30"/>
      <c r="E1545" s="30"/>
      <c r="F1545" s="30"/>
      <c r="G1545" s="30"/>
      <c r="H1545" s="30"/>
      <c r="I1545" s="30"/>
      <c r="J1545" s="30"/>
      <c r="K1545" s="30"/>
    </row>
    <row r="1546" spans="1:11" ht="15">
      <c r="A1546" s="30"/>
      <c r="B1546" s="30"/>
      <c r="C1546" s="30"/>
      <c r="D1546" s="30"/>
      <c r="E1546" s="30"/>
      <c r="F1546" s="30"/>
      <c r="G1546" s="30"/>
      <c r="H1546" s="30"/>
      <c r="I1546" s="30"/>
      <c r="J1546" s="30"/>
      <c r="K1546" s="30"/>
    </row>
    <row r="1547" spans="1:11" ht="15">
      <c r="A1547" s="30"/>
      <c r="B1547" s="30"/>
      <c r="C1547" s="30"/>
      <c r="D1547" s="30"/>
      <c r="E1547" s="30"/>
      <c r="F1547" s="30"/>
      <c r="G1547" s="30"/>
      <c r="H1547" s="30"/>
      <c r="I1547" s="30"/>
      <c r="J1547" s="30"/>
      <c r="K1547" s="30"/>
    </row>
    <row r="1548" spans="1:11" ht="15">
      <c r="A1548" s="30"/>
      <c r="B1548" s="30"/>
      <c r="C1548" s="30"/>
      <c r="D1548" s="30"/>
      <c r="E1548" s="30"/>
      <c r="F1548" s="30"/>
      <c r="G1548" s="30"/>
      <c r="H1548" s="30"/>
      <c r="I1548" s="30"/>
      <c r="J1548" s="30"/>
      <c r="K1548" s="30"/>
    </row>
    <row r="1549" spans="1:11" ht="15">
      <c r="A1549" s="30"/>
      <c r="B1549" s="30"/>
      <c r="C1549" s="30"/>
      <c r="D1549" s="30"/>
      <c r="E1549" s="30"/>
      <c r="F1549" s="30"/>
      <c r="G1549" s="30"/>
      <c r="H1549" s="30"/>
      <c r="I1549" s="30"/>
      <c r="J1549" s="30"/>
      <c r="K1549" s="30"/>
    </row>
    <row r="1550" spans="1:11" ht="15">
      <c r="A1550" s="30"/>
      <c r="B1550" s="30"/>
      <c r="C1550" s="30"/>
      <c r="D1550" s="30"/>
      <c r="E1550" s="30"/>
      <c r="F1550" s="30"/>
      <c r="G1550" s="30"/>
      <c r="H1550" s="30"/>
      <c r="I1550" s="30"/>
      <c r="J1550" s="30"/>
      <c r="K1550" s="30"/>
    </row>
    <row r="1551" spans="1:11" ht="15">
      <c r="A1551" s="30"/>
      <c r="B1551" s="30"/>
      <c r="C1551" s="30"/>
      <c r="D1551" s="30"/>
      <c r="E1551" s="30"/>
      <c r="F1551" s="30"/>
      <c r="G1551" s="30"/>
      <c r="H1551" s="30"/>
      <c r="I1551" s="30"/>
      <c r="J1551" s="30"/>
      <c r="K1551" s="30"/>
    </row>
    <row r="1552" spans="1:11" ht="15">
      <c r="A1552" s="30"/>
      <c r="B1552" s="30"/>
      <c r="C1552" s="30"/>
      <c r="D1552" s="30"/>
      <c r="E1552" s="30"/>
      <c r="F1552" s="30"/>
      <c r="G1552" s="30"/>
      <c r="H1552" s="30"/>
      <c r="I1552" s="30"/>
      <c r="J1552" s="30"/>
      <c r="K1552" s="30"/>
    </row>
    <row r="1553" spans="1:11" ht="15">
      <c r="A1553" s="30"/>
      <c r="B1553" s="30"/>
      <c r="C1553" s="30"/>
      <c r="D1553" s="30"/>
      <c r="E1553" s="30"/>
      <c r="F1553" s="30"/>
      <c r="G1553" s="30"/>
      <c r="H1553" s="30"/>
      <c r="I1553" s="30"/>
      <c r="J1553" s="30"/>
      <c r="K1553" s="30"/>
    </row>
    <row r="1554" spans="1:11" ht="15">
      <c r="A1554" s="30"/>
      <c r="B1554" s="30"/>
      <c r="C1554" s="30"/>
      <c r="D1554" s="30"/>
      <c r="E1554" s="30"/>
      <c r="F1554" s="30"/>
      <c r="G1554" s="30"/>
      <c r="H1554" s="30"/>
      <c r="I1554" s="30"/>
      <c r="J1554" s="30"/>
      <c r="K1554" s="30"/>
    </row>
    <row r="1555" spans="1:11" ht="15">
      <c r="A1555" s="30"/>
      <c r="B1555" s="30"/>
      <c r="C1555" s="30"/>
      <c r="D1555" s="30"/>
      <c r="E1555" s="30"/>
      <c r="F1555" s="30"/>
      <c r="G1555" s="30"/>
      <c r="H1555" s="30"/>
      <c r="I1555" s="30"/>
      <c r="J1555" s="30"/>
      <c r="K1555" s="30"/>
    </row>
    <row r="1556" spans="1:11" ht="15">
      <c r="A1556" s="30"/>
      <c r="B1556" s="30"/>
      <c r="C1556" s="30"/>
      <c r="D1556" s="30"/>
      <c r="E1556" s="30"/>
      <c r="F1556" s="30"/>
      <c r="G1556" s="30"/>
      <c r="H1556" s="30"/>
      <c r="I1556" s="30"/>
      <c r="J1556" s="30"/>
      <c r="K1556" s="30"/>
    </row>
    <row r="1557" spans="1:11" ht="15">
      <c r="A1557" s="30"/>
      <c r="B1557" s="30"/>
      <c r="C1557" s="30"/>
      <c r="D1557" s="30"/>
      <c r="E1557" s="30"/>
      <c r="F1557" s="30"/>
      <c r="G1557" s="30"/>
      <c r="H1557" s="30"/>
      <c r="I1557" s="30"/>
      <c r="J1557" s="30"/>
      <c r="K1557" s="30"/>
    </row>
    <row r="1558" spans="1:11" ht="15">
      <c r="A1558" s="30"/>
      <c r="B1558" s="30"/>
      <c r="C1558" s="30"/>
      <c r="D1558" s="30"/>
      <c r="E1558" s="30"/>
      <c r="F1558" s="30"/>
      <c r="G1558" s="30"/>
      <c r="H1558" s="30"/>
      <c r="I1558" s="30"/>
      <c r="J1558" s="30"/>
      <c r="K1558" s="30"/>
    </row>
    <row r="1559" spans="1:11" ht="15">
      <c r="A1559" s="30"/>
      <c r="B1559" s="30"/>
      <c r="C1559" s="30"/>
      <c r="D1559" s="30"/>
      <c r="E1559" s="30"/>
      <c r="F1559" s="30"/>
      <c r="G1559" s="30"/>
      <c r="H1559" s="30"/>
      <c r="I1559" s="30"/>
      <c r="J1559" s="30"/>
      <c r="K1559" s="30"/>
    </row>
    <row r="1560" spans="1:11" ht="15">
      <c r="A1560" s="30"/>
      <c r="B1560" s="30"/>
      <c r="C1560" s="30"/>
      <c r="D1560" s="30"/>
      <c r="E1560" s="30"/>
      <c r="F1560" s="30"/>
      <c r="G1560" s="30"/>
      <c r="H1560" s="30"/>
      <c r="I1560" s="30"/>
      <c r="J1560" s="30"/>
      <c r="K1560" s="30"/>
    </row>
    <row r="1561" spans="1:11" ht="15">
      <c r="A1561" s="30"/>
      <c r="B1561" s="30"/>
      <c r="C1561" s="30"/>
      <c r="D1561" s="30"/>
      <c r="E1561" s="30"/>
      <c r="F1561" s="30"/>
      <c r="G1561" s="30"/>
      <c r="H1561" s="30"/>
      <c r="I1561" s="30"/>
      <c r="J1561" s="30"/>
      <c r="K1561" s="30"/>
    </row>
    <row r="1562" spans="1:11" ht="15">
      <c r="A1562" s="30"/>
      <c r="B1562" s="30"/>
      <c r="C1562" s="30"/>
      <c r="D1562" s="30"/>
      <c r="E1562" s="30"/>
      <c r="F1562" s="30"/>
      <c r="G1562" s="30"/>
      <c r="H1562" s="30"/>
      <c r="I1562" s="30"/>
      <c r="J1562" s="30"/>
      <c r="K1562" s="30"/>
    </row>
    <row r="1563" spans="1:11" ht="15">
      <c r="A1563" s="30"/>
      <c r="B1563" s="30"/>
      <c r="C1563" s="30"/>
      <c r="D1563" s="30"/>
      <c r="E1563" s="30"/>
      <c r="F1563" s="30"/>
      <c r="G1563" s="30"/>
      <c r="H1563" s="30"/>
      <c r="I1563" s="30"/>
      <c r="J1563" s="30"/>
      <c r="K1563" s="30"/>
    </row>
    <row r="1564" spans="1:11" ht="15">
      <c r="A1564" s="30"/>
      <c r="B1564" s="30"/>
      <c r="C1564" s="30"/>
      <c r="D1564" s="30"/>
      <c r="E1564" s="30"/>
      <c r="F1564" s="30"/>
      <c r="G1564" s="30"/>
      <c r="H1564" s="30"/>
      <c r="I1564" s="30"/>
      <c r="J1564" s="30"/>
      <c r="K1564" s="30"/>
    </row>
    <row r="1565" spans="1:11" ht="15">
      <c r="A1565" s="30"/>
      <c r="B1565" s="30"/>
      <c r="C1565" s="30"/>
      <c r="D1565" s="30"/>
      <c r="E1565" s="30"/>
      <c r="F1565" s="30"/>
      <c r="G1565" s="30"/>
      <c r="H1565" s="30"/>
      <c r="I1565" s="30"/>
      <c r="J1565" s="30"/>
      <c r="K1565" s="30"/>
    </row>
    <row r="1566" spans="1:11" ht="15">
      <c r="A1566" s="30"/>
      <c r="B1566" s="30"/>
      <c r="C1566" s="30"/>
      <c r="D1566" s="30"/>
      <c r="E1566" s="30"/>
      <c r="F1566" s="30"/>
      <c r="G1566" s="30"/>
      <c r="H1566" s="30"/>
      <c r="I1566" s="30"/>
      <c r="J1566" s="30"/>
      <c r="K1566" s="30"/>
    </row>
    <row r="1567" spans="1:11" ht="15">
      <c r="A1567" s="30"/>
      <c r="B1567" s="30"/>
      <c r="C1567" s="30"/>
      <c r="D1567" s="30"/>
      <c r="E1567" s="30"/>
      <c r="F1567" s="30"/>
      <c r="G1567" s="30"/>
      <c r="H1567" s="30"/>
      <c r="I1567" s="30"/>
      <c r="J1567" s="30"/>
      <c r="K1567" s="30"/>
    </row>
    <row r="1568" spans="1:11" ht="15">
      <c r="A1568" s="30"/>
      <c r="B1568" s="30"/>
      <c r="C1568" s="30"/>
      <c r="D1568" s="30"/>
      <c r="E1568" s="30"/>
      <c r="F1568" s="30"/>
      <c r="G1568" s="30"/>
      <c r="H1568" s="30"/>
      <c r="I1568" s="30"/>
      <c r="J1568" s="30"/>
      <c r="K1568" s="30"/>
    </row>
    <row r="1569" spans="1:11" ht="15">
      <c r="A1569" s="30"/>
      <c r="B1569" s="30"/>
      <c r="C1569" s="30"/>
      <c r="D1569" s="30"/>
      <c r="E1569" s="30"/>
      <c r="F1569" s="30"/>
      <c r="G1569" s="30"/>
      <c r="H1569" s="30"/>
      <c r="I1569" s="30"/>
      <c r="J1569" s="30"/>
      <c r="K1569" s="30"/>
    </row>
    <row r="1570" spans="1:11" ht="15">
      <c r="A1570" s="30"/>
      <c r="B1570" s="30"/>
      <c r="C1570" s="30"/>
      <c r="D1570" s="30"/>
      <c r="E1570" s="30"/>
      <c r="F1570" s="30"/>
      <c r="G1570" s="30"/>
      <c r="H1570" s="30"/>
      <c r="I1570" s="30"/>
      <c r="J1570" s="30"/>
      <c r="K1570" s="30"/>
    </row>
    <row r="1571" spans="1:11" ht="15">
      <c r="A1571" s="30"/>
      <c r="B1571" s="30"/>
      <c r="C1571" s="30"/>
      <c r="D1571" s="30"/>
      <c r="E1571" s="30"/>
      <c r="F1571" s="30"/>
      <c r="G1571" s="30"/>
      <c r="H1571" s="30"/>
      <c r="I1571" s="30"/>
      <c r="J1571" s="30"/>
      <c r="K1571" s="30"/>
    </row>
    <row r="1572" spans="1:11" ht="15">
      <c r="A1572" s="30"/>
      <c r="B1572" s="30"/>
      <c r="C1572" s="30"/>
      <c r="D1572" s="30"/>
      <c r="E1572" s="30"/>
      <c r="F1572" s="30"/>
      <c r="G1572" s="30"/>
      <c r="H1572" s="30"/>
      <c r="I1572" s="30"/>
      <c r="J1572" s="30"/>
      <c r="K1572" s="30"/>
    </row>
    <row r="1573" spans="1:11" ht="15">
      <c r="A1573" s="30"/>
      <c r="B1573" s="30"/>
      <c r="C1573" s="30"/>
      <c r="D1573" s="30"/>
      <c r="E1573" s="30"/>
      <c r="F1573" s="30"/>
      <c r="G1573" s="30"/>
      <c r="H1573" s="30"/>
      <c r="I1573" s="30"/>
      <c r="J1573" s="30"/>
      <c r="K1573" s="30"/>
    </row>
    <row r="1574" spans="1:11" ht="15">
      <c r="A1574" s="30"/>
      <c r="B1574" s="30"/>
      <c r="C1574" s="30"/>
      <c r="D1574" s="30"/>
      <c r="E1574" s="30"/>
      <c r="F1574" s="30"/>
      <c r="G1574" s="30"/>
      <c r="H1574" s="30"/>
      <c r="I1574" s="30"/>
      <c r="J1574" s="30"/>
      <c r="K1574" s="30"/>
    </row>
    <row r="1575" spans="1:11" ht="15">
      <c r="A1575" s="30"/>
      <c r="B1575" s="30"/>
      <c r="C1575" s="30"/>
      <c r="D1575" s="30"/>
      <c r="E1575" s="30"/>
      <c r="F1575" s="30"/>
      <c r="G1575" s="30"/>
      <c r="H1575" s="30"/>
      <c r="I1575" s="30"/>
      <c r="J1575" s="30"/>
      <c r="K1575" s="30"/>
    </row>
    <row r="1576" spans="1:11" ht="15">
      <c r="A1576" s="30"/>
      <c r="B1576" s="30"/>
      <c r="C1576" s="30"/>
      <c r="D1576" s="30"/>
      <c r="E1576" s="30"/>
      <c r="F1576" s="30"/>
      <c r="G1576" s="30"/>
      <c r="H1576" s="30"/>
      <c r="I1576" s="30"/>
      <c r="J1576" s="30"/>
      <c r="K1576" s="30"/>
    </row>
    <row r="1577" spans="1:11" ht="15">
      <c r="A1577" s="30"/>
      <c r="B1577" s="30"/>
      <c r="C1577" s="30"/>
      <c r="D1577" s="30"/>
      <c r="E1577" s="30"/>
      <c r="F1577" s="30"/>
      <c r="G1577" s="30"/>
      <c r="H1577" s="30"/>
      <c r="I1577" s="30"/>
      <c r="J1577" s="30"/>
      <c r="K1577" s="30"/>
    </row>
    <row r="1578" spans="1:11" ht="15">
      <c r="A1578" s="30"/>
      <c r="B1578" s="30"/>
      <c r="C1578" s="30"/>
      <c r="D1578" s="30"/>
      <c r="E1578" s="30"/>
      <c r="F1578" s="30"/>
      <c r="G1578" s="30"/>
      <c r="H1578" s="30"/>
      <c r="I1578" s="30"/>
      <c r="J1578" s="30"/>
      <c r="K1578" s="30"/>
    </row>
    <row r="1579" spans="1:11" ht="15">
      <c r="A1579" s="30"/>
      <c r="B1579" s="30"/>
      <c r="C1579" s="30"/>
      <c r="D1579" s="30"/>
      <c r="E1579" s="30"/>
      <c r="F1579" s="30"/>
      <c r="G1579" s="30"/>
      <c r="H1579" s="30"/>
      <c r="I1579" s="30"/>
      <c r="J1579" s="30"/>
      <c r="K1579" s="30"/>
    </row>
    <row r="1580" spans="1:11" ht="15">
      <c r="A1580" s="30"/>
      <c r="B1580" s="30"/>
      <c r="C1580" s="30"/>
      <c r="D1580" s="30"/>
      <c r="E1580" s="30"/>
      <c r="F1580" s="30"/>
      <c r="G1580" s="30"/>
      <c r="H1580" s="30"/>
      <c r="I1580" s="30"/>
      <c r="J1580" s="30"/>
      <c r="K1580" s="30"/>
    </row>
    <row r="1581" spans="1:11" ht="15">
      <c r="A1581" s="30"/>
      <c r="B1581" s="30"/>
      <c r="C1581" s="30"/>
      <c r="D1581" s="30"/>
      <c r="E1581" s="30"/>
      <c r="F1581" s="30"/>
      <c r="G1581" s="30"/>
      <c r="H1581" s="30"/>
      <c r="I1581" s="30"/>
      <c r="J1581" s="30"/>
      <c r="K1581" s="30"/>
    </row>
    <row r="1582" spans="1:11" ht="15">
      <c r="A1582" s="30"/>
      <c r="B1582" s="30"/>
      <c r="C1582" s="30"/>
      <c r="D1582" s="30"/>
      <c r="E1582" s="30"/>
      <c r="F1582" s="30"/>
      <c r="G1582" s="30"/>
      <c r="H1582" s="30"/>
      <c r="I1582" s="30"/>
      <c r="J1582" s="30"/>
      <c r="K1582" s="30"/>
    </row>
    <row r="1583" spans="1:11" ht="15">
      <c r="A1583" s="30"/>
      <c r="B1583" s="30"/>
      <c r="C1583" s="30"/>
      <c r="D1583" s="30"/>
      <c r="E1583" s="30"/>
      <c r="F1583" s="30"/>
      <c r="G1583" s="30"/>
      <c r="H1583" s="30"/>
      <c r="I1583" s="30"/>
      <c r="J1583" s="30"/>
      <c r="K1583" s="30"/>
    </row>
    <row r="1584" spans="1:11" ht="15">
      <c r="A1584" s="30"/>
      <c r="B1584" s="30"/>
      <c r="C1584" s="30"/>
      <c r="D1584" s="30"/>
      <c r="E1584" s="30"/>
      <c r="F1584" s="30"/>
      <c r="G1584" s="30"/>
      <c r="H1584" s="30"/>
      <c r="I1584" s="30"/>
      <c r="J1584" s="30"/>
      <c r="K1584" s="30"/>
    </row>
    <row r="1585" spans="1:11" ht="15">
      <c r="A1585" s="30"/>
      <c r="B1585" s="30"/>
      <c r="C1585" s="30"/>
      <c r="D1585" s="30"/>
      <c r="E1585" s="30"/>
      <c r="F1585" s="30"/>
      <c r="G1585" s="30"/>
      <c r="H1585" s="30"/>
      <c r="I1585" s="30"/>
      <c r="J1585" s="30"/>
      <c r="K1585" s="30"/>
    </row>
    <row r="1586" spans="1:11" ht="15">
      <c r="A1586" s="30"/>
      <c r="B1586" s="30"/>
      <c r="C1586" s="30"/>
      <c r="D1586" s="30"/>
      <c r="E1586" s="30"/>
      <c r="F1586" s="30"/>
      <c r="G1586" s="30"/>
      <c r="H1586" s="30"/>
      <c r="I1586" s="30"/>
      <c r="J1586" s="30"/>
      <c r="K1586" s="30"/>
    </row>
    <row r="1587" spans="1:11" ht="15">
      <c r="A1587" s="30"/>
      <c r="B1587" s="30"/>
      <c r="C1587" s="30"/>
      <c r="D1587" s="30"/>
      <c r="E1587" s="30"/>
      <c r="F1587" s="30"/>
      <c r="G1587" s="30"/>
      <c r="H1587" s="30"/>
      <c r="I1587" s="30"/>
      <c r="J1587" s="30"/>
      <c r="K1587" s="30"/>
    </row>
    <row r="1588" spans="1:11" ht="15">
      <c r="A1588" s="30"/>
      <c r="B1588" s="30"/>
      <c r="C1588" s="30"/>
      <c r="D1588" s="30"/>
      <c r="E1588" s="30"/>
      <c r="F1588" s="30"/>
      <c r="G1588" s="30"/>
      <c r="H1588" s="30"/>
      <c r="I1588" s="30"/>
      <c r="J1588" s="30"/>
      <c r="K1588" s="30"/>
    </row>
    <row r="1589" spans="1:11" ht="15">
      <c r="A1589" s="30"/>
      <c r="B1589" s="30"/>
      <c r="C1589" s="30"/>
      <c r="D1589" s="30"/>
      <c r="E1589" s="30"/>
      <c r="F1589" s="30"/>
      <c r="G1589" s="30"/>
      <c r="H1589" s="30"/>
      <c r="I1589" s="30"/>
      <c r="J1589" s="30"/>
      <c r="K1589" s="30"/>
    </row>
    <row r="1590" spans="1:11" ht="15">
      <c r="A1590" s="30"/>
      <c r="B1590" s="30"/>
      <c r="C1590" s="30"/>
      <c r="D1590" s="30"/>
      <c r="E1590" s="30"/>
      <c r="F1590" s="30"/>
      <c r="G1590" s="30"/>
      <c r="H1590" s="30"/>
      <c r="I1590" s="30"/>
      <c r="J1590" s="30"/>
      <c r="K1590" s="30"/>
    </row>
    <row r="1591" spans="1:11" ht="15">
      <c r="A1591" s="30"/>
      <c r="B1591" s="30"/>
      <c r="C1591" s="30"/>
      <c r="D1591" s="30"/>
      <c r="E1591" s="30"/>
      <c r="F1591" s="30"/>
      <c r="G1591" s="30"/>
      <c r="H1591" s="30"/>
      <c r="I1591" s="30"/>
      <c r="J1591" s="30"/>
      <c r="K1591" s="30"/>
    </row>
    <row r="1592" spans="1:11" ht="15">
      <c r="A1592" s="30"/>
      <c r="B1592" s="30"/>
      <c r="C1592" s="30"/>
      <c r="D1592" s="30"/>
      <c r="E1592" s="30"/>
      <c r="F1592" s="30"/>
      <c r="G1592" s="30"/>
      <c r="H1592" s="30"/>
      <c r="I1592" s="30"/>
      <c r="J1592" s="30"/>
      <c r="K1592" s="30"/>
    </row>
    <row r="1593" spans="1:11" ht="15">
      <c r="A1593" s="30"/>
      <c r="B1593" s="30"/>
      <c r="C1593" s="30"/>
      <c r="D1593" s="30"/>
      <c r="E1593" s="30"/>
      <c r="F1593" s="30"/>
      <c r="G1593" s="30"/>
      <c r="H1593" s="30"/>
      <c r="I1593" s="30"/>
      <c r="J1593" s="30"/>
      <c r="K1593" s="30"/>
    </row>
    <row r="1594" spans="1:11" ht="15">
      <c r="A1594" s="30"/>
      <c r="B1594" s="30"/>
      <c r="C1594" s="30"/>
      <c r="D1594" s="30"/>
      <c r="E1594" s="30"/>
      <c r="F1594" s="30"/>
      <c r="G1594" s="30"/>
      <c r="H1594" s="30"/>
      <c r="I1594" s="30"/>
      <c r="J1594" s="30"/>
      <c r="K1594" s="30"/>
    </row>
    <row r="1595" spans="1:11" ht="15">
      <c r="A1595" s="30"/>
      <c r="B1595" s="30"/>
      <c r="C1595" s="30"/>
      <c r="D1595" s="30"/>
      <c r="E1595" s="30"/>
      <c r="F1595" s="30"/>
      <c r="G1595" s="30"/>
      <c r="H1595" s="30"/>
      <c r="I1595" s="30"/>
      <c r="J1595" s="30"/>
      <c r="K1595" s="30"/>
    </row>
    <row r="1596" spans="1:11" ht="15">
      <c r="A1596" s="30"/>
      <c r="B1596" s="30"/>
      <c r="C1596" s="30"/>
      <c r="D1596" s="30"/>
      <c r="E1596" s="30"/>
      <c r="F1596" s="30"/>
      <c r="G1596" s="30"/>
      <c r="H1596" s="30"/>
      <c r="I1596" s="30"/>
      <c r="J1596" s="30"/>
      <c r="K1596" s="30"/>
    </row>
    <row r="1597" spans="1:11" ht="15">
      <c r="A1597" s="30"/>
      <c r="B1597" s="30"/>
      <c r="C1597" s="30"/>
      <c r="D1597" s="30"/>
      <c r="E1597" s="30"/>
      <c r="F1597" s="30"/>
      <c r="G1597" s="30"/>
      <c r="H1597" s="30"/>
      <c r="I1597" s="30"/>
      <c r="J1597" s="30"/>
      <c r="K1597" s="30"/>
    </row>
    <row r="1598" spans="1:11" ht="15">
      <c r="A1598" s="30"/>
      <c r="B1598" s="30"/>
      <c r="C1598" s="30"/>
      <c r="D1598" s="30"/>
      <c r="E1598" s="30"/>
      <c r="F1598" s="30"/>
      <c r="G1598" s="30"/>
      <c r="H1598" s="30"/>
      <c r="I1598" s="30"/>
      <c r="J1598" s="30"/>
      <c r="K1598" s="30"/>
    </row>
    <row r="1599" spans="1:11" ht="15">
      <c r="A1599" s="30"/>
      <c r="B1599" s="30"/>
      <c r="C1599" s="30"/>
      <c r="D1599" s="30"/>
      <c r="E1599" s="30"/>
      <c r="F1599" s="30"/>
      <c r="G1599" s="30"/>
      <c r="H1599" s="30"/>
      <c r="I1599" s="30"/>
      <c r="J1599" s="30"/>
      <c r="K1599" s="30"/>
    </row>
    <row r="1600" spans="1:11" ht="15">
      <c r="A1600" s="30"/>
      <c r="B1600" s="30"/>
      <c r="C1600" s="30"/>
      <c r="D1600" s="30"/>
      <c r="E1600" s="30"/>
      <c r="F1600" s="30"/>
      <c r="G1600" s="30"/>
      <c r="H1600" s="30"/>
      <c r="I1600" s="30"/>
      <c r="J1600" s="30"/>
      <c r="K1600" s="30"/>
    </row>
    <row r="1601" spans="1:11" ht="15">
      <c r="A1601" s="30"/>
      <c r="B1601" s="30"/>
      <c r="C1601" s="30"/>
      <c r="D1601" s="30"/>
      <c r="E1601" s="30"/>
      <c r="F1601" s="30"/>
      <c r="G1601" s="30"/>
      <c r="H1601" s="30"/>
      <c r="I1601" s="30"/>
      <c r="J1601" s="30"/>
      <c r="K1601" s="30"/>
    </row>
    <row r="1602" spans="1:11" ht="15">
      <c r="A1602" s="30"/>
      <c r="B1602" s="30"/>
      <c r="C1602" s="30"/>
      <c r="D1602" s="30"/>
      <c r="E1602" s="30"/>
      <c r="F1602" s="30"/>
      <c r="G1602" s="30"/>
      <c r="H1602" s="30"/>
      <c r="I1602" s="30"/>
      <c r="J1602" s="30"/>
      <c r="K1602" s="30"/>
    </row>
    <row r="1603" spans="1:11" ht="15">
      <c r="A1603" s="30"/>
      <c r="B1603" s="30"/>
      <c r="C1603" s="30"/>
      <c r="D1603" s="30"/>
      <c r="E1603" s="30"/>
      <c r="F1603" s="30"/>
      <c r="G1603" s="30"/>
      <c r="H1603" s="30"/>
      <c r="I1603" s="30"/>
      <c r="J1603" s="30"/>
      <c r="K1603" s="30"/>
    </row>
    <row r="1604" spans="1:11" ht="15">
      <c r="A1604" s="30"/>
      <c r="B1604" s="30"/>
      <c r="C1604" s="30"/>
      <c r="D1604" s="30"/>
      <c r="E1604" s="30"/>
      <c r="F1604" s="30"/>
      <c r="G1604" s="30"/>
      <c r="H1604" s="30"/>
      <c r="I1604" s="30"/>
      <c r="J1604" s="30"/>
      <c r="K1604" s="30"/>
    </row>
    <row r="1605" spans="1:11" ht="15">
      <c r="A1605" s="30"/>
      <c r="B1605" s="30"/>
      <c r="C1605" s="30"/>
      <c r="D1605" s="30"/>
      <c r="E1605" s="30"/>
      <c r="F1605" s="30"/>
      <c r="G1605" s="30"/>
      <c r="H1605" s="30"/>
      <c r="I1605" s="30"/>
      <c r="J1605" s="30"/>
      <c r="K1605" s="30"/>
    </row>
    <row r="1606" spans="1:11" ht="15">
      <c r="A1606" s="30"/>
      <c r="B1606" s="30"/>
      <c r="C1606" s="30"/>
      <c r="D1606" s="30"/>
      <c r="E1606" s="30"/>
      <c r="F1606" s="30"/>
      <c r="G1606" s="30"/>
      <c r="H1606" s="30"/>
      <c r="I1606" s="30"/>
      <c r="J1606" s="30"/>
      <c r="K1606" s="30"/>
    </row>
    <row r="1607" spans="1:11" ht="15">
      <c r="A1607" s="30"/>
      <c r="B1607" s="30"/>
      <c r="C1607" s="30"/>
      <c r="D1607" s="30"/>
      <c r="E1607" s="30"/>
      <c r="F1607" s="30"/>
      <c r="G1607" s="30"/>
      <c r="H1607" s="30"/>
      <c r="I1607" s="30"/>
      <c r="J1607" s="30"/>
      <c r="K1607" s="30"/>
    </row>
    <row r="1608" spans="1:11" ht="15">
      <c r="A1608" s="30"/>
      <c r="B1608" s="30"/>
      <c r="C1608" s="30"/>
      <c r="D1608" s="30"/>
      <c r="E1608" s="30"/>
      <c r="F1608" s="30"/>
      <c r="G1608" s="30"/>
      <c r="H1608" s="30"/>
      <c r="I1608" s="30"/>
      <c r="J1608" s="30"/>
      <c r="K1608" s="30"/>
    </row>
    <row r="1609" spans="1:11" ht="15">
      <c r="A1609" s="30"/>
      <c r="B1609" s="30"/>
      <c r="C1609" s="30"/>
      <c r="D1609" s="30"/>
      <c r="E1609" s="30"/>
      <c r="F1609" s="30"/>
      <c r="G1609" s="30"/>
      <c r="H1609" s="30"/>
      <c r="I1609" s="30"/>
      <c r="J1609" s="30"/>
      <c r="K1609" s="30"/>
    </row>
    <row r="1610" spans="1:11" ht="15">
      <c r="A1610" s="30"/>
      <c r="B1610" s="30"/>
      <c r="C1610" s="30"/>
      <c r="D1610" s="30"/>
      <c r="E1610" s="30"/>
      <c r="F1610" s="30"/>
      <c r="G1610" s="30"/>
      <c r="H1610" s="30"/>
      <c r="I1610" s="30"/>
      <c r="J1610" s="30"/>
      <c r="K1610" s="30"/>
    </row>
    <row r="1611" spans="1:11" ht="15">
      <c r="A1611" s="30"/>
      <c r="B1611" s="30"/>
      <c r="C1611" s="30"/>
      <c r="D1611" s="30"/>
      <c r="E1611" s="30"/>
      <c r="F1611" s="30"/>
      <c r="G1611" s="30"/>
      <c r="H1611" s="30"/>
      <c r="I1611" s="30"/>
      <c r="J1611" s="30"/>
      <c r="K1611" s="30"/>
    </row>
    <row r="1612" spans="1:11" ht="15">
      <c r="A1612" s="30"/>
      <c r="B1612" s="30"/>
      <c r="C1612" s="30"/>
      <c r="D1612" s="30"/>
      <c r="E1612" s="30"/>
      <c r="F1612" s="30"/>
      <c r="G1612" s="30"/>
      <c r="H1612" s="30"/>
      <c r="I1612" s="30"/>
      <c r="J1612" s="30"/>
      <c r="K1612" s="30"/>
    </row>
    <row r="1613" spans="1:11" ht="15">
      <c r="A1613" s="30"/>
      <c r="B1613" s="30"/>
      <c r="C1613" s="30"/>
      <c r="D1613" s="30"/>
      <c r="E1613" s="30"/>
      <c r="F1613" s="30"/>
      <c r="G1613" s="30"/>
      <c r="H1613" s="30"/>
      <c r="I1613" s="30"/>
      <c r="J1613" s="30"/>
      <c r="K1613" s="30"/>
    </row>
    <row r="1614" spans="1:11" ht="15">
      <c r="A1614" s="30"/>
      <c r="B1614" s="30"/>
      <c r="C1614" s="30"/>
      <c r="D1614" s="30"/>
      <c r="E1614" s="30"/>
      <c r="F1614" s="30"/>
      <c r="G1614" s="30"/>
      <c r="H1614" s="30"/>
      <c r="I1614" s="30"/>
      <c r="J1614" s="30"/>
      <c r="K1614" s="30"/>
    </row>
    <row r="1615" spans="1:11" ht="15">
      <c r="A1615" s="30"/>
      <c r="B1615" s="30"/>
      <c r="C1615" s="30"/>
      <c r="D1615" s="30"/>
      <c r="E1615" s="30"/>
      <c r="F1615" s="30"/>
      <c r="G1615" s="30"/>
      <c r="H1615" s="30"/>
      <c r="I1615" s="30"/>
      <c r="J1615" s="30"/>
      <c r="K1615" s="30"/>
    </row>
    <row r="1616" spans="1:11" ht="15">
      <c r="A1616" s="30"/>
      <c r="B1616" s="30"/>
      <c r="C1616" s="30"/>
      <c r="D1616" s="30"/>
      <c r="E1616" s="30"/>
      <c r="F1616" s="30"/>
      <c r="G1616" s="30"/>
      <c r="H1616" s="30"/>
      <c r="I1616" s="30"/>
      <c r="J1616" s="30"/>
      <c r="K1616" s="30"/>
    </row>
    <row r="1617" spans="1:11" ht="15">
      <c r="A1617" s="30"/>
      <c r="B1617" s="30"/>
      <c r="C1617" s="30"/>
      <c r="D1617" s="30"/>
      <c r="E1617" s="30"/>
      <c r="F1617" s="30"/>
      <c r="G1617" s="30"/>
      <c r="H1617" s="30"/>
      <c r="I1617" s="30"/>
      <c r="J1617" s="30"/>
      <c r="K1617" s="30"/>
    </row>
    <row r="1618" spans="1:11" ht="15">
      <c r="A1618" s="30"/>
      <c r="B1618" s="30"/>
      <c r="C1618" s="30"/>
      <c r="D1618" s="30"/>
      <c r="E1618" s="30"/>
      <c r="F1618" s="30"/>
      <c r="G1618" s="30"/>
      <c r="H1618" s="30"/>
      <c r="I1618" s="30"/>
      <c r="J1618" s="30"/>
      <c r="K1618" s="30"/>
    </row>
    <row r="1619" spans="1:11" ht="15">
      <c r="A1619" s="30"/>
      <c r="B1619" s="30"/>
      <c r="C1619" s="30"/>
      <c r="D1619" s="30"/>
      <c r="E1619" s="30"/>
      <c r="F1619" s="30"/>
      <c r="G1619" s="30"/>
      <c r="H1619" s="30"/>
      <c r="I1619" s="30"/>
      <c r="J1619" s="30"/>
      <c r="K1619" s="30"/>
    </row>
    <row r="1620" spans="1:11" ht="15">
      <c r="A1620" s="30"/>
      <c r="B1620" s="30"/>
      <c r="C1620" s="30"/>
      <c r="D1620" s="30"/>
      <c r="E1620" s="30"/>
      <c r="F1620" s="30"/>
      <c r="G1620" s="30"/>
      <c r="H1620" s="30"/>
      <c r="I1620" s="30"/>
      <c r="J1620" s="30"/>
      <c r="K1620" s="30"/>
    </row>
    <row r="1621" spans="1:11" ht="15">
      <c r="A1621" s="30"/>
      <c r="B1621" s="30"/>
      <c r="C1621" s="30"/>
      <c r="D1621" s="30"/>
      <c r="E1621" s="30"/>
      <c r="F1621" s="30"/>
      <c r="G1621" s="30"/>
      <c r="H1621" s="30"/>
      <c r="I1621" s="30"/>
      <c r="J1621" s="30"/>
      <c r="K1621" s="30"/>
    </row>
    <row r="1622" spans="1:11" ht="15">
      <c r="A1622" s="30"/>
      <c r="B1622" s="30"/>
      <c r="C1622" s="30"/>
      <c r="D1622" s="30"/>
      <c r="E1622" s="30"/>
      <c r="F1622" s="30"/>
      <c r="G1622" s="30"/>
      <c r="H1622" s="30"/>
      <c r="I1622" s="30"/>
      <c r="J1622" s="30"/>
      <c r="K1622" s="30"/>
    </row>
    <row r="1623" spans="1:11" ht="15">
      <c r="A1623" s="30"/>
      <c r="B1623" s="30"/>
      <c r="C1623" s="30"/>
      <c r="D1623" s="30"/>
      <c r="E1623" s="30"/>
      <c r="F1623" s="30"/>
      <c r="G1623" s="30"/>
      <c r="H1623" s="30"/>
      <c r="I1623" s="30"/>
      <c r="J1623" s="30"/>
      <c r="K1623" s="30"/>
    </row>
    <row r="1624" spans="1:11" ht="15">
      <c r="A1624" s="30"/>
      <c r="B1624" s="30"/>
      <c r="C1624" s="30"/>
      <c r="D1624" s="30"/>
      <c r="E1624" s="30"/>
      <c r="F1624" s="30"/>
      <c r="G1624" s="30"/>
      <c r="H1624" s="30"/>
      <c r="I1624" s="30"/>
      <c r="J1624" s="30"/>
      <c r="K1624" s="30"/>
    </row>
    <row r="1625" spans="1:11" ht="15">
      <c r="A1625" s="30"/>
      <c r="B1625" s="30"/>
      <c r="C1625" s="30"/>
      <c r="D1625" s="30"/>
      <c r="E1625" s="30"/>
      <c r="F1625" s="30"/>
      <c r="G1625" s="30"/>
      <c r="H1625" s="30"/>
      <c r="I1625" s="30"/>
      <c r="J1625" s="30"/>
      <c r="K1625" s="30"/>
    </row>
    <row r="1626" spans="1:11" ht="15">
      <c r="A1626" s="30"/>
      <c r="B1626" s="30"/>
      <c r="C1626" s="30"/>
      <c r="D1626" s="30"/>
      <c r="E1626" s="30"/>
      <c r="F1626" s="30"/>
      <c r="G1626" s="30"/>
      <c r="H1626" s="30"/>
      <c r="I1626" s="30"/>
      <c r="J1626" s="30"/>
      <c r="K1626" s="30"/>
    </row>
    <row r="1627" spans="1:11" ht="15">
      <c r="A1627" s="30"/>
      <c r="B1627" s="30"/>
      <c r="C1627" s="30"/>
      <c r="D1627" s="30"/>
      <c r="E1627" s="30"/>
      <c r="F1627" s="30"/>
      <c r="G1627" s="30"/>
      <c r="H1627" s="30"/>
      <c r="I1627" s="30"/>
      <c r="J1627" s="30"/>
      <c r="K1627" s="30"/>
    </row>
    <row r="1628" spans="1:11" ht="15">
      <c r="A1628" s="30"/>
      <c r="B1628" s="30"/>
      <c r="C1628" s="30"/>
      <c r="D1628" s="30"/>
      <c r="E1628" s="30"/>
      <c r="F1628" s="30"/>
      <c r="G1628" s="30"/>
      <c r="H1628" s="30"/>
      <c r="I1628" s="30"/>
      <c r="J1628" s="30"/>
      <c r="K1628" s="30"/>
    </row>
    <row r="1629" spans="1:11" ht="15">
      <c r="A1629" s="30"/>
      <c r="B1629" s="30"/>
      <c r="C1629" s="30"/>
      <c r="D1629" s="30"/>
      <c r="E1629" s="30"/>
      <c r="F1629" s="30"/>
      <c r="G1629" s="30"/>
      <c r="H1629" s="30"/>
      <c r="I1629" s="30"/>
      <c r="J1629" s="30"/>
      <c r="K1629" s="30"/>
    </row>
    <row r="1630" spans="1:11" ht="15">
      <c r="A1630" s="30"/>
      <c r="B1630" s="30"/>
      <c r="C1630" s="30"/>
      <c r="D1630" s="30"/>
      <c r="E1630" s="30"/>
      <c r="F1630" s="30"/>
      <c r="G1630" s="30"/>
      <c r="H1630" s="30"/>
      <c r="I1630" s="30"/>
      <c r="J1630" s="30"/>
      <c r="K1630" s="30"/>
    </row>
    <row r="1631" spans="1:11" ht="15">
      <c r="A1631" s="30"/>
      <c r="B1631" s="30"/>
      <c r="C1631" s="30"/>
      <c r="D1631" s="30"/>
      <c r="E1631" s="30"/>
      <c r="F1631" s="30"/>
      <c r="G1631" s="30"/>
      <c r="H1631" s="30"/>
      <c r="I1631" s="30"/>
      <c r="J1631" s="30"/>
      <c r="K1631" s="30"/>
    </row>
    <row r="1632" spans="1:11" ht="15">
      <c r="A1632" s="30"/>
      <c r="B1632" s="30"/>
      <c r="C1632" s="30"/>
      <c r="D1632" s="30"/>
      <c r="E1632" s="30"/>
      <c r="F1632" s="30"/>
      <c r="G1632" s="30"/>
      <c r="H1632" s="30"/>
      <c r="I1632" s="30"/>
      <c r="J1632" s="30"/>
      <c r="K1632" s="30"/>
    </row>
    <row r="1633" spans="1:11" ht="15">
      <c r="A1633" s="30"/>
      <c r="B1633" s="30"/>
      <c r="C1633" s="30"/>
      <c r="D1633" s="30"/>
      <c r="E1633" s="30"/>
      <c r="F1633" s="30"/>
      <c r="G1633" s="30"/>
      <c r="H1633" s="30"/>
      <c r="I1633" s="30"/>
      <c r="J1633" s="30"/>
      <c r="K1633" s="30"/>
    </row>
    <row r="1634" spans="1:11" ht="15">
      <c r="A1634" s="30"/>
      <c r="B1634" s="30"/>
      <c r="C1634" s="30"/>
      <c r="D1634" s="30"/>
      <c r="E1634" s="30"/>
      <c r="F1634" s="30"/>
      <c r="G1634" s="30"/>
      <c r="H1634" s="30"/>
      <c r="I1634" s="30"/>
      <c r="J1634" s="30"/>
      <c r="K1634" s="30"/>
    </row>
    <row r="1635" spans="1:11" ht="15">
      <c r="A1635" s="30"/>
      <c r="B1635" s="30"/>
      <c r="C1635" s="30"/>
      <c r="D1635" s="30"/>
      <c r="E1635" s="30"/>
      <c r="F1635" s="30"/>
      <c r="G1635" s="30"/>
      <c r="H1635" s="30"/>
      <c r="I1635" s="30"/>
      <c r="J1635" s="30"/>
      <c r="K1635" s="30"/>
    </row>
    <row r="1636" spans="1:11" ht="15">
      <c r="A1636" s="30"/>
      <c r="B1636" s="30"/>
      <c r="C1636" s="30"/>
      <c r="D1636" s="30"/>
      <c r="E1636" s="30"/>
      <c r="F1636" s="30"/>
      <c r="G1636" s="30"/>
      <c r="H1636" s="30"/>
      <c r="I1636" s="30"/>
      <c r="J1636" s="30"/>
      <c r="K1636" s="30"/>
    </row>
    <row r="1637" spans="1:11" ht="15">
      <c r="A1637" s="30"/>
      <c r="B1637" s="30"/>
      <c r="C1637" s="30"/>
      <c r="D1637" s="30"/>
      <c r="E1637" s="30"/>
      <c r="F1637" s="30"/>
      <c r="G1637" s="30"/>
      <c r="H1637" s="30"/>
      <c r="I1637" s="30"/>
      <c r="J1637" s="30"/>
      <c r="K1637" s="30"/>
    </row>
    <row r="1638" spans="1:11" ht="15">
      <c r="A1638" s="30"/>
      <c r="B1638" s="30"/>
      <c r="C1638" s="30"/>
      <c r="D1638" s="30"/>
      <c r="E1638" s="30"/>
      <c r="F1638" s="30"/>
      <c r="G1638" s="30"/>
      <c r="H1638" s="30"/>
      <c r="I1638" s="30"/>
      <c r="J1638" s="30"/>
      <c r="K1638" s="30"/>
    </row>
    <row r="1639" spans="1:11" ht="15">
      <c r="A1639" s="30"/>
      <c r="B1639" s="30"/>
      <c r="C1639" s="30"/>
      <c r="D1639" s="30"/>
      <c r="E1639" s="30"/>
      <c r="F1639" s="30"/>
      <c r="G1639" s="30"/>
      <c r="H1639" s="30"/>
      <c r="I1639" s="30"/>
      <c r="J1639" s="30"/>
      <c r="K1639" s="30"/>
    </row>
    <row r="1640" spans="1:11" ht="15">
      <c r="A1640" s="30"/>
      <c r="B1640" s="30"/>
      <c r="C1640" s="30"/>
      <c r="D1640" s="30"/>
      <c r="E1640" s="30"/>
      <c r="F1640" s="30"/>
      <c r="G1640" s="30"/>
      <c r="H1640" s="30"/>
      <c r="I1640" s="30"/>
      <c r="J1640" s="30"/>
      <c r="K1640" s="30"/>
    </row>
    <row r="1641" spans="1:11" ht="15">
      <c r="A1641" s="30"/>
      <c r="B1641" s="30"/>
      <c r="C1641" s="30"/>
      <c r="D1641" s="30"/>
      <c r="E1641" s="30"/>
      <c r="F1641" s="30"/>
      <c r="G1641" s="30"/>
      <c r="H1641" s="30"/>
      <c r="I1641" s="30"/>
      <c r="J1641" s="30"/>
      <c r="K1641" s="30"/>
    </row>
    <row r="1642" spans="1:11" ht="15">
      <c r="A1642" s="30"/>
      <c r="B1642" s="30"/>
      <c r="C1642" s="30"/>
      <c r="D1642" s="30"/>
      <c r="E1642" s="30"/>
      <c r="F1642" s="30"/>
      <c r="G1642" s="30"/>
      <c r="H1642" s="30"/>
      <c r="I1642" s="30"/>
      <c r="J1642" s="30"/>
      <c r="K1642" s="30"/>
    </row>
    <row r="1643" spans="1:11" ht="15">
      <c r="A1643" s="30"/>
      <c r="B1643" s="30"/>
      <c r="C1643" s="30"/>
      <c r="D1643" s="30"/>
      <c r="E1643" s="30"/>
      <c r="F1643" s="30"/>
      <c r="G1643" s="30"/>
      <c r="H1643" s="30"/>
      <c r="I1643" s="30"/>
      <c r="J1643" s="30"/>
      <c r="K1643" s="30"/>
    </row>
    <row r="1644" spans="1:11" ht="15">
      <c r="A1644" s="30"/>
      <c r="B1644" s="30"/>
      <c r="C1644" s="30"/>
      <c r="D1644" s="30"/>
      <c r="E1644" s="30"/>
      <c r="F1644" s="30"/>
      <c r="G1644" s="30"/>
      <c r="H1644" s="30"/>
      <c r="I1644" s="30"/>
      <c r="J1644" s="30"/>
      <c r="K1644" s="30"/>
    </row>
    <row r="1645" spans="1:11" ht="15">
      <c r="A1645" s="30"/>
      <c r="B1645" s="30"/>
      <c r="C1645" s="30"/>
      <c r="D1645" s="30"/>
      <c r="E1645" s="30"/>
      <c r="F1645" s="30"/>
      <c r="G1645" s="30"/>
      <c r="H1645" s="30"/>
      <c r="I1645" s="30"/>
      <c r="J1645" s="30"/>
      <c r="K1645" s="30"/>
    </row>
    <row r="1646" spans="1:11" ht="15">
      <c r="A1646" s="30"/>
      <c r="B1646" s="30"/>
      <c r="C1646" s="30"/>
      <c r="D1646" s="30"/>
      <c r="E1646" s="30"/>
      <c r="F1646" s="30"/>
      <c r="G1646" s="30"/>
      <c r="H1646" s="30"/>
      <c r="I1646" s="30"/>
      <c r="J1646" s="30"/>
      <c r="K1646" s="30"/>
    </row>
    <row r="1647" spans="1:11" ht="15">
      <c r="A1647" s="30"/>
      <c r="B1647" s="30"/>
      <c r="C1647" s="30"/>
      <c r="D1647" s="30"/>
      <c r="E1647" s="30"/>
      <c r="F1647" s="30"/>
      <c r="G1647" s="30"/>
      <c r="H1647" s="30"/>
      <c r="I1647" s="30"/>
      <c r="J1647" s="30"/>
      <c r="K1647" s="30"/>
    </row>
    <row r="1648" spans="1:11" ht="15">
      <c r="A1648" s="30"/>
      <c r="B1648" s="30"/>
      <c r="C1648" s="30"/>
      <c r="D1648" s="30"/>
      <c r="E1648" s="30"/>
      <c r="F1648" s="30"/>
      <c r="G1648" s="30"/>
      <c r="H1648" s="30"/>
      <c r="I1648" s="30"/>
      <c r="J1648" s="30"/>
      <c r="K1648" s="30"/>
    </row>
    <row r="1649" spans="1:11" ht="15">
      <c r="A1649" s="30"/>
      <c r="B1649" s="30"/>
      <c r="C1649" s="30"/>
      <c r="D1649" s="30"/>
      <c r="E1649" s="30"/>
      <c r="F1649" s="30"/>
      <c r="G1649" s="30"/>
      <c r="H1649" s="30"/>
      <c r="I1649" s="30"/>
      <c r="J1649" s="30"/>
      <c r="K1649" s="30"/>
    </row>
    <row r="1650" spans="1:11" ht="15">
      <c r="A1650" s="30"/>
      <c r="B1650" s="30"/>
      <c r="C1650" s="30"/>
      <c r="D1650" s="30"/>
      <c r="E1650" s="30"/>
      <c r="F1650" s="30"/>
      <c r="G1650" s="30"/>
      <c r="H1650" s="30"/>
      <c r="I1650" s="30"/>
      <c r="J1650" s="30"/>
      <c r="K1650" s="30"/>
    </row>
    <row r="1651" spans="1:11" ht="15">
      <c r="A1651" s="30"/>
      <c r="B1651" s="30"/>
      <c r="C1651" s="30"/>
      <c r="D1651" s="30"/>
      <c r="E1651" s="30"/>
      <c r="F1651" s="30"/>
      <c r="G1651" s="30"/>
      <c r="H1651" s="30"/>
      <c r="I1651" s="30"/>
      <c r="J1651" s="30"/>
      <c r="K1651" s="30"/>
    </row>
    <row r="1652" spans="1:11" ht="15">
      <c r="A1652" s="30"/>
      <c r="B1652" s="30"/>
      <c r="C1652" s="30"/>
      <c r="D1652" s="30"/>
      <c r="E1652" s="30"/>
      <c r="F1652" s="30"/>
      <c r="G1652" s="30"/>
      <c r="H1652" s="30"/>
      <c r="I1652" s="30"/>
      <c r="J1652" s="30"/>
      <c r="K1652" s="30"/>
    </row>
    <row r="1653" spans="1:11" ht="15">
      <c r="A1653" s="30"/>
      <c r="B1653" s="30"/>
      <c r="C1653" s="30"/>
      <c r="D1653" s="30"/>
      <c r="E1653" s="30"/>
      <c r="F1653" s="30"/>
      <c r="G1653" s="30"/>
      <c r="H1653" s="30"/>
      <c r="I1653" s="30"/>
      <c r="J1653" s="30"/>
      <c r="K1653" s="30"/>
    </row>
    <row r="1654" spans="1:11" ht="15">
      <c r="A1654" s="30"/>
      <c r="B1654" s="30"/>
      <c r="C1654" s="30"/>
      <c r="D1654" s="30"/>
      <c r="E1654" s="30"/>
      <c r="F1654" s="30"/>
      <c r="G1654" s="30"/>
      <c r="H1654" s="30"/>
      <c r="I1654" s="30"/>
      <c r="J1654" s="30"/>
      <c r="K1654" s="30"/>
    </row>
    <row r="1655" spans="1:11" ht="15">
      <c r="A1655" s="30"/>
      <c r="B1655" s="30"/>
      <c r="C1655" s="30"/>
      <c r="D1655" s="30"/>
      <c r="E1655" s="30"/>
      <c r="F1655" s="30"/>
      <c r="G1655" s="30"/>
      <c r="H1655" s="30"/>
      <c r="I1655" s="30"/>
      <c r="J1655" s="30"/>
      <c r="K1655" s="30"/>
    </row>
    <row r="1656" spans="1:11" ht="15">
      <c r="A1656" s="30"/>
      <c r="B1656" s="30"/>
      <c r="C1656" s="30"/>
      <c r="D1656" s="30"/>
      <c r="E1656" s="30"/>
      <c r="F1656" s="30"/>
      <c r="G1656" s="30"/>
      <c r="H1656" s="30"/>
      <c r="I1656" s="30"/>
      <c r="J1656" s="30"/>
      <c r="K1656" s="30"/>
    </row>
    <row r="1657" spans="1:11" ht="15">
      <c r="A1657" s="30"/>
      <c r="B1657" s="30"/>
      <c r="C1657" s="30"/>
      <c r="D1657" s="30"/>
      <c r="E1657" s="30"/>
      <c r="F1657" s="30"/>
      <c r="G1657" s="30"/>
      <c r="H1657" s="30"/>
      <c r="I1657" s="30"/>
      <c r="J1657" s="30"/>
      <c r="K1657" s="30"/>
    </row>
    <row r="1658" spans="1:11" ht="15">
      <c r="A1658" s="30"/>
      <c r="B1658" s="30"/>
      <c r="C1658" s="30"/>
      <c r="D1658" s="30"/>
      <c r="E1658" s="30"/>
      <c r="F1658" s="30"/>
      <c r="G1658" s="30"/>
      <c r="H1658" s="30"/>
      <c r="I1658" s="30"/>
      <c r="J1658" s="30"/>
      <c r="K1658" s="30"/>
    </row>
    <row r="1659" spans="1:11" ht="15">
      <c r="A1659" s="30"/>
      <c r="B1659" s="30"/>
      <c r="C1659" s="30"/>
      <c r="D1659" s="30"/>
      <c r="E1659" s="30"/>
      <c r="F1659" s="30"/>
      <c r="G1659" s="30"/>
      <c r="H1659" s="30"/>
      <c r="I1659" s="30"/>
      <c r="J1659" s="30"/>
      <c r="K1659" s="30"/>
    </row>
    <row r="1660" spans="1:11" ht="15">
      <c r="A1660" s="30"/>
      <c r="B1660" s="30"/>
      <c r="C1660" s="30"/>
      <c r="D1660" s="30"/>
      <c r="E1660" s="30"/>
      <c r="F1660" s="30"/>
      <c r="G1660" s="30"/>
      <c r="H1660" s="30"/>
      <c r="I1660" s="30"/>
      <c r="J1660" s="30"/>
      <c r="K1660" s="30"/>
    </row>
    <row r="1661" spans="1:11" ht="15">
      <c r="A1661" s="30"/>
      <c r="B1661" s="30"/>
      <c r="C1661" s="30"/>
      <c r="D1661" s="30"/>
      <c r="E1661" s="30"/>
      <c r="F1661" s="30"/>
      <c r="G1661" s="30"/>
      <c r="H1661" s="30"/>
      <c r="I1661" s="30"/>
      <c r="J1661" s="30"/>
      <c r="K1661" s="30"/>
    </row>
    <row r="1662" spans="1:11" ht="15">
      <c r="A1662" s="30"/>
      <c r="B1662" s="30"/>
      <c r="C1662" s="30"/>
      <c r="D1662" s="30"/>
      <c r="E1662" s="30"/>
      <c r="F1662" s="30"/>
      <c r="G1662" s="30"/>
      <c r="H1662" s="30"/>
      <c r="I1662" s="30"/>
      <c r="J1662" s="30"/>
      <c r="K1662" s="30"/>
    </row>
    <row r="1663" spans="1:11" ht="15">
      <c r="A1663" s="30"/>
      <c r="B1663" s="30"/>
      <c r="C1663" s="30"/>
      <c r="D1663" s="30"/>
      <c r="E1663" s="30"/>
      <c r="F1663" s="30"/>
      <c r="G1663" s="30"/>
      <c r="H1663" s="30"/>
      <c r="I1663" s="30"/>
      <c r="J1663" s="30"/>
      <c r="K1663" s="30"/>
    </row>
    <row r="1664" spans="1:11" ht="15">
      <c r="A1664" s="30"/>
      <c r="B1664" s="30"/>
      <c r="C1664" s="30"/>
      <c r="D1664" s="30"/>
      <c r="E1664" s="30"/>
      <c r="F1664" s="30"/>
      <c r="G1664" s="30"/>
      <c r="H1664" s="30"/>
      <c r="I1664" s="30"/>
      <c r="J1664" s="30"/>
      <c r="K1664" s="30"/>
    </row>
    <row r="1665" spans="1:11" ht="15">
      <c r="A1665" s="30"/>
      <c r="B1665" s="30"/>
      <c r="C1665" s="30"/>
      <c r="D1665" s="30"/>
      <c r="E1665" s="30"/>
      <c r="F1665" s="30"/>
      <c r="G1665" s="30"/>
      <c r="H1665" s="30"/>
      <c r="I1665" s="30"/>
      <c r="J1665" s="30"/>
      <c r="K1665" s="30"/>
    </row>
    <row r="1666" spans="1:11" ht="15">
      <c r="A1666" s="30"/>
      <c r="B1666" s="30"/>
      <c r="C1666" s="30"/>
      <c r="D1666" s="30"/>
      <c r="E1666" s="30"/>
      <c r="F1666" s="30"/>
      <c r="G1666" s="30"/>
      <c r="H1666" s="30"/>
      <c r="I1666" s="30"/>
      <c r="J1666" s="30"/>
      <c r="K1666" s="30"/>
    </row>
    <row r="1667" spans="1:11" ht="15">
      <c r="A1667" s="30"/>
      <c r="B1667" s="30"/>
      <c r="C1667" s="30"/>
      <c r="D1667" s="30"/>
      <c r="E1667" s="30"/>
      <c r="F1667" s="30"/>
      <c r="G1667" s="30"/>
      <c r="H1667" s="30"/>
      <c r="I1667" s="30"/>
      <c r="J1667" s="30"/>
      <c r="K1667" s="30"/>
    </row>
    <row r="1668" spans="1:11" ht="15">
      <c r="A1668" s="30"/>
      <c r="B1668" s="30"/>
      <c r="C1668" s="30"/>
      <c r="D1668" s="30"/>
      <c r="E1668" s="30"/>
      <c r="F1668" s="30"/>
      <c r="G1668" s="30"/>
      <c r="H1668" s="30"/>
      <c r="I1668" s="30"/>
      <c r="J1668" s="30"/>
      <c r="K1668" s="30"/>
    </row>
    <row r="1669" spans="1:11" ht="15">
      <c r="A1669" s="30"/>
      <c r="B1669" s="30"/>
      <c r="C1669" s="30"/>
      <c r="D1669" s="30"/>
      <c r="E1669" s="30"/>
      <c r="F1669" s="30"/>
      <c r="G1669" s="30"/>
      <c r="H1669" s="30"/>
      <c r="I1669" s="30"/>
      <c r="J1669" s="30"/>
      <c r="K1669" s="30"/>
    </row>
    <row r="1670" spans="1:11" ht="15">
      <c r="A1670" s="30"/>
      <c r="B1670" s="30"/>
      <c r="C1670" s="30"/>
      <c r="D1670" s="30"/>
      <c r="E1670" s="30"/>
      <c r="F1670" s="30"/>
      <c r="G1670" s="30"/>
      <c r="H1670" s="30"/>
      <c r="I1670" s="30"/>
      <c r="J1670" s="30"/>
      <c r="K1670" s="30"/>
    </row>
    <row r="1671" spans="1:11" ht="15">
      <c r="A1671" s="30"/>
      <c r="B1671" s="30"/>
      <c r="C1671" s="30"/>
      <c r="D1671" s="30"/>
      <c r="E1671" s="30"/>
      <c r="F1671" s="30"/>
      <c r="G1671" s="30"/>
      <c r="H1671" s="30"/>
      <c r="I1671" s="30"/>
      <c r="J1671" s="30"/>
      <c r="K1671" s="30"/>
    </row>
    <row r="1672" spans="1:11" ht="15">
      <c r="A1672" s="30"/>
      <c r="B1672" s="30"/>
      <c r="C1672" s="30"/>
      <c r="D1672" s="30"/>
      <c r="E1672" s="30"/>
      <c r="F1672" s="30"/>
      <c r="G1672" s="30"/>
      <c r="H1672" s="30"/>
      <c r="I1672" s="30"/>
      <c r="J1672" s="30"/>
      <c r="K1672" s="30"/>
    </row>
    <row r="1673" spans="1:11" ht="15">
      <c r="A1673" s="30"/>
      <c r="B1673" s="30"/>
      <c r="C1673" s="30"/>
      <c r="D1673" s="30"/>
      <c r="E1673" s="30"/>
      <c r="F1673" s="30"/>
      <c r="G1673" s="30"/>
      <c r="H1673" s="30"/>
      <c r="I1673" s="30"/>
      <c r="J1673" s="30"/>
      <c r="K1673" s="30"/>
    </row>
    <row r="1674" spans="1:11" ht="15">
      <c r="A1674" s="30"/>
      <c r="B1674" s="30"/>
      <c r="C1674" s="30"/>
      <c r="D1674" s="30"/>
      <c r="E1674" s="30"/>
      <c r="F1674" s="30"/>
      <c r="G1674" s="30"/>
      <c r="H1674" s="30"/>
      <c r="I1674" s="30"/>
      <c r="J1674" s="30"/>
      <c r="K1674" s="30"/>
    </row>
    <row r="1675" spans="1:11" ht="15">
      <c r="A1675" s="30"/>
      <c r="B1675" s="30"/>
      <c r="C1675" s="30"/>
      <c r="D1675" s="30"/>
      <c r="E1675" s="30"/>
      <c r="F1675" s="30"/>
      <c r="G1675" s="30"/>
      <c r="H1675" s="30"/>
      <c r="I1675" s="30"/>
      <c r="J1675" s="30"/>
      <c r="K1675" s="30"/>
    </row>
    <row r="1676" spans="1:11" ht="15">
      <c r="A1676" s="30"/>
      <c r="B1676" s="30"/>
      <c r="C1676" s="30"/>
      <c r="D1676" s="30"/>
      <c r="E1676" s="30"/>
      <c r="F1676" s="30"/>
      <c r="G1676" s="30"/>
      <c r="H1676" s="30"/>
      <c r="I1676" s="30"/>
      <c r="J1676" s="30"/>
      <c r="K1676" s="30"/>
    </row>
    <row r="1677" spans="1:11" ht="15">
      <c r="A1677" s="30"/>
      <c r="B1677" s="30"/>
      <c r="C1677" s="30"/>
      <c r="D1677" s="30"/>
      <c r="E1677" s="30"/>
      <c r="F1677" s="30"/>
      <c r="G1677" s="30"/>
      <c r="H1677" s="30"/>
      <c r="I1677" s="30"/>
      <c r="J1677" s="30"/>
      <c r="K1677" s="30"/>
    </row>
    <row r="1678" spans="1:11" ht="15">
      <c r="A1678" s="30"/>
      <c r="B1678" s="30"/>
      <c r="C1678" s="30"/>
      <c r="D1678" s="30"/>
      <c r="E1678" s="30"/>
      <c r="F1678" s="30"/>
      <c r="G1678" s="30"/>
      <c r="H1678" s="30"/>
      <c r="I1678" s="30"/>
      <c r="J1678" s="30"/>
      <c r="K1678" s="30"/>
    </row>
    <row r="1679" spans="1:11" ht="15">
      <c r="A1679" s="30"/>
      <c r="B1679" s="30"/>
      <c r="C1679" s="30"/>
      <c r="D1679" s="30"/>
      <c r="E1679" s="30"/>
      <c r="F1679" s="30"/>
      <c r="G1679" s="30"/>
      <c r="H1679" s="30"/>
      <c r="I1679" s="30"/>
      <c r="J1679" s="30"/>
      <c r="K1679" s="30"/>
    </row>
    <row r="1680" spans="1:11" ht="15">
      <c r="A1680" s="30"/>
      <c r="B1680" s="30"/>
      <c r="C1680" s="30"/>
      <c r="D1680" s="30"/>
      <c r="E1680" s="30"/>
      <c r="F1680" s="30"/>
      <c r="G1680" s="30"/>
      <c r="H1680" s="30"/>
      <c r="I1680" s="30"/>
      <c r="J1680" s="30"/>
      <c r="K1680" s="30"/>
    </row>
    <row r="1681" spans="1:11" ht="15">
      <c r="A1681" s="30"/>
      <c r="B1681" s="30"/>
      <c r="C1681" s="30"/>
      <c r="D1681" s="30"/>
      <c r="E1681" s="30"/>
      <c r="F1681" s="30"/>
      <c r="G1681" s="30"/>
      <c r="H1681" s="30"/>
      <c r="I1681" s="30"/>
      <c r="J1681" s="30"/>
      <c r="K1681" s="30"/>
    </row>
    <row r="1682" spans="1:11" ht="15">
      <c r="A1682" s="30"/>
      <c r="B1682" s="30"/>
      <c r="C1682" s="30"/>
      <c r="D1682" s="30"/>
      <c r="E1682" s="30"/>
      <c r="F1682" s="30"/>
      <c r="G1682" s="30"/>
      <c r="H1682" s="30"/>
      <c r="I1682" s="30"/>
      <c r="J1682" s="30"/>
      <c r="K1682" s="30"/>
    </row>
    <row r="1683" spans="1:11" ht="15">
      <c r="A1683" s="30"/>
      <c r="B1683" s="30"/>
      <c r="C1683" s="30"/>
      <c r="D1683" s="30"/>
      <c r="E1683" s="30"/>
      <c r="F1683" s="30"/>
      <c r="G1683" s="30"/>
      <c r="H1683" s="30"/>
      <c r="I1683" s="30"/>
      <c r="J1683" s="30"/>
      <c r="K1683" s="30"/>
    </row>
    <row r="1684" spans="1:11" ht="15">
      <c r="A1684" s="30"/>
      <c r="B1684" s="30"/>
      <c r="C1684" s="30"/>
      <c r="D1684" s="30"/>
      <c r="E1684" s="30"/>
      <c r="F1684" s="30"/>
      <c r="G1684" s="30"/>
      <c r="H1684" s="30"/>
      <c r="I1684" s="30"/>
      <c r="J1684" s="30"/>
      <c r="K1684" s="30"/>
    </row>
    <row r="1685" spans="1:11" ht="15">
      <c r="A1685" s="30"/>
      <c r="B1685" s="30"/>
      <c r="C1685" s="30"/>
      <c r="D1685" s="30"/>
      <c r="E1685" s="30"/>
      <c r="F1685" s="30"/>
      <c r="G1685" s="30"/>
      <c r="H1685" s="30"/>
      <c r="I1685" s="30"/>
      <c r="J1685" s="30"/>
      <c r="K1685" s="30"/>
    </row>
    <row r="1686" spans="1:11" ht="15">
      <c r="A1686" s="30"/>
      <c r="B1686" s="30"/>
      <c r="C1686" s="30"/>
      <c r="D1686" s="30"/>
      <c r="E1686" s="30"/>
      <c r="F1686" s="30"/>
      <c r="G1686" s="30"/>
      <c r="H1686" s="30"/>
      <c r="I1686" s="30"/>
      <c r="J1686" s="30"/>
      <c r="K1686" s="30"/>
    </row>
    <row r="1687" spans="1:11" ht="15">
      <c r="A1687" s="30"/>
      <c r="B1687" s="30"/>
      <c r="C1687" s="30"/>
      <c r="D1687" s="30"/>
      <c r="E1687" s="30"/>
      <c r="F1687" s="30"/>
      <c r="G1687" s="30"/>
      <c r="H1687" s="30"/>
      <c r="I1687" s="30"/>
      <c r="J1687" s="30"/>
      <c r="K1687" s="30"/>
    </row>
    <row r="1688" spans="1:11" ht="15">
      <c r="A1688" s="30"/>
      <c r="B1688" s="30"/>
      <c r="C1688" s="30"/>
      <c r="D1688" s="30"/>
      <c r="E1688" s="30"/>
      <c r="F1688" s="30"/>
      <c r="G1688" s="30"/>
      <c r="H1688" s="30"/>
      <c r="I1688" s="30"/>
      <c r="J1688" s="30"/>
      <c r="K1688" s="30"/>
    </row>
    <row r="1689" spans="1:11" ht="15">
      <c r="A1689" s="30"/>
      <c r="B1689" s="30"/>
      <c r="C1689" s="30"/>
      <c r="D1689" s="30"/>
      <c r="E1689" s="30"/>
      <c r="F1689" s="30"/>
      <c r="G1689" s="30"/>
      <c r="H1689" s="30"/>
      <c r="I1689" s="30"/>
      <c r="J1689" s="30"/>
      <c r="K1689" s="30"/>
    </row>
    <row r="1690" spans="1:11" ht="15">
      <c r="A1690" s="30"/>
      <c r="B1690" s="30"/>
      <c r="C1690" s="30"/>
      <c r="D1690" s="30"/>
      <c r="E1690" s="30"/>
      <c r="F1690" s="30"/>
      <c r="G1690" s="30"/>
      <c r="H1690" s="30"/>
      <c r="I1690" s="30"/>
      <c r="J1690" s="30"/>
      <c r="K1690" s="30"/>
    </row>
    <row r="1691" spans="1:11" ht="15">
      <c r="A1691" s="30"/>
      <c r="B1691" s="30"/>
      <c r="C1691" s="30"/>
      <c r="D1691" s="30"/>
      <c r="E1691" s="30"/>
      <c r="F1691" s="30"/>
      <c r="G1691" s="30"/>
      <c r="H1691" s="30"/>
      <c r="I1691" s="30"/>
      <c r="J1691" s="30"/>
      <c r="K1691" s="30"/>
    </row>
    <row r="1692" spans="1:11" ht="15">
      <c r="A1692" s="30"/>
      <c r="B1692" s="30"/>
      <c r="C1692" s="30"/>
      <c r="D1692" s="30"/>
      <c r="E1692" s="30"/>
      <c r="F1692" s="30"/>
      <c r="G1692" s="30"/>
      <c r="H1692" s="30"/>
      <c r="I1692" s="30"/>
      <c r="J1692" s="30"/>
      <c r="K1692" s="30"/>
    </row>
    <row r="1693" spans="1:11" ht="15">
      <c r="A1693" s="30"/>
      <c r="B1693" s="30"/>
      <c r="C1693" s="30"/>
      <c r="D1693" s="30"/>
      <c r="E1693" s="30"/>
      <c r="F1693" s="30"/>
      <c r="G1693" s="30"/>
      <c r="H1693" s="30"/>
      <c r="I1693" s="30"/>
      <c r="J1693" s="30"/>
      <c r="K1693" s="30"/>
    </row>
    <row r="1694" spans="1:11" ht="15">
      <c r="A1694" s="30"/>
      <c r="B1694" s="30"/>
      <c r="C1694" s="30"/>
      <c r="D1694" s="30"/>
      <c r="E1694" s="30"/>
      <c r="F1694" s="30"/>
      <c r="G1694" s="30"/>
      <c r="H1694" s="30"/>
      <c r="I1694" s="30"/>
      <c r="J1694" s="30"/>
      <c r="K1694" s="30"/>
    </row>
    <row r="1695" spans="1:11" ht="15">
      <c r="A1695" s="30"/>
      <c r="B1695" s="30"/>
      <c r="C1695" s="30"/>
      <c r="D1695" s="30"/>
      <c r="E1695" s="30"/>
      <c r="F1695" s="30"/>
      <c r="G1695" s="30"/>
      <c r="H1695" s="30"/>
      <c r="I1695" s="30"/>
      <c r="J1695" s="30"/>
      <c r="K1695" s="30"/>
    </row>
    <row r="1696" spans="1:11" ht="15">
      <c r="A1696" s="30"/>
      <c r="B1696" s="30"/>
      <c r="C1696" s="30"/>
      <c r="D1696" s="30"/>
      <c r="E1696" s="30"/>
      <c r="F1696" s="30"/>
      <c r="G1696" s="30"/>
      <c r="H1696" s="30"/>
      <c r="I1696" s="30"/>
      <c r="J1696" s="30"/>
      <c r="K1696" s="30"/>
    </row>
    <row r="1697" spans="1:11" ht="15">
      <c r="A1697" s="30"/>
      <c r="B1697" s="30"/>
      <c r="C1697" s="30"/>
      <c r="D1697" s="30"/>
      <c r="E1697" s="30"/>
      <c r="F1697" s="30"/>
      <c r="G1697" s="30"/>
      <c r="H1697" s="30"/>
      <c r="I1697" s="30"/>
      <c r="J1697" s="30"/>
      <c r="K1697" s="30"/>
    </row>
    <row r="1698" spans="1:11" ht="15">
      <c r="A1698" s="30"/>
      <c r="B1698" s="30"/>
      <c r="C1698" s="30"/>
      <c r="D1698" s="30"/>
      <c r="E1698" s="30"/>
      <c r="F1698" s="30"/>
      <c r="G1698" s="30"/>
      <c r="H1698" s="30"/>
      <c r="I1698" s="30"/>
      <c r="J1698" s="30"/>
      <c r="K1698" s="30"/>
    </row>
    <row r="1699" spans="1:11" ht="15">
      <c r="A1699" s="30"/>
      <c r="B1699" s="30"/>
      <c r="C1699" s="30"/>
      <c r="D1699" s="30"/>
      <c r="E1699" s="30"/>
      <c r="F1699" s="30"/>
      <c r="G1699" s="30"/>
      <c r="H1699" s="30"/>
      <c r="I1699" s="30"/>
      <c r="J1699" s="30"/>
      <c r="K1699" s="30"/>
    </row>
    <row r="1700" spans="1:11" ht="15">
      <c r="A1700" s="30"/>
      <c r="B1700" s="30"/>
      <c r="C1700" s="30"/>
      <c r="D1700" s="30"/>
      <c r="E1700" s="30"/>
      <c r="F1700" s="30"/>
      <c r="G1700" s="30"/>
      <c r="H1700" s="30"/>
      <c r="I1700" s="30"/>
      <c r="J1700" s="30"/>
      <c r="K1700" s="30"/>
    </row>
    <row r="1701" spans="1:11" ht="15">
      <c r="A1701" s="30"/>
      <c r="B1701" s="30"/>
      <c r="C1701" s="30"/>
      <c r="D1701" s="30"/>
      <c r="E1701" s="30"/>
      <c r="F1701" s="30"/>
      <c r="G1701" s="30"/>
      <c r="H1701" s="30"/>
      <c r="I1701" s="30"/>
      <c r="J1701" s="30"/>
      <c r="K1701" s="30"/>
    </row>
    <row r="1702" spans="1:11" ht="15">
      <c r="A1702" s="30"/>
      <c r="B1702" s="30"/>
      <c r="C1702" s="30"/>
      <c r="D1702" s="30"/>
      <c r="E1702" s="30"/>
      <c r="F1702" s="30"/>
      <c r="G1702" s="30"/>
      <c r="H1702" s="30"/>
      <c r="I1702" s="30"/>
      <c r="J1702" s="30"/>
      <c r="K1702" s="30"/>
    </row>
    <row r="1703" spans="1:11" ht="15">
      <c r="A1703" s="30"/>
      <c r="B1703" s="30"/>
      <c r="C1703" s="30"/>
      <c r="D1703" s="30"/>
      <c r="E1703" s="30"/>
      <c r="F1703" s="30"/>
      <c r="G1703" s="30"/>
      <c r="H1703" s="30"/>
      <c r="I1703" s="30"/>
      <c r="J1703" s="30"/>
      <c r="K1703" s="30"/>
    </row>
    <row r="1704" spans="1:11" ht="15">
      <c r="A1704" s="30"/>
      <c r="B1704" s="30"/>
      <c r="C1704" s="30"/>
      <c r="D1704" s="30"/>
      <c r="E1704" s="30"/>
      <c r="F1704" s="30"/>
      <c r="G1704" s="30"/>
      <c r="H1704" s="30"/>
      <c r="I1704" s="30"/>
      <c r="J1704" s="30"/>
      <c r="K1704" s="30"/>
    </row>
    <row r="1705" spans="1:11" ht="15">
      <c r="A1705" s="30"/>
      <c r="B1705" s="30"/>
      <c r="C1705" s="30"/>
      <c r="D1705" s="30"/>
      <c r="E1705" s="30"/>
      <c r="F1705" s="30"/>
      <c r="G1705" s="30"/>
      <c r="H1705" s="30"/>
      <c r="I1705" s="30"/>
      <c r="J1705" s="30"/>
      <c r="K1705" s="30"/>
    </row>
    <row r="1706" spans="1:11" ht="15">
      <c r="A1706" s="30"/>
      <c r="B1706" s="30"/>
      <c r="C1706" s="30"/>
      <c r="D1706" s="30"/>
      <c r="E1706" s="30"/>
      <c r="F1706" s="30"/>
      <c r="G1706" s="30"/>
      <c r="H1706" s="30"/>
      <c r="I1706" s="30"/>
      <c r="J1706" s="30"/>
      <c r="K1706" s="30"/>
    </row>
    <row r="1707" spans="1:11" ht="15">
      <c r="A1707" s="30"/>
      <c r="B1707" s="30"/>
      <c r="C1707" s="30"/>
      <c r="D1707" s="30"/>
      <c r="E1707" s="30"/>
      <c r="F1707" s="30"/>
      <c r="G1707" s="30"/>
      <c r="H1707" s="30"/>
      <c r="I1707" s="30"/>
      <c r="J1707" s="30"/>
      <c r="K1707" s="30"/>
    </row>
    <row r="1708" spans="1:11" ht="15">
      <c r="A1708" s="30"/>
      <c r="B1708" s="30"/>
      <c r="C1708" s="30"/>
      <c r="D1708" s="30"/>
      <c r="E1708" s="30"/>
      <c r="F1708" s="30"/>
      <c r="G1708" s="30"/>
      <c r="H1708" s="30"/>
      <c r="I1708" s="30"/>
      <c r="J1708" s="30"/>
      <c r="K1708" s="30"/>
    </row>
    <row r="1709" spans="1:11" ht="15">
      <c r="A1709" s="30"/>
      <c r="B1709" s="30"/>
      <c r="C1709" s="30"/>
      <c r="D1709" s="30"/>
      <c r="E1709" s="30"/>
      <c r="F1709" s="30"/>
      <c r="G1709" s="30"/>
      <c r="H1709" s="30"/>
      <c r="I1709" s="30"/>
      <c r="J1709" s="30"/>
      <c r="K1709" s="30"/>
    </row>
    <row r="1710" spans="1:11" ht="15">
      <c r="A1710" s="30"/>
      <c r="B1710" s="30"/>
      <c r="C1710" s="30"/>
      <c r="D1710" s="30"/>
      <c r="E1710" s="30"/>
      <c r="F1710" s="30"/>
      <c r="G1710" s="30"/>
      <c r="H1710" s="30"/>
      <c r="I1710" s="30"/>
      <c r="J1710" s="30"/>
      <c r="K1710" s="30"/>
    </row>
    <row r="1711" spans="1:11" ht="15">
      <c r="A1711" s="30"/>
      <c r="B1711" s="30"/>
      <c r="C1711" s="30"/>
      <c r="D1711" s="30"/>
      <c r="E1711" s="30"/>
      <c r="F1711" s="30"/>
      <c r="G1711" s="30"/>
      <c r="H1711" s="30"/>
      <c r="I1711" s="30"/>
      <c r="J1711" s="30"/>
      <c r="K1711" s="30"/>
    </row>
    <row r="1712" spans="1:11" ht="15">
      <c r="A1712" s="30"/>
      <c r="B1712" s="30"/>
      <c r="C1712" s="30"/>
      <c r="D1712" s="30"/>
      <c r="E1712" s="30"/>
      <c r="F1712" s="30"/>
      <c r="G1712" s="30"/>
      <c r="H1712" s="30"/>
      <c r="I1712" s="30"/>
      <c r="J1712" s="30"/>
      <c r="K1712" s="30"/>
    </row>
    <row r="1713" spans="1:11" ht="15">
      <c r="A1713" s="30"/>
      <c r="B1713" s="30"/>
      <c r="C1713" s="30"/>
      <c r="D1713" s="30"/>
      <c r="E1713" s="30"/>
      <c r="F1713" s="30"/>
      <c r="G1713" s="30"/>
      <c r="H1713" s="30"/>
      <c r="I1713" s="30"/>
      <c r="J1713" s="30"/>
      <c r="K1713" s="30"/>
    </row>
    <row r="1714" spans="1:11" ht="15">
      <c r="A1714" s="30"/>
      <c r="B1714" s="30"/>
      <c r="C1714" s="30"/>
      <c r="D1714" s="30"/>
      <c r="E1714" s="30"/>
      <c r="F1714" s="30"/>
      <c r="G1714" s="30"/>
      <c r="H1714" s="30"/>
      <c r="I1714" s="30"/>
      <c r="J1714" s="30"/>
      <c r="K1714" s="30"/>
    </row>
    <row r="1715" spans="1:11" ht="15">
      <c r="A1715" s="30"/>
      <c r="B1715" s="30"/>
      <c r="C1715" s="30"/>
      <c r="D1715" s="30"/>
      <c r="E1715" s="30"/>
      <c r="F1715" s="30"/>
      <c r="G1715" s="30"/>
      <c r="H1715" s="30"/>
      <c r="I1715" s="30"/>
      <c r="J1715" s="30"/>
      <c r="K1715" s="30"/>
    </row>
    <row r="1716" spans="1:11" ht="15">
      <c r="A1716" s="30"/>
      <c r="B1716" s="30"/>
      <c r="C1716" s="30"/>
      <c r="D1716" s="30"/>
      <c r="E1716" s="30"/>
      <c r="F1716" s="30"/>
      <c r="G1716" s="30"/>
      <c r="H1716" s="30"/>
      <c r="I1716" s="30"/>
      <c r="J1716" s="30"/>
      <c r="K1716" s="30"/>
    </row>
    <row r="1717" spans="1:11" ht="15">
      <c r="A1717" s="30"/>
      <c r="B1717" s="30"/>
      <c r="C1717" s="30"/>
      <c r="D1717" s="30"/>
      <c r="E1717" s="30"/>
      <c r="F1717" s="30"/>
      <c r="G1717" s="30"/>
      <c r="H1717" s="30"/>
      <c r="I1717" s="30"/>
      <c r="J1717" s="30"/>
      <c r="K1717" s="30"/>
    </row>
    <row r="1718" spans="1:11" ht="15">
      <c r="A1718" s="30"/>
      <c r="B1718" s="30"/>
      <c r="C1718" s="30"/>
      <c r="D1718" s="30"/>
      <c r="E1718" s="30"/>
      <c r="F1718" s="30"/>
      <c r="G1718" s="30"/>
      <c r="H1718" s="30"/>
      <c r="I1718" s="30"/>
      <c r="J1718" s="30"/>
      <c r="K1718" s="30"/>
    </row>
    <row r="1719" spans="1:11" ht="15">
      <c r="A1719" s="30"/>
      <c r="B1719" s="30"/>
      <c r="C1719" s="30"/>
      <c r="D1719" s="30"/>
      <c r="E1719" s="30"/>
      <c r="F1719" s="30"/>
      <c r="G1719" s="30"/>
      <c r="H1719" s="30"/>
      <c r="I1719" s="30"/>
      <c r="J1719" s="30"/>
      <c r="K1719" s="30"/>
    </row>
    <row r="1720" spans="1:11" ht="15">
      <c r="A1720" s="30"/>
      <c r="B1720" s="30"/>
      <c r="C1720" s="30"/>
      <c r="D1720" s="30"/>
      <c r="E1720" s="30"/>
      <c r="F1720" s="30"/>
      <c r="G1720" s="30"/>
      <c r="H1720" s="30"/>
      <c r="I1720" s="30"/>
      <c r="J1720" s="30"/>
      <c r="K1720" s="30"/>
    </row>
    <row r="1721" spans="1:11" ht="15">
      <c r="A1721" s="30"/>
      <c r="B1721" s="30"/>
      <c r="C1721" s="30"/>
      <c r="D1721" s="30"/>
      <c r="E1721" s="30"/>
      <c r="F1721" s="30"/>
      <c r="G1721" s="30"/>
      <c r="H1721" s="30"/>
      <c r="I1721" s="30"/>
      <c r="J1721" s="30"/>
      <c r="K1721" s="30"/>
    </row>
    <row r="1722" spans="1:11" ht="15">
      <c r="A1722" s="30"/>
      <c r="B1722" s="30"/>
      <c r="C1722" s="30"/>
      <c r="D1722" s="30"/>
      <c r="E1722" s="30"/>
      <c r="F1722" s="30"/>
      <c r="G1722" s="30"/>
      <c r="H1722" s="30"/>
      <c r="I1722" s="30"/>
      <c r="J1722" s="30"/>
      <c r="K1722" s="30"/>
    </row>
    <row r="1723" spans="1:11" ht="15">
      <c r="A1723" s="30"/>
      <c r="B1723" s="30"/>
      <c r="C1723" s="30"/>
      <c r="D1723" s="30"/>
      <c r="E1723" s="30"/>
      <c r="F1723" s="30"/>
      <c r="G1723" s="30"/>
      <c r="H1723" s="30"/>
      <c r="I1723" s="30"/>
      <c r="J1723" s="30"/>
      <c r="K1723" s="30"/>
    </row>
    <row r="1724" spans="1:11" ht="15">
      <c r="A1724" s="30"/>
      <c r="B1724" s="30"/>
      <c r="C1724" s="30"/>
      <c r="D1724" s="30"/>
      <c r="E1724" s="30"/>
      <c r="F1724" s="30"/>
      <c r="G1724" s="30"/>
      <c r="H1724" s="30"/>
      <c r="I1724" s="30"/>
      <c r="J1724" s="30"/>
      <c r="K1724" s="30"/>
    </row>
    <row r="1725" spans="1:11" ht="15">
      <c r="A1725" s="30"/>
      <c r="B1725" s="30"/>
      <c r="C1725" s="30"/>
      <c r="D1725" s="30"/>
      <c r="E1725" s="30"/>
      <c r="F1725" s="30"/>
      <c r="G1725" s="30"/>
      <c r="H1725" s="30"/>
      <c r="I1725" s="30"/>
      <c r="J1725" s="30"/>
      <c r="K1725" s="30"/>
    </row>
    <row r="1726" spans="1:11" ht="15">
      <c r="A1726" s="30"/>
      <c r="B1726" s="30"/>
      <c r="C1726" s="30"/>
      <c r="D1726" s="30"/>
      <c r="E1726" s="30"/>
      <c r="F1726" s="30"/>
      <c r="G1726" s="30"/>
      <c r="H1726" s="30"/>
      <c r="I1726" s="30"/>
      <c r="J1726" s="30"/>
      <c r="K1726" s="30"/>
    </row>
    <row r="1727" spans="1:11" ht="15">
      <c r="A1727" s="30"/>
      <c r="B1727" s="30"/>
      <c r="C1727" s="30"/>
      <c r="D1727" s="30"/>
      <c r="E1727" s="30"/>
      <c r="F1727" s="30"/>
      <c r="G1727" s="30"/>
      <c r="H1727" s="30"/>
      <c r="I1727" s="30"/>
      <c r="J1727" s="30"/>
      <c r="K1727" s="30"/>
    </row>
    <row r="1728" spans="1:11" ht="15">
      <c r="A1728" s="30"/>
      <c r="B1728" s="30"/>
      <c r="C1728" s="30"/>
      <c r="D1728" s="30"/>
      <c r="E1728" s="30"/>
      <c r="F1728" s="30"/>
      <c r="G1728" s="30"/>
      <c r="H1728" s="30"/>
      <c r="I1728" s="30"/>
      <c r="J1728" s="30"/>
      <c r="K1728" s="30"/>
    </row>
    <row r="1729" spans="1:11" ht="15">
      <c r="A1729" s="30"/>
      <c r="B1729" s="30"/>
      <c r="C1729" s="30"/>
      <c r="D1729" s="30"/>
      <c r="E1729" s="30"/>
      <c r="F1729" s="30"/>
      <c r="G1729" s="30"/>
      <c r="H1729" s="30"/>
      <c r="I1729" s="30"/>
      <c r="J1729" s="30"/>
      <c r="K1729" s="30"/>
    </row>
    <row r="1730" spans="1:11" ht="15">
      <c r="A1730" s="30"/>
      <c r="B1730" s="30"/>
      <c r="C1730" s="30"/>
      <c r="D1730" s="30"/>
      <c r="E1730" s="30"/>
      <c r="F1730" s="30"/>
      <c r="G1730" s="30"/>
      <c r="H1730" s="30"/>
      <c r="I1730" s="30"/>
      <c r="J1730" s="30"/>
      <c r="K1730" s="30"/>
    </row>
    <row r="1731" spans="1:11" ht="15">
      <c r="A1731" s="30"/>
      <c r="B1731" s="30"/>
      <c r="C1731" s="30"/>
      <c r="D1731" s="30"/>
      <c r="E1731" s="30"/>
      <c r="F1731" s="30"/>
      <c r="G1731" s="30"/>
      <c r="H1731" s="30"/>
      <c r="I1731" s="30"/>
      <c r="J1731" s="30"/>
      <c r="K1731" s="30"/>
    </row>
    <row r="1732" spans="1:11" ht="15">
      <c r="A1732" s="30"/>
      <c r="B1732" s="30"/>
      <c r="C1732" s="30"/>
      <c r="D1732" s="30"/>
      <c r="E1732" s="30"/>
      <c r="F1732" s="30"/>
      <c r="G1732" s="30"/>
      <c r="H1732" s="30"/>
      <c r="I1732" s="30"/>
      <c r="J1732" s="30"/>
      <c r="K1732" s="30"/>
    </row>
    <row r="1733" spans="1:11" ht="15">
      <c r="A1733" s="30"/>
      <c r="B1733" s="30"/>
      <c r="C1733" s="30"/>
      <c r="D1733" s="30"/>
      <c r="E1733" s="30"/>
      <c r="F1733" s="30"/>
      <c r="G1733" s="30"/>
      <c r="H1733" s="30"/>
      <c r="I1733" s="30"/>
      <c r="J1733" s="30"/>
      <c r="K1733" s="30"/>
    </row>
    <row r="1734" spans="1:11" ht="15">
      <c r="A1734" s="30"/>
      <c r="B1734" s="30"/>
      <c r="C1734" s="30"/>
      <c r="D1734" s="30"/>
      <c r="E1734" s="30"/>
      <c r="F1734" s="30"/>
      <c r="G1734" s="30"/>
      <c r="H1734" s="30"/>
      <c r="I1734" s="30"/>
      <c r="J1734" s="30"/>
      <c r="K1734" s="30"/>
    </row>
    <row r="1735" spans="1:11" ht="15">
      <c r="A1735" s="30"/>
      <c r="B1735" s="30"/>
      <c r="C1735" s="30"/>
      <c r="D1735" s="30"/>
      <c r="E1735" s="30"/>
      <c r="F1735" s="30"/>
      <c r="G1735" s="30"/>
      <c r="H1735" s="30"/>
      <c r="I1735" s="30"/>
      <c r="J1735" s="30"/>
      <c r="K1735" s="30"/>
    </row>
    <row r="1736" spans="1:11" ht="15">
      <c r="A1736" s="30"/>
      <c r="B1736" s="30"/>
      <c r="C1736" s="30"/>
      <c r="D1736" s="30"/>
      <c r="E1736" s="30"/>
      <c r="F1736" s="30"/>
      <c r="G1736" s="30"/>
      <c r="H1736" s="30"/>
      <c r="I1736" s="30"/>
      <c r="J1736" s="30"/>
      <c r="K1736" s="30"/>
    </row>
    <row r="1737" spans="1:11" ht="15">
      <c r="A1737" s="30"/>
      <c r="B1737" s="30"/>
      <c r="C1737" s="30"/>
      <c r="D1737" s="30"/>
      <c r="E1737" s="30"/>
      <c r="F1737" s="30"/>
      <c r="G1737" s="30"/>
      <c r="H1737" s="30"/>
      <c r="I1737" s="30"/>
      <c r="J1737" s="30"/>
      <c r="K1737" s="30"/>
    </row>
    <row r="1738" spans="1:11" ht="15">
      <c r="A1738" s="30"/>
      <c r="B1738" s="30"/>
      <c r="C1738" s="30"/>
      <c r="D1738" s="30"/>
      <c r="E1738" s="30"/>
      <c r="F1738" s="30"/>
      <c r="G1738" s="30"/>
      <c r="H1738" s="30"/>
      <c r="I1738" s="30"/>
      <c r="J1738" s="30"/>
      <c r="K1738" s="30"/>
    </row>
    <row r="1739" spans="1:11" ht="15">
      <c r="A1739" s="30"/>
      <c r="B1739" s="30"/>
      <c r="C1739" s="30"/>
      <c r="D1739" s="30"/>
      <c r="E1739" s="30"/>
      <c r="F1739" s="30"/>
      <c r="G1739" s="30"/>
      <c r="H1739" s="30"/>
      <c r="I1739" s="30"/>
      <c r="J1739" s="30"/>
      <c r="K1739" s="30"/>
    </row>
    <row r="1740" spans="1:11" ht="15">
      <c r="A1740" s="30"/>
      <c r="B1740" s="30"/>
      <c r="C1740" s="30"/>
      <c r="D1740" s="30"/>
      <c r="E1740" s="30"/>
      <c r="F1740" s="30"/>
      <c r="G1740" s="30"/>
      <c r="H1740" s="30"/>
      <c r="I1740" s="30"/>
      <c r="J1740" s="30"/>
      <c r="K1740" s="30"/>
    </row>
    <row r="1741" spans="1:11" ht="15">
      <c r="A1741" s="30"/>
      <c r="B1741" s="30"/>
      <c r="C1741" s="30"/>
      <c r="D1741" s="30"/>
      <c r="E1741" s="30"/>
      <c r="F1741" s="30"/>
      <c r="G1741" s="30"/>
      <c r="H1741" s="30"/>
      <c r="I1741" s="30"/>
      <c r="J1741" s="30"/>
      <c r="K1741" s="30"/>
    </row>
    <row r="1742" spans="1:11" ht="15">
      <c r="A1742" s="30"/>
      <c r="B1742" s="30"/>
      <c r="C1742" s="30"/>
      <c r="D1742" s="30"/>
      <c r="E1742" s="30"/>
      <c r="F1742" s="30"/>
      <c r="G1742" s="30"/>
      <c r="H1742" s="30"/>
      <c r="I1742" s="30"/>
      <c r="J1742" s="30"/>
      <c r="K1742" s="30"/>
    </row>
    <row r="1743" spans="1:11" ht="15">
      <c r="A1743" s="30"/>
      <c r="B1743" s="30"/>
      <c r="C1743" s="30"/>
      <c r="D1743" s="30"/>
      <c r="E1743" s="30"/>
      <c r="F1743" s="30"/>
      <c r="G1743" s="30"/>
      <c r="H1743" s="30"/>
      <c r="I1743" s="30"/>
      <c r="J1743" s="30"/>
      <c r="K1743" s="30"/>
    </row>
    <row r="1744" spans="1:11" ht="15">
      <c r="A1744" s="30"/>
      <c r="B1744" s="30"/>
      <c r="C1744" s="30"/>
      <c r="D1744" s="30"/>
      <c r="E1744" s="30"/>
      <c r="F1744" s="30"/>
      <c r="G1744" s="30"/>
      <c r="H1744" s="30"/>
      <c r="I1744" s="30"/>
      <c r="J1744" s="30"/>
      <c r="K1744" s="30"/>
    </row>
    <row r="1745" spans="1:11" ht="15">
      <c r="A1745" s="30"/>
      <c r="B1745" s="30"/>
      <c r="C1745" s="30"/>
      <c r="D1745" s="30"/>
      <c r="E1745" s="30"/>
      <c r="F1745" s="30"/>
      <c r="G1745" s="30"/>
      <c r="H1745" s="30"/>
      <c r="I1745" s="30"/>
      <c r="J1745" s="30"/>
      <c r="K1745" s="30"/>
    </row>
    <row r="1746" spans="1:11" ht="15">
      <c r="A1746" s="30"/>
      <c r="B1746" s="30"/>
      <c r="C1746" s="30"/>
      <c r="D1746" s="30"/>
      <c r="E1746" s="30"/>
      <c r="F1746" s="30"/>
      <c r="G1746" s="30"/>
      <c r="H1746" s="30"/>
      <c r="I1746" s="30"/>
      <c r="J1746" s="30"/>
      <c r="K1746" s="30"/>
    </row>
    <row r="1747" spans="1:11" ht="15">
      <c r="A1747" s="30"/>
      <c r="B1747" s="30"/>
      <c r="C1747" s="30"/>
      <c r="D1747" s="30"/>
      <c r="E1747" s="30"/>
      <c r="F1747" s="30"/>
      <c r="G1747" s="30"/>
      <c r="H1747" s="30"/>
      <c r="I1747" s="30"/>
      <c r="J1747" s="30"/>
      <c r="K1747" s="30"/>
    </row>
    <row r="1748" spans="1:11" ht="15">
      <c r="A1748" s="30"/>
      <c r="B1748" s="30"/>
      <c r="C1748" s="30"/>
      <c r="D1748" s="30"/>
      <c r="E1748" s="30"/>
      <c r="F1748" s="30"/>
      <c r="G1748" s="30"/>
      <c r="H1748" s="30"/>
      <c r="I1748" s="30"/>
      <c r="J1748" s="30"/>
      <c r="K1748" s="30"/>
    </row>
    <row r="1749" spans="1:11" ht="15">
      <c r="A1749" s="30"/>
      <c r="B1749" s="30"/>
      <c r="C1749" s="30"/>
      <c r="D1749" s="30"/>
      <c r="E1749" s="30"/>
      <c r="F1749" s="30"/>
      <c r="G1749" s="30"/>
      <c r="H1749" s="30"/>
      <c r="I1749" s="30"/>
      <c r="J1749" s="30"/>
      <c r="K1749" s="30"/>
    </row>
    <row r="1750" spans="1:11" ht="15">
      <c r="A1750" s="30"/>
      <c r="B1750" s="30"/>
      <c r="C1750" s="30"/>
      <c r="D1750" s="30"/>
      <c r="E1750" s="30"/>
      <c r="F1750" s="30"/>
      <c r="G1750" s="30"/>
      <c r="H1750" s="30"/>
      <c r="I1750" s="30"/>
      <c r="J1750" s="30"/>
      <c r="K1750" s="30"/>
    </row>
    <row r="1751" spans="1:11" ht="15">
      <c r="A1751" s="30"/>
      <c r="B1751" s="30"/>
      <c r="C1751" s="30"/>
      <c r="D1751" s="30"/>
      <c r="E1751" s="30"/>
      <c r="F1751" s="30"/>
      <c r="G1751" s="30"/>
      <c r="H1751" s="30"/>
      <c r="I1751" s="30"/>
      <c r="J1751" s="30"/>
      <c r="K1751" s="30"/>
    </row>
    <row r="1752" spans="1:11" ht="15">
      <c r="A1752" s="30"/>
      <c r="B1752" s="30"/>
      <c r="C1752" s="30"/>
      <c r="D1752" s="30"/>
      <c r="E1752" s="30"/>
      <c r="F1752" s="30"/>
      <c r="G1752" s="30"/>
      <c r="H1752" s="30"/>
      <c r="I1752" s="30"/>
      <c r="J1752" s="30"/>
      <c r="K1752" s="30"/>
    </row>
    <row r="1753" spans="1:11" ht="15">
      <c r="A1753" s="30"/>
      <c r="B1753" s="30"/>
      <c r="C1753" s="30"/>
      <c r="D1753" s="30"/>
      <c r="E1753" s="30"/>
      <c r="F1753" s="30"/>
      <c r="G1753" s="30"/>
      <c r="H1753" s="30"/>
      <c r="I1753" s="30"/>
      <c r="J1753" s="30"/>
      <c r="K1753" s="30"/>
    </row>
    <row r="1754" spans="1:11" ht="15">
      <c r="A1754" s="30"/>
      <c r="B1754" s="30"/>
      <c r="C1754" s="30"/>
      <c r="D1754" s="30"/>
      <c r="E1754" s="30"/>
      <c r="F1754" s="30"/>
      <c r="G1754" s="30"/>
      <c r="H1754" s="30"/>
      <c r="I1754" s="30"/>
      <c r="J1754" s="30"/>
      <c r="K1754" s="30"/>
    </row>
    <row r="1755" spans="1:11" ht="15">
      <c r="A1755" s="30"/>
      <c r="B1755" s="30"/>
      <c r="C1755" s="30"/>
      <c r="D1755" s="30"/>
      <c r="E1755" s="30"/>
      <c r="F1755" s="30"/>
      <c r="G1755" s="30"/>
      <c r="H1755" s="30"/>
      <c r="I1755" s="30"/>
      <c r="J1755" s="30"/>
      <c r="K1755" s="30"/>
    </row>
    <row r="1756" spans="1:11" ht="15">
      <c r="A1756" s="30"/>
      <c r="B1756" s="30"/>
      <c r="C1756" s="30"/>
      <c r="D1756" s="30"/>
      <c r="E1756" s="30"/>
      <c r="F1756" s="30"/>
      <c r="G1756" s="30"/>
      <c r="H1756" s="30"/>
      <c r="I1756" s="30"/>
      <c r="J1756" s="30"/>
      <c r="K1756" s="30"/>
    </row>
    <row r="1757" spans="1:11" ht="15">
      <c r="A1757" s="30"/>
      <c r="B1757" s="30"/>
      <c r="C1757" s="30"/>
      <c r="D1757" s="30"/>
      <c r="E1757" s="30"/>
      <c r="F1757" s="30"/>
      <c r="G1757" s="30"/>
      <c r="H1757" s="30"/>
      <c r="I1757" s="30"/>
      <c r="J1757" s="30"/>
      <c r="K1757" s="30"/>
    </row>
    <row r="1758" spans="1:11" ht="15">
      <c r="A1758" s="30"/>
      <c r="B1758" s="30"/>
      <c r="C1758" s="30"/>
      <c r="D1758" s="30"/>
      <c r="E1758" s="30"/>
      <c r="F1758" s="30"/>
      <c r="G1758" s="30"/>
      <c r="H1758" s="30"/>
      <c r="I1758" s="30"/>
      <c r="J1758" s="30"/>
      <c r="K1758" s="30"/>
    </row>
    <row r="1759" spans="1:11" ht="15">
      <c r="A1759" s="30"/>
      <c r="B1759" s="30"/>
      <c r="C1759" s="30"/>
      <c r="D1759" s="30"/>
      <c r="E1759" s="30"/>
      <c r="F1759" s="30"/>
      <c r="G1759" s="30"/>
      <c r="H1759" s="30"/>
      <c r="I1759" s="30"/>
      <c r="J1759" s="30"/>
      <c r="K1759" s="30"/>
    </row>
    <row r="1760" spans="1:11" ht="15">
      <c r="A1760" s="30"/>
      <c r="B1760" s="30"/>
      <c r="C1760" s="30"/>
      <c r="D1760" s="30"/>
      <c r="E1760" s="30"/>
      <c r="F1760" s="30"/>
      <c r="G1760" s="30"/>
      <c r="H1760" s="30"/>
      <c r="I1760" s="30"/>
      <c r="J1760" s="30"/>
      <c r="K1760" s="30"/>
    </row>
    <row r="1761" spans="1:11" ht="15">
      <c r="A1761" s="30"/>
      <c r="B1761" s="30"/>
      <c r="C1761" s="30"/>
      <c r="D1761" s="30"/>
      <c r="E1761" s="30"/>
      <c r="F1761" s="30"/>
      <c r="G1761" s="30"/>
      <c r="H1761" s="30"/>
      <c r="I1761" s="30"/>
      <c r="J1761" s="30"/>
      <c r="K1761" s="30"/>
    </row>
    <row r="1762" spans="1:11" ht="15">
      <c r="A1762" s="30"/>
      <c r="B1762" s="30"/>
      <c r="C1762" s="30"/>
      <c r="D1762" s="30"/>
      <c r="E1762" s="30"/>
      <c r="F1762" s="30"/>
      <c r="G1762" s="30"/>
      <c r="H1762" s="30"/>
      <c r="I1762" s="30"/>
      <c r="J1762" s="30"/>
      <c r="K1762" s="30"/>
    </row>
    <row r="1763" spans="1:11" ht="15">
      <c r="A1763" s="30"/>
      <c r="B1763" s="30"/>
      <c r="C1763" s="30"/>
      <c r="D1763" s="30"/>
      <c r="E1763" s="30"/>
      <c r="F1763" s="30"/>
      <c r="G1763" s="30"/>
      <c r="H1763" s="30"/>
      <c r="I1763" s="30"/>
      <c r="J1763" s="30"/>
      <c r="K1763" s="30"/>
    </row>
    <row r="1764" spans="1:11" ht="15">
      <c r="A1764" s="30"/>
      <c r="B1764" s="30"/>
      <c r="C1764" s="30"/>
      <c r="D1764" s="30"/>
      <c r="E1764" s="30"/>
      <c r="F1764" s="30"/>
      <c r="G1764" s="30"/>
      <c r="H1764" s="30"/>
      <c r="I1764" s="30"/>
      <c r="J1764" s="30"/>
      <c r="K1764" s="30"/>
    </row>
    <row r="1765" spans="1:11" ht="15">
      <c r="A1765" s="30"/>
      <c r="B1765" s="30"/>
      <c r="C1765" s="30"/>
      <c r="D1765" s="30"/>
      <c r="E1765" s="30"/>
      <c r="F1765" s="30"/>
      <c r="G1765" s="30"/>
      <c r="H1765" s="30"/>
      <c r="I1765" s="30"/>
      <c r="J1765" s="30"/>
      <c r="K1765" s="30"/>
    </row>
    <row r="1766" spans="1:11" ht="15">
      <c r="A1766" s="30"/>
      <c r="B1766" s="30"/>
      <c r="C1766" s="30"/>
      <c r="D1766" s="30"/>
      <c r="E1766" s="30"/>
      <c r="F1766" s="30"/>
      <c r="G1766" s="30"/>
      <c r="H1766" s="30"/>
      <c r="I1766" s="30"/>
      <c r="J1766" s="30"/>
      <c r="K1766" s="30"/>
    </row>
    <row r="1767" spans="1:11" ht="15">
      <c r="A1767" s="30"/>
      <c r="B1767" s="30"/>
      <c r="C1767" s="30"/>
      <c r="D1767" s="30"/>
      <c r="E1767" s="30"/>
      <c r="F1767" s="30"/>
      <c r="G1767" s="30"/>
      <c r="H1767" s="30"/>
      <c r="I1767" s="30"/>
      <c r="J1767" s="30"/>
      <c r="K1767" s="30"/>
    </row>
    <row r="1768" spans="1:11" ht="15">
      <c r="A1768" s="30"/>
      <c r="B1768" s="30"/>
      <c r="C1768" s="30"/>
      <c r="D1768" s="30"/>
      <c r="E1768" s="30"/>
      <c r="F1768" s="30"/>
      <c r="G1768" s="30"/>
      <c r="H1768" s="30"/>
      <c r="I1768" s="30"/>
      <c r="J1768" s="30"/>
      <c r="K1768" s="30"/>
    </row>
    <row r="1769" spans="1:11" ht="15">
      <c r="A1769" s="30"/>
      <c r="B1769" s="30"/>
      <c r="C1769" s="30"/>
      <c r="D1769" s="30"/>
      <c r="E1769" s="30"/>
      <c r="F1769" s="30"/>
      <c r="G1769" s="30"/>
      <c r="H1769" s="30"/>
      <c r="I1769" s="30"/>
      <c r="J1769" s="30"/>
      <c r="K1769" s="30"/>
    </row>
    <row r="1770" spans="1:11" ht="15">
      <c r="A1770" s="30"/>
      <c r="B1770" s="30"/>
      <c r="C1770" s="30"/>
      <c r="D1770" s="30"/>
      <c r="E1770" s="30"/>
      <c r="F1770" s="30"/>
      <c r="G1770" s="30"/>
      <c r="H1770" s="30"/>
      <c r="I1770" s="30"/>
      <c r="J1770" s="30"/>
      <c r="K1770" s="30"/>
    </row>
    <row r="1771" spans="1:11" ht="15">
      <c r="A1771" s="30"/>
      <c r="B1771" s="30"/>
      <c r="C1771" s="30"/>
      <c r="D1771" s="30"/>
      <c r="E1771" s="30"/>
      <c r="F1771" s="30"/>
      <c r="G1771" s="30"/>
      <c r="H1771" s="30"/>
      <c r="I1771" s="30"/>
      <c r="J1771" s="30"/>
      <c r="K1771" s="30"/>
    </row>
    <row r="1772" spans="1:11" ht="15">
      <c r="A1772" s="30"/>
      <c r="B1772" s="30"/>
      <c r="C1772" s="30"/>
      <c r="D1772" s="30"/>
      <c r="E1772" s="30"/>
      <c r="F1772" s="30"/>
      <c r="G1772" s="30"/>
      <c r="H1772" s="30"/>
      <c r="I1772" s="30"/>
      <c r="J1772" s="30"/>
      <c r="K1772" s="30"/>
    </row>
    <row r="1773" spans="1:11" ht="15">
      <c r="A1773" s="30"/>
      <c r="B1773" s="30"/>
      <c r="C1773" s="30"/>
      <c r="D1773" s="30"/>
      <c r="E1773" s="30"/>
      <c r="F1773" s="30"/>
      <c r="G1773" s="30"/>
      <c r="H1773" s="30"/>
      <c r="I1773" s="30"/>
      <c r="J1773" s="30"/>
      <c r="K1773" s="30"/>
    </row>
    <row r="1774" spans="1:11" ht="15">
      <c r="A1774" s="30"/>
      <c r="B1774" s="30"/>
      <c r="C1774" s="30"/>
      <c r="D1774" s="30"/>
      <c r="E1774" s="30"/>
      <c r="F1774" s="30"/>
      <c r="G1774" s="30"/>
      <c r="H1774" s="30"/>
      <c r="I1774" s="30"/>
      <c r="J1774" s="30"/>
      <c r="K1774" s="30"/>
    </row>
    <row r="1775" spans="1:11" ht="15">
      <c r="A1775" s="30"/>
      <c r="B1775" s="30"/>
      <c r="C1775" s="30"/>
      <c r="D1775" s="30"/>
      <c r="E1775" s="30"/>
      <c r="F1775" s="30"/>
      <c r="G1775" s="30"/>
      <c r="H1775" s="30"/>
      <c r="I1775" s="30"/>
      <c r="J1775" s="30"/>
      <c r="K1775" s="30"/>
    </row>
    <row r="1776" spans="1:11" ht="15">
      <c r="A1776" s="30"/>
      <c r="B1776" s="30"/>
      <c r="C1776" s="30"/>
      <c r="D1776" s="30"/>
      <c r="E1776" s="30"/>
      <c r="F1776" s="30"/>
      <c r="G1776" s="30"/>
      <c r="H1776" s="30"/>
      <c r="I1776" s="30"/>
      <c r="J1776" s="30"/>
      <c r="K1776" s="30"/>
    </row>
    <row r="1777" spans="1:11" ht="15">
      <c r="A1777" s="30"/>
      <c r="B1777" s="30"/>
      <c r="C1777" s="30"/>
      <c r="D1777" s="30"/>
      <c r="E1777" s="30"/>
      <c r="F1777" s="30"/>
      <c r="G1777" s="30"/>
      <c r="H1777" s="30"/>
      <c r="I1777" s="30"/>
      <c r="J1777" s="30"/>
      <c r="K1777" s="30"/>
    </row>
    <row r="1778" spans="1:11" ht="15">
      <c r="A1778" s="30"/>
      <c r="B1778" s="30"/>
      <c r="C1778" s="30"/>
      <c r="D1778" s="30"/>
      <c r="E1778" s="30"/>
      <c r="F1778" s="30"/>
      <c r="G1778" s="30"/>
      <c r="H1778" s="30"/>
      <c r="I1778" s="30"/>
      <c r="J1778" s="30"/>
      <c r="K1778" s="30"/>
    </row>
    <row r="1779" spans="1:11" ht="15">
      <c r="A1779" s="30"/>
      <c r="B1779" s="30"/>
      <c r="C1779" s="30"/>
      <c r="D1779" s="30"/>
      <c r="E1779" s="30"/>
      <c r="F1779" s="30"/>
      <c r="G1779" s="30"/>
      <c r="H1779" s="30"/>
      <c r="I1779" s="30"/>
      <c r="J1779" s="30"/>
      <c r="K1779" s="30"/>
    </row>
    <row r="1780" spans="1:11" ht="15">
      <c r="A1780" s="30"/>
      <c r="B1780" s="30"/>
      <c r="C1780" s="30"/>
      <c r="D1780" s="30"/>
      <c r="E1780" s="30"/>
      <c r="F1780" s="30"/>
      <c r="G1780" s="30"/>
      <c r="H1780" s="30"/>
      <c r="I1780" s="30"/>
      <c r="J1780" s="30"/>
      <c r="K1780" s="30"/>
    </row>
    <row r="1781" spans="1:11" ht="15">
      <c r="A1781" s="30"/>
      <c r="B1781" s="30"/>
      <c r="C1781" s="30"/>
      <c r="D1781" s="30"/>
      <c r="E1781" s="30"/>
      <c r="F1781" s="30"/>
      <c r="G1781" s="30"/>
      <c r="H1781" s="30"/>
      <c r="I1781" s="30"/>
      <c r="J1781" s="30"/>
      <c r="K1781" s="30"/>
    </row>
    <row r="1782" spans="1:11" ht="15">
      <c r="A1782" s="30"/>
      <c r="B1782" s="30"/>
      <c r="C1782" s="30"/>
      <c r="D1782" s="30"/>
      <c r="E1782" s="30"/>
      <c r="F1782" s="30"/>
      <c r="G1782" s="30"/>
      <c r="H1782" s="30"/>
      <c r="I1782" s="30"/>
      <c r="J1782" s="30"/>
      <c r="K1782" s="30"/>
    </row>
    <row r="1783" spans="1:11" ht="15">
      <c r="A1783" s="30"/>
      <c r="B1783" s="30"/>
      <c r="C1783" s="30"/>
      <c r="D1783" s="30"/>
      <c r="E1783" s="30"/>
      <c r="F1783" s="30"/>
      <c r="G1783" s="30"/>
      <c r="H1783" s="30"/>
      <c r="I1783" s="30"/>
      <c r="J1783" s="30"/>
      <c r="K1783" s="30"/>
    </row>
    <row r="1784" spans="1:11" ht="15">
      <c r="A1784" s="30"/>
      <c r="B1784" s="30"/>
      <c r="C1784" s="30"/>
      <c r="D1784" s="30"/>
      <c r="E1784" s="30"/>
      <c r="F1784" s="30"/>
      <c r="G1784" s="30"/>
      <c r="H1784" s="30"/>
      <c r="I1784" s="30"/>
      <c r="J1784" s="30"/>
      <c r="K1784" s="30"/>
    </row>
    <row r="1785" spans="1:11" ht="15">
      <c r="A1785" s="30"/>
      <c r="B1785" s="30"/>
      <c r="C1785" s="30"/>
      <c r="D1785" s="30"/>
      <c r="E1785" s="30"/>
      <c r="F1785" s="30"/>
      <c r="G1785" s="30"/>
      <c r="H1785" s="30"/>
      <c r="I1785" s="30"/>
      <c r="J1785" s="30"/>
      <c r="K1785" s="30"/>
    </row>
    <row r="1786" spans="1:11" ht="15">
      <c r="A1786" s="30"/>
      <c r="B1786" s="30"/>
      <c r="C1786" s="30"/>
      <c r="D1786" s="30"/>
      <c r="E1786" s="30"/>
      <c r="F1786" s="30"/>
      <c r="G1786" s="30"/>
      <c r="H1786" s="30"/>
      <c r="I1786" s="30"/>
      <c r="J1786" s="30"/>
      <c r="K1786" s="30"/>
    </row>
    <row r="1787" spans="1:11" ht="15">
      <c r="A1787" s="30"/>
      <c r="B1787" s="30"/>
      <c r="C1787" s="30"/>
      <c r="D1787" s="30"/>
      <c r="E1787" s="30"/>
      <c r="F1787" s="30"/>
      <c r="G1787" s="30"/>
      <c r="H1787" s="30"/>
      <c r="I1787" s="30"/>
      <c r="J1787" s="30"/>
      <c r="K1787" s="30"/>
    </row>
    <row r="1788" spans="1:11" ht="15">
      <c r="A1788" s="30"/>
      <c r="B1788" s="30"/>
      <c r="C1788" s="30"/>
      <c r="D1788" s="30"/>
      <c r="E1788" s="30"/>
      <c r="F1788" s="30"/>
      <c r="G1788" s="30"/>
      <c r="H1788" s="30"/>
      <c r="I1788" s="30"/>
      <c r="J1788" s="30"/>
      <c r="K1788" s="30"/>
    </row>
    <row r="1789" spans="1:11" ht="15">
      <c r="A1789" s="30"/>
      <c r="B1789" s="30"/>
      <c r="C1789" s="30"/>
      <c r="D1789" s="30"/>
      <c r="E1789" s="30"/>
      <c r="F1789" s="30"/>
      <c r="G1789" s="30"/>
      <c r="H1789" s="30"/>
      <c r="I1789" s="30"/>
      <c r="J1789" s="30"/>
      <c r="K1789" s="30"/>
    </row>
    <row r="1790" spans="1:11" ht="15">
      <c r="A1790" s="30"/>
      <c r="B1790" s="30"/>
      <c r="C1790" s="30"/>
      <c r="D1790" s="30"/>
      <c r="E1790" s="30"/>
      <c r="F1790" s="30"/>
      <c r="G1790" s="30"/>
      <c r="H1790" s="30"/>
      <c r="I1790" s="30"/>
      <c r="J1790" s="30"/>
      <c r="K1790" s="30"/>
    </row>
    <row r="1791" spans="1:11" ht="15">
      <c r="A1791" s="30"/>
      <c r="B1791" s="30"/>
      <c r="C1791" s="30"/>
      <c r="D1791" s="30"/>
      <c r="E1791" s="30"/>
      <c r="F1791" s="30"/>
      <c r="G1791" s="30"/>
      <c r="H1791" s="30"/>
      <c r="I1791" s="30"/>
      <c r="J1791" s="30"/>
      <c r="K1791" s="30"/>
    </row>
    <row r="1792" spans="1:11" ht="15">
      <c r="A1792" s="30"/>
      <c r="B1792" s="30"/>
      <c r="C1792" s="30"/>
      <c r="D1792" s="30"/>
      <c r="E1792" s="30"/>
      <c r="F1792" s="30"/>
      <c r="G1792" s="30"/>
      <c r="H1792" s="30"/>
      <c r="I1792" s="30"/>
      <c r="J1792" s="30"/>
      <c r="K1792" s="30"/>
    </row>
    <row r="1793" spans="1:11" ht="15">
      <c r="A1793" s="30"/>
      <c r="B1793" s="30"/>
      <c r="C1793" s="30"/>
      <c r="D1793" s="30"/>
      <c r="E1793" s="30"/>
      <c r="F1793" s="30"/>
      <c r="G1793" s="30"/>
      <c r="H1793" s="30"/>
      <c r="I1793" s="30"/>
      <c r="J1793" s="30"/>
      <c r="K1793" s="30"/>
    </row>
    <row r="1794" spans="1:11" ht="15">
      <c r="A1794" s="30"/>
      <c r="B1794" s="30"/>
      <c r="C1794" s="30"/>
      <c r="D1794" s="30"/>
      <c r="E1794" s="30"/>
      <c r="F1794" s="30"/>
      <c r="G1794" s="30"/>
      <c r="H1794" s="30"/>
      <c r="I1794" s="30"/>
      <c r="J1794" s="30"/>
      <c r="K1794" s="30"/>
    </row>
    <row r="1795" spans="1:11" ht="15">
      <c r="A1795" s="30"/>
      <c r="B1795" s="30"/>
      <c r="C1795" s="30"/>
      <c r="D1795" s="30"/>
      <c r="E1795" s="30"/>
      <c r="F1795" s="30"/>
      <c r="G1795" s="30"/>
      <c r="H1795" s="30"/>
      <c r="I1795" s="30"/>
      <c r="J1795" s="30"/>
      <c r="K1795" s="30"/>
    </row>
    <row r="1796" spans="1:11" ht="15">
      <c r="A1796" s="30"/>
      <c r="B1796" s="30"/>
      <c r="C1796" s="30"/>
      <c r="D1796" s="30"/>
      <c r="E1796" s="30"/>
      <c r="F1796" s="30"/>
      <c r="G1796" s="30"/>
      <c r="H1796" s="30"/>
      <c r="I1796" s="30"/>
      <c r="J1796" s="30"/>
      <c r="K1796" s="30"/>
    </row>
    <row r="1797" spans="1:11" ht="15">
      <c r="A1797" s="30"/>
      <c r="B1797" s="30"/>
      <c r="C1797" s="30"/>
      <c r="D1797" s="30"/>
      <c r="E1797" s="30"/>
      <c r="F1797" s="30"/>
      <c r="G1797" s="30"/>
      <c r="H1797" s="30"/>
      <c r="I1797" s="30"/>
      <c r="J1797" s="30"/>
      <c r="K1797" s="30"/>
    </row>
    <row r="1798" spans="1:11" ht="15">
      <c r="A1798" s="30"/>
      <c r="B1798" s="30"/>
      <c r="C1798" s="30"/>
      <c r="D1798" s="30"/>
      <c r="E1798" s="30"/>
      <c r="F1798" s="30"/>
      <c r="G1798" s="30"/>
      <c r="H1798" s="30"/>
      <c r="I1798" s="30"/>
      <c r="J1798" s="30"/>
      <c r="K1798" s="30"/>
    </row>
    <row r="1799" spans="1:11" ht="15">
      <c r="A1799" s="30"/>
      <c r="B1799" s="30"/>
      <c r="C1799" s="30"/>
      <c r="D1799" s="30"/>
      <c r="E1799" s="30"/>
      <c r="F1799" s="30"/>
      <c r="G1799" s="30"/>
      <c r="H1799" s="30"/>
      <c r="I1799" s="30"/>
      <c r="J1799" s="30"/>
      <c r="K1799" s="30"/>
    </row>
    <row r="1800" spans="1:11" ht="15">
      <c r="A1800" s="30"/>
      <c r="B1800" s="30"/>
      <c r="C1800" s="30"/>
      <c r="D1800" s="30"/>
      <c r="E1800" s="30"/>
      <c r="F1800" s="30"/>
      <c r="G1800" s="30"/>
      <c r="H1800" s="30"/>
      <c r="I1800" s="30"/>
      <c r="J1800" s="30"/>
      <c r="K1800" s="30"/>
    </row>
    <row r="1801" spans="1:11" ht="15">
      <c r="A1801" s="30"/>
      <c r="B1801" s="30"/>
      <c r="C1801" s="30"/>
      <c r="D1801" s="30"/>
      <c r="E1801" s="30"/>
      <c r="F1801" s="30"/>
      <c r="G1801" s="30"/>
      <c r="H1801" s="30"/>
      <c r="I1801" s="30"/>
      <c r="J1801" s="30"/>
      <c r="K1801" s="30"/>
    </row>
    <row r="1802" spans="1:11" ht="15">
      <c r="A1802" s="30"/>
      <c r="B1802" s="30"/>
      <c r="C1802" s="30"/>
      <c r="D1802" s="30"/>
      <c r="E1802" s="30"/>
      <c r="F1802" s="30"/>
      <c r="G1802" s="30"/>
      <c r="H1802" s="30"/>
      <c r="I1802" s="30"/>
      <c r="J1802" s="30"/>
      <c r="K1802" s="30"/>
    </row>
    <row r="1803" spans="1:11" ht="15">
      <c r="A1803" s="30"/>
      <c r="B1803" s="30"/>
      <c r="C1803" s="30"/>
      <c r="D1803" s="30"/>
      <c r="E1803" s="30"/>
      <c r="F1803" s="30"/>
      <c r="G1803" s="30"/>
      <c r="H1803" s="30"/>
      <c r="I1803" s="30"/>
      <c r="J1803" s="30"/>
      <c r="K1803" s="30"/>
    </row>
    <row r="1804" spans="1:11" ht="15">
      <c r="A1804" s="30"/>
      <c r="B1804" s="30"/>
      <c r="C1804" s="30"/>
      <c r="D1804" s="30"/>
      <c r="E1804" s="30"/>
      <c r="F1804" s="30"/>
      <c r="G1804" s="30"/>
      <c r="H1804" s="30"/>
      <c r="I1804" s="30"/>
      <c r="J1804" s="30"/>
      <c r="K1804" s="30"/>
    </row>
    <row r="1805" spans="1:11" ht="15">
      <c r="A1805" s="30"/>
      <c r="B1805" s="30"/>
      <c r="C1805" s="30"/>
      <c r="D1805" s="30"/>
      <c r="E1805" s="30"/>
      <c r="F1805" s="30"/>
      <c r="G1805" s="30"/>
      <c r="H1805" s="30"/>
      <c r="I1805" s="30"/>
      <c r="J1805" s="30"/>
      <c r="K1805" s="30"/>
    </row>
    <row r="1806" spans="1:11" ht="15">
      <c r="A1806" s="30"/>
      <c r="B1806" s="30"/>
      <c r="C1806" s="30"/>
      <c r="D1806" s="30"/>
      <c r="E1806" s="30"/>
      <c r="F1806" s="30"/>
      <c r="G1806" s="30"/>
      <c r="H1806" s="30"/>
      <c r="I1806" s="30"/>
      <c r="J1806" s="30"/>
      <c r="K1806" s="30"/>
    </row>
    <row r="1807" spans="1:11" ht="15">
      <c r="A1807" s="30"/>
      <c r="B1807" s="30"/>
      <c r="C1807" s="30"/>
      <c r="D1807" s="30"/>
      <c r="E1807" s="30"/>
      <c r="F1807" s="30"/>
      <c r="G1807" s="30"/>
      <c r="H1807" s="30"/>
      <c r="I1807" s="30"/>
      <c r="J1807" s="30"/>
      <c r="K1807" s="30"/>
    </row>
    <row r="1808" spans="1:11" ht="15">
      <c r="A1808" s="30"/>
      <c r="B1808" s="30"/>
      <c r="C1808" s="30"/>
      <c r="D1808" s="30"/>
      <c r="E1808" s="30"/>
      <c r="F1808" s="30"/>
      <c r="G1808" s="30"/>
      <c r="H1808" s="30"/>
      <c r="I1808" s="30"/>
      <c r="J1808" s="30"/>
      <c r="K1808" s="30"/>
    </row>
    <row r="1809" spans="1:11" ht="15">
      <c r="A1809" s="30"/>
      <c r="B1809" s="30"/>
      <c r="C1809" s="30"/>
      <c r="D1809" s="30"/>
      <c r="E1809" s="30"/>
      <c r="F1809" s="30"/>
      <c r="G1809" s="30"/>
      <c r="H1809" s="30"/>
      <c r="I1809" s="30"/>
      <c r="J1809" s="30"/>
      <c r="K1809" s="30"/>
    </row>
    <row r="1810" spans="1:11" ht="15">
      <c r="A1810" s="30"/>
      <c r="B1810" s="30"/>
      <c r="C1810" s="30"/>
      <c r="D1810" s="30"/>
      <c r="E1810" s="30"/>
      <c r="F1810" s="30"/>
      <c r="G1810" s="30"/>
      <c r="H1810" s="30"/>
      <c r="I1810" s="30"/>
      <c r="J1810" s="30"/>
      <c r="K1810" s="30"/>
    </row>
    <row r="1811" spans="1:11" ht="15">
      <c r="A1811" s="30"/>
      <c r="B1811" s="30"/>
      <c r="C1811" s="30"/>
      <c r="D1811" s="30"/>
      <c r="E1811" s="30"/>
      <c r="F1811" s="30"/>
      <c r="G1811" s="30"/>
      <c r="H1811" s="30"/>
      <c r="I1811" s="30"/>
      <c r="J1811" s="30"/>
      <c r="K1811" s="30"/>
    </row>
    <row r="1812" spans="1:11" ht="15">
      <c r="A1812" s="30"/>
      <c r="B1812" s="30"/>
      <c r="C1812" s="30"/>
      <c r="D1812" s="30"/>
      <c r="E1812" s="30"/>
      <c r="F1812" s="30"/>
      <c r="G1812" s="30"/>
      <c r="H1812" s="30"/>
      <c r="I1812" s="30"/>
      <c r="J1812" s="30"/>
      <c r="K1812" s="30"/>
    </row>
    <row r="1813" spans="1:11" ht="15">
      <c r="A1813" s="30"/>
      <c r="B1813" s="30"/>
      <c r="C1813" s="30"/>
      <c r="D1813" s="30"/>
      <c r="E1813" s="30"/>
      <c r="F1813" s="30"/>
      <c r="G1813" s="30"/>
      <c r="H1813" s="30"/>
      <c r="I1813" s="30"/>
      <c r="J1813" s="30"/>
      <c r="K1813" s="30"/>
    </row>
    <row r="1814" spans="1:11" ht="15">
      <c r="A1814" s="30"/>
      <c r="B1814" s="30"/>
      <c r="C1814" s="30"/>
      <c r="D1814" s="30"/>
      <c r="E1814" s="30"/>
      <c r="F1814" s="30"/>
      <c r="G1814" s="30"/>
      <c r="H1814" s="30"/>
      <c r="I1814" s="30"/>
      <c r="J1814" s="30"/>
      <c r="K1814" s="30"/>
    </row>
    <row r="1815" spans="1:11" ht="15">
      <c r="A1815" s="30"/>
      <c r="B1815" s="30"/>
      <c r="C1815" s="30"/>
      <c r="D1815" s="30"/>
      <c r="E1815" s="30"/>
      <c r="F1815" s="30"/>
      <c r="G1815" s="30"/>
      <c r="H1815" s="30"/>
      <c r="I1815" s="30"/>
      <c r="J1815" s="30"/>
      <c r="K1815" s="30"/>
    </row>
    <row r="1816" spans="1:11" ht="15">
      <c r="A1816" s="30"/>
      <c r="B1816" s="30"/>
      <c r="C1816" s="30"/>
      <c r="D1816" s="30"/>
      <c r="E1816" s="30"/>
      <c r="F1816" s="30"/>
      <c r="G1816" s="30"/>
      <c r="H1816" s="30"/>
      <c r="I1816" s="30"/>
      <c r="J1816" s="30"/>
      <c r="K1816" s="30"/>
    </row>
    <row r="1817" spans="1:11" ht="15">
      <c r="A1817" s="30"/>
      <c r="B1817" s="30"/>
      <c r="C1817" s="30"/>
      <c r="D1817" s="30"/>
      <c r="E1817" s="30"/>
      <c r="F1817" s="30"/>
      <c r="G1817" s="30"/>
      <c r="H1817" s="30"/>
      <c r="I1817" s="30"/>
      <c r="J1817" s="30"/>
      <c r="K1817" s="30"/>
    </row>
    <row r="1818" spans="1:11" ht="15">
      <c r="A1818" s="30"/>
      <c r="B1818" s="30"/>
      <c r="C1818" s="30"/>
      <c r="D1818" s="30"/>
      <c r="E1818" s="30"/>
      <c r="F1818" s="30"/>
      <c r="G1818" s="30"/>
      <c r="H1818" s="30"/>
      <c r="I1818" s="30"/>
      <c r="J1818" s="30"/>
      <c r="K1818" s="30"/>
    </row>
    <row r="1819" spans="1:11" ht="15">
      <c r="A1819" s="30"/>
      <c r="B1819" s="30"/>
      <c r="C1819" s="30"/>
      <c r="D1819" s="30"/>
      <c r="E1819" s="30"/>
      <c r="F1819" s="30"/>
      <c r="G1819" s="30"/>
      <c r="H1819" s="30"/>
      <c r="I1819" s="30"/>
      <c r="J1819" s="30"/>
      <c r="K1819" s="30"/>
    </row>
    <row r="1820" spans="1:11" ht="15">
      <c r="A1820" s="30"/>
      <c r="B1820" s="30"/>
      <c r="C1820" s="30"/>
      <c r="D1820" s="30"/>
      <c r="E1820" s="30"/>
      <c r="F1820" s="30"/>
      <c r="G1820" s="30"/>
      <c r="H1820" s="30"/>
      <c r="I1820" s="30"/>
      <c r="J1820" s="30"/>
      <c r="K1820" s="30"/>
    </row>
    <row r="1821" spans="1:11" ht="15">
      <c r="A1821" s="30"/>
      <c r="B1821" s="30"/>
      <c r="C1821" s="30"/>
      <c r="D1821" s="30"/>
      <c r="E1821" s="30"/>
      <c r="F1821" s="30"/>
      <c r="G1821" s="30"/>
      <c r="H1821" s="30"/>
      <c r="I1821" s="30"/>
      <c r="J1821" s="30"/>
      <c r="K1821" s="30"/>
    </row>
    <row r="1822" spans="1:11" ht="15">
      <c r="A1822" s="30"/>
      <c r="B1822" s="30"/>
      <c r="C1822" s="30"/>
      <c r="D1822" s="30"/>
      <c r="E1822" s="30"/>
      <c r="F1822" s="30"/>
      <c r="G1822" s="30"/>
      <c r="H1822" s="30"/>
      <c r="I1822" s="30"/>
      <c r="J1822" s="30"/>
      <c r="K1822" s="30"/>
    </row>
    <row r="1823" spans="1:11" ht="15">
      <c r="A1823" s="30"/>
      <c r="B1823" s="30"/>
      <c r="C1823" s="30"/>
      <c r="D1823" s="30"/>
      <c r="E1823" s="30"/>
      <c r="F1823" s="30"/>
      <c r="G1823" s="30"/>
      <c r="H1823" s="30"/>
      <c r="I1823" s="30"/>
      <c r="J1823" s="30"/>
      <c r="K1823" s="30"/>
    </row>
    <row r="1824" spans="1:11" ht="15">
      <c r="A1824" s="30"/>
      <c r="B1824" s="30"/>
      <c r="C1824" s="30"/>
      <c r="D1824" s="30"/>
      <c r="E1824" s="30"/>
      <c r="F1824" s="30"/>
      <c r="G1824" s="30"/>
      <c r="H1824" s="30"/>
      <c r="I1824" s="30"/>
      <c r="J1824" s="30"/>
      <c r="K1824" s="30"/>
    </row>
    <row r="1825" spans="1:11" ht="15">
      <c r="A1825" s="30"/>
      <c r="B1825" s="30"/>
      <c r="C1825" s="30"/>
      <c r="D1825" s="30"/>
      <c r="E1825" s="30"/>
      <c r="F1825" s="30"/>
      <c r="G1825" s="30"/>
      <c r="H1825" s="30"/>
      <c r="I1825" s="30"/>
      <c r="J1825" s="30"/>
      <c r="K1825" s="30"/>
    </row>
    <row r="1826" spans="1:11" ht="15">
      <c r="A1826" s="30"/>
      <c r="B1826" s="30"/>
      <c r="C1826" s="30"/>
      <c r="D1826" s="30"/>
      <c r="E1826" s="30"/>
      <c r="F1826" s="30"/>
      <c r="G1826" s="30"/>
      <c r="H1826" s="30"/>
      <c r="I1826" s="30"/>
      <c r="J1826" s="30"/>
      <c r="K1826" s="30"/>
    </row>
    <row r="1827" spans="1:11" ht="15">
      <c r="A1827" s="30"/>
      <c r="B1827" s="30"/>
      <c r="C1827" s="30"/>
      <c r="D1827" s="30"/>
      <c r="E1827" s="30"/>
      <c r="F1827" s="30"/>
      <c r="G1827" s="30"/>
      <c r="H1827" s="30"/>
      <c r="I1827" s="30"/>
      <c r="J1827" s="30"/>
      <c r="K1827" s="30"/>
    </row>
    <row r="1828" spans="1:11" ht="15">
      <c r="A1828" s="30"/>
      <c r="B1828" s="30"/>
      <c r="C1828" s="30"/>
      <c r="D1828" s="30"/>
      <c r="E1828" s="30"/>
      <c r="F1828" s="30"/>
      <c r="G1828" s="30"/>
      <c r="H1828" s="30"/>
      <c r="I1828" s="30"/>
      <c r="J1828" s="30"/>
      <c r="K1828" s="30"/>
    </row>
    <row r="1829" spans="1:11" ht="15">
      <c r="A1829" s="30"/>
      <c r="B1829" s="30"/>
      <c r="C1829" s="30"/>
      <c r="D1829" s="30"/>
      <c r="E1829" s="30"/>
      <c r="F1829" s="30"/>
      <c r="G1829" s="30"/>
      <c r="H1829" s="30"/>
      <c r="I1829" s="30"/>
      <c r="J1829" s="30"/>
      <c r="K1829" s="30"/>
    </row>
    <row r="1830" spans="1:11" ht="15">
      <c r="A1830" s="30"/>
      <c r="B1830" s="30"/>
      <c r="C1830" s="30"/>
      <c r="D1830" s="30"/>
      <c r="E1830" s="30"/>
      <c r="F1830" s="30"/>
      <c r="G1830" s="30"/>
      <c r="H1830" s="30"/>
      <c r="I1830" s="30"/>
      <c r="J1830" s="30"/>
      <c r="K1830" s="30"/>
    </row>
    <row r="1831" spans="1:11" ht="15">
      <c r="A1831" s="30"/>
      <c r="B1831" s="30"/>
      <c r="C1831" s="30"/>
      <c r="D1831" s="30"/>
      <c r="E1831" s="30"/>
      <c r="F1831" s="30"/>
      <c r="G1831" s="30"/>
      <c r="H1831" s="30"/>
      <c r="I1831" s="30"/>
      <c r="J1831" s="30"/>
      <c r="K1831" s="30"/>
    </row>
    <row r="1832" spans="1:11" ht="15">
      <c r="A1832" s="30"/>
      <c r="B1832" s="30"/>
      <c r="C1832" s="30"/>
      <c r="D1832" s="30"/>
      <c r="E1832" s="30"/>
      <c r="F1832" s="30"/>
      <c r="G1832" s="30"/>
      <c r="H1832" s="30"/>
      <c r="I1832" s="30"/>
      <c r="J1832" s="30"/>
      <c r="K1832" s="30"/>
    </row>
    <row r="1833" spans="1:11" ht="15">
      <c r="A1833" s="30"/>
      <c r="B1833" s="30"/>
      <c r="C1833" s="30"/>
      <c r="D1833" s="30"/>
      <c r="E1833" s="30"/>
      <c r="F1833" s="30"/>
      <c r="G1833" s="30"/>
      <c r="H1833" s="30"/>
      <c r="I1833" s="30"/>
      <c r="J1833" s="30"/>
      <c r="K1833" s="30"/>
    </row>
    <row r="1834" spans="1:11" ht="15">
      <c r="A1834" s="30"/>
      <c r="B1834" s="30"/>
      <c r="C1834" s="30"/>
      <c r="D1834" s="30"/>
      <c r="E1834" s="30"/>
      <c r="F1834" s="30"/>
      <c r="G1834" s="30"/>
      <c r="H1834" s="30"/>
      <c r="I1834" s="30"/>
      <c r="J1834" s="30"/>
      <c r="K1834" s="30"/>
    </row>
    <row r="1835" spans="1:11" ht="15">
      <c r="A1835" s="30"/>
      <c r="B1835" s="30"/>
      <c r="C1835" s="30"/>
      <c r="D1835" s="30"/>
      <c r="E1835" s="30"/>
      <c r="F1835" s="30"/>
      <c r="G1835" s="30"/>
      <c r="H1835" s="30"/>
      <c r="I1835" s="30"/>
      <c r="J1835" s="30"/>
      <c r="K1835" s="30"/>
    </row>
    <row r="1836" spans="1:11" ht="15">
      <c r="A1836" s="30"/>
      <c r="B1836" s="30"/>
      <c r="C1836" s="30"/>
      <c r="D1836" s="30"/>
      <c r="E1836" s="30"/>
      <c r="F1836" s="30"/>
      <c r="G1836" s="30"/>
      <c r="H1836" s="30"/>
      <c r="I1836" s="30"/>
      <c r="J1836" s="30"/>
      <c r="K1836" s="30"/>
    </row>
    <row r="1837" spans="1:11" ht="15">
      <c r="A1837" s="30"/>
      <c r="B1837" s="30"/>
      <c r="C1837" s="30"/>
      <c r="D1837" s="30"/>
      <c r="E1837" s="30"/>
      <c r="F1837" s="30"/>
      <c r="G1837" s="30"/>
      <c r="H1837" s="30"/>
      <c r="I1837" s="30"/>
      <c r="J1837" s="30"/>
      <c r="K1837" s="30"/>
    </row>
    <row r="1838" spans="1:11" ht="15">
      <c r="A1838" s="30"/>
      <c r="B1838" s="30"/>
      <c r="C1838" s="30"/>
      <c r="D1838" s="30"/>
      <c r="E1838" s="30"/>
      <c r="F1838" s="30"/>
      <c r="G1838" s="30"/>
      <c r="H1838" s="30"/>
      <c r="I1838" s="30"/>
      <c r="J1838" s="30"/>
      <c r="K1838" s="30"/>
    </row>
    <row r="1839" spans="1:11" ht="15">
      <c r="A1839" s="30"/>
      <c r="B1839" s="30"/>
      <c r="C1839" s="30"/>
      <c r="D1839" s="30"/>
      <c r="E1839" s="30"/>
      <c r="F1839" s="30"/>
      <c r="G1839" s="30"/>
      <c r="H1839" s="30"/>
      <c r="I1839" s="30"/>
      <c r="J1839" s="30"/>
      <c r="K1839" s="30"/>
    </row>
    <row r="1840" spans="1:11" ht="15">
      <c r="A1840" s="30"/>
      <c r="B1840" s="30"/>
      <c r="C1840" s="30"/>
      <c r="D1840" s="30"/>
      <c r="E1840" s="30"/>
      <c r="F1840" s="30"/>
      <c r="G1840" s="30"/>
      <c r="H1840" s="30"/>
      <c r="I1840" s="30"/>
      <c r="J1840" s="30"/>
      <c r="K1840" s="30"/>
    </row>
    <row r="1841" spans="1:11" ht="15">
      <c r="A1841" s="30"/>
      <c r="B1841" s="30"/>
      <c r="C1841" s="30"/>
      <c r="D1841" s="30"/>
      <c r="E1841" s="30"/>
      <c r="F1841" s="30"/>
      <c r="G1841" s="30"/>
      <c r="H1841" s="30"/>
      <c r="I1841" s="30"/>
      <c r="J1841" s="30"/>
      <c r="K1841" s="30"/>
    </row>
    <row r="1842" spans="1:11" ht="15">
      <c r="A1842" s="30"/>
      <c r="B1842" s="30"/>
      <c r="C1842" s="30"/>
      <c r="D1842" s="30"/>
      <c r="E1842" s="30"/>
      <c r="F1842" s="30"/>
      <c r="G1842" s="30"/>
      <c r="H1842" s="30"/>
      <c r="I1842" s="30"/>
      <c r="J1842" s="30"/>
      <c r="K1842" s="30"/>
    </row>
    <row r="1843" spans="1:11" ht="15">
      <c r="A1843" s="30"/>
      <c r="B1843" s="30"/>
      <c r="C1843" s="30"/>
      <c r="D1843" s="30"/>
      <c r="E1843" s="30"/>
      <c r="F1843" s="30"/>
      <c r="G1843" s="30"/>
      <c r="H1843" s="30"/>
      <c r="I1843" s="30"/>
      <c r="J1843" s="30"/>
      <c r="K1843" s="30"/>
    </row>
    <row r="1844" spans="1:11" ht="15">
      <c r="A1844" s="30"/>
      <c r="B1844" s="30"/>
      <c r="C1844" s="30"/>
      <c r="D1844" s="30"/>
      <c r="E1844" s="30"/>
      <c r="F1844" s="30"/>
      <c r="G1844" s="30"/>
      <c r="H1844" s="30"/>
      <c r="I1844" s="30"/>
      <c r="J1844" s="30"/>
      <c r="K1844" s="30"/>
    </row>
    <row r="1845" spans="1:11" ht="15">
      <c r="A1845" s="30"/>
      <c r="B1845" s="30"/>
      <c r="C1845" s="30"/>
      <c r="D1845" s="30"/>
      <c r="E1845" s="30"/>
      <c r="F1845" s="30"/>
      <c r="G1845" s="30"/>
      <c r="H1845" s="30"/>
      <c r="I1845" s="30"/>
      <c r="J1845" s="30"/>
      <c r="K1845" s="30"/>
    </row>
    <row r="1846" spans="1:11" ht="15">
      <c r="A1846" s="30"/>
      <c r="B1846" s="30"/>
      <c r="C1846" s="30"/>
      <c r="D1846" s="30"/>
      <c r="E1846" s="30"/>
      <c r="F1846" s="30"/>
      <c r="G1846" s="30"/>
      <c r="H1846" s="30"/>
      <c r="I1846" s="30"/>
      <c r="J1846" s="30"/>
      <c r="K1846" s="30"/>
    </row>
    <row r="1847" spans="1:11" ht="15">
      <c r="A1847" s="30"/>
      <c r="B1847" s="30"/>
      <c r="C1847" s="30"/>
      <c r="D1847" s="30"/>
      <c r="E1847" s="30"/>
      <c r="F1847" s="30"/>
      <c r="G1847" s="30"/>
      <c r="H1847" s="30"/>
      <c r="I1847" s="30"/>
      <c r="J1847" s="30"/>
      <c r="K1847" s="30"/>
    </row>
    <row r="1848" spans="1:11" ht="15">
      <c r="A1848" s="30"/>
      <c r="B1848" s="30"/>
      <c r="C1848" s="30"/>
      <c r="D1848" s="30"/>
      <c r="E1848" s="30"/>
      <c r="F1848" s="30"/>
      <c r="G1848" s="30"/>
      <c r="H1848" s="30"/>
      <c r="I1848" s="30"/>
      <c r="J1848" s="30"/>
      <c r="K1848" s="30"/>
    </row>
    <row r="1849" spans="1:11" ht="15">
      <c r="A1849" s="30"/>
      <c r="B1849" s="30"/>
      <c r="C1849" s="30"/>
      <c r="D1849" s="30"/>
      <c r="E1849" s="30"/>
      <c r="F1849" s="30"/>
      <c r="G1849" s="30"/>
      <c r="H1849" s="30"/>
      <c r="I1849" s="30"/>
      <c r="J1849" s="30"/>
      <c r="K1849" s="30"/>
    </row>
    <row r="1850" spans="1:11" ht="15">
      <c r="A1850" s="30"/>
      <c r="B1850" s="30"/>
      <c r="C1850" s="30"/>
      <c r="D1850" s="30"/>
      <c r="E1850" s="30"/>
      <c r="F1850" s="30"/>
      <c r="G1850" s="30"/>
      <c r="H1850" s="30"/>
      <c r="I1850" s="30"/>
      <c r="J1850" s="30"/>
      <c r="K1850" s="30"/>
    </row>
    <row r="1851" spans="1:11" ht="15">
      <c r="A1851" s="30"/>
      <c r="B1851" s="30"/>
      <c r="C1851" s="30"/>
      <c r="D1851" s="30"/>
      <c r="E1851" s="30"/>
      <c r="F1851" s="30"/>
      <c r="G1851" s="30"/>
      <c r="H1851" s="30"/>
      <c r="I1851" s="30"/>
      <c r="J1851" s="30"/>
      <c r="K1851" s="30"/>
    </row>
    <row r="1852" spans="1:11" ht="15">
      <c r="A1852" s="30"/>
      <c r="B1852" s="30"/>
      <c r="C1852" s="30"/>
      <c r="D1852" s="30"/>
      <c r="E1852" s="30"/>
      <c r="F1852" s="30"/>
      <c r="G1852" s="30"/>
      <c r="H1852" s="30"/>
      <c r="I1852" s="30"/>
      <c r="J1852" s="30"/>
      <c r="K1852" s="30"/>
    </row>
    <row r="1853" spans="1:11" ht="15">
      <c r="A1853" s="30"/>
      <c r="B1853" s="30"/>
      <c r="C1853" s="30"/>
      <c r="D1853" s="30"/>
      <c r="E1853" s="30"/>
      <c r="F1853" s="30"/>
      <c r="G1853" s="30"/>
      <c r="H1853" s="30"/>
      <c r="I1853" s="30"/>
      <c r="J1853" s="30"/>
      <c r="K1853" s="30"/>
    </row>
    <row r="1854" spans="1:11" ht="15">
      <c r="A1854" s="30"/>
      <c r="B1854" s="30"/>
      <c r="C1854" s="30"/>
      <c r="D1854" s="30"/>
      <c r="E1854" s="30"/>
      <c r="F1854" s="30"/>
      <c r="G1854" s="30"/>
      <c r="H1854" s="30"/>
      <c r="I1854" s="30"/>
      <c r="J1854" s="30"/>
      <c r="K1854" s="30"/>
    </row>
    <row r="1855" spans="1:11" ht="15">
      <c r="A1855" s="30"/>
      <c r="B1855" s="30"/>
      <c r="C1855" s="30"/>
      <c r="D1855" s="30"/>
      <c r="E1855" s="30"/>
      <c r="F1855" s="30"/>
      <c r="G1855" s="30"/>
      <c r="H1855" s="30"/>
      <c r="I1855" s="30"/>
      <c r="J1855" s="30"/>
      <c r="K1855" s="30"/>
    </row>
    <row r="1856" spans="1:11" ht="15">
      <c r="A1856" s="30"/>
      <c r="B1856" s="30"/>
      <c r="C1856" s="30"/>
      <c r="D1856" s="30"/>
      <c r="E1856" s="30"/>
      <c r="F1856" s="30"/>
      <c r="G1856" s="30"/>
      <c r="H1856" s="30"/>
      <c r="I1856" s="30"/>
      <c r="J1856" s="30"/>
      <c r="K1856" s="30"/>
    </row>
    <row r="1857" spans="1:11" ht="15">
      <c r="A1857" s="30"/>
      <c r="B1857" s="30"/>
      <c r="C1857" s="30"/>
      <c r="D1857" s="30"/>
      <c r="E1857" s="30"/>
      <c r="F1857" s="30"/>
      <c r="G1857" s="30"/>
      <c r="H1857" s="30"/>
      <c r="I1857" s="30"/>
      <c r="J1857" s="30"/>
      <c r="K1857" s="30"/>
    </row>
    <row r="1858" spans="1:11" ht="15">
      <c r="A1858" s="30"/>
      <c r="B1858" s="30"/>
      <c r="C1858" s="30"/>
      <c r="D1858" s="30"/>
      <c r="E1858" s="30"/>
      <c r="F1858" s="30"/>
      <c r="G1858" s="30"/>
      <c r="H1858" s="30"/>
      <c r="I1858" s="30"/>
      <c r="J1858" s="30"/>
      <c r="K1858" s="30"/>
    </row>
    <row r="1859" spans="1:11" ht="15">
      <c r="A1859" s="30"/>
      <c r="B1859" s="30"/>
      <c r="C1859" s="30"/>
      <c r="D1859" s="30"/>
      <c r="E1859" s="30"/>
      <c r="F1859" s="30"/>
      <c r="G1859" s="30"/>
      <c r="H1859" s="30"/>
      <c r="I1859" s="30"/>
      <c r="J1859" s="30"/>
      <c r="K1859" s="30"/>
    </row>
    <row r="1860" spans="1:11" ht="15">
      <c r="A1860" s="30"/>
      <c r="B1860" s="30"/>
      <c r="C1860" s="30"/>
      <c r="D1860" s="30"/>
      <c r="E1860" s="30"/>
      <c r="F1860" s="30"/>
      <c r="G1860" s="30"/>
      <c r="H1860" s="30"/>
      <c r="I1860" s="30"/>
      <c r="J1860" s="30"/>
      <c r="K1860" s="30"/>
    </row>
    <row r="1861" spans="1:11" ht="15">
      <c r="A1861" s="30"/>
      <c r="B1861" s="30"/>
      <c r="C1861" s="30"/>
      <c r="D1861" s="30"/>
      <c r="E1861" s="30"/>
      <c r="F1861" s="30"/>
      <c r="G1861" s="30"/>
      <c r="H1861" s="30"/>
      <c r="I1861" s="30"/>
      <c r="J1861" s="30"/>
      <c r="K1861" s="30"/>
    </row>
    <row r="1862" spans="1:11" ht="15">
      <c r="A1862" s="30"/>
      <c r="B1862" s="30"/>
      <c r="C1862" s="30"/>
      <c r="D1862" s="30"/>
      <c r="E1862" s="30"/>
      <c r="F1862" s="30"/>
      <c r="G1862" s="30"/>
      <c r="H1862" s="30"/>
      <c r="I1862" s="30"/>
      <c r="J1862" s="30"/>
      <c r="K1862" s="30"/>
    </row>
    <row r="1863" spans="1:11" ht="15">
      <c r="A1863" s="30"/>
      <c r="B1863" s="30"/>
      <c r="C1863" s="30"/>
      <c r="D1863" s="30"/>
      <c r="E1863" s="30"/>
      <c r="F1863" s="30"/>
      <c r="G1863" s="30"/>
      <c r="H1863" s="30"/>
      <c r="I1863" s="30"/>
      <c r="J1863" s="30"/>
      <c r="K1863" s="30"/>
    </row>
    <row r="1864" spans="1:11" ht="15">
      <c r="A1864" s="30"/>
      <c r="B1864" s="30"/>
      <c r="C1864" s="30"/>
      <c r="D1864" s="30"/>
      <c r="E1864" s="30"/>
      <c r="F1864" s="30"/>
      <c r="G1864" s="30"/>
      <c r="H1864" s="30"/>
      <c r="I1864" s="30"/>
      <c r="J1864" s="30"/>
      <c r="K1864" s="30"/>
    </row>
    <row r="1865" spans="1:11" ht="15">
      <c r="A1865" s="30"/>
      <c r="B1865" s="30"/>
      <c r="C1865" s="30"/>
      <c r="D1865" s="30"/>
      <c r="E1865" s="30"/>
      <c r="F1865" s="30"/>
      <c r="G1865" s="30"/>
      <c r="H1865" s="30"/>
      <c r="I1865" s="30"/>
      <c r="J1865" s="30"/>
      <c r="K1865" s="30"/>
    </row>
    <row r="1866" spans="1:11" ht="15">
      <c r="A1866" s="30"/>
      <c r="B1866" s="30"/>
      <c r="C1866" s="30"/>
      <c r="D1866" s="30"/>
      <c r="E1866" s="30"/>
      <c r="F1866" s="30"/>
      <c r="G1866" s="30"/>
      <c r="H1866" s="30"/>
      <c r="I1866" s="30"/>
      <c r="J1866" s="30"/>
      <c r="K1866" s="30"/>
    </row>
    <row r="1867" spans="1:11" ht="15">
      <c r="A1867" s="30"/>
      <c r="B1867" s="30"/>
      <c r="C1867" s="30"/>
      <c r="D1867" s="30"/>
      <c r="E1867" s="30"/>
      <c r="F1867" s="30"/>
      <c r="G1867" s="30"/>
      <c r="H1867" s="30"/>
      <c r="I1867" s="30"/>
      <c r="J1867" s="30"/>
      <c r="K1867" s="30"/>
    </row>
    <row r="1868" spans="1:11" ht="15">
      <c r="A1868" s="30"/>
      <c r="B1868" s="30"/>
      <c r="C1868" s="30"/>
      <c r="D1868" s="30"/>
      <c r="E1868" s="30"/>
      <c r="F1868" s="30"/>
      <c r="G1868" s="30"/>
      <c r="H1868" s="30"/>
      <c r="I1868" s="30"/>
      <c r="J1868" s="30"/>
      <c r="K1868" s="30"/>
    </row>
    <row r="1869" spans="1:11" ht="15">
      <c r="A1869" s="30"/>
      <c r="B1869" s="30"/>
      <c r="C1869" s="30"/>
      <c r="D1869" s="30"/>
      <c r="E1869" s="30"/>
      <c r="F1869" s="30"/>
      <c r="G1869" s="30"/>
      <c r="H1869" s="30"/>
      <c r="I1869" s="30"/>
      <c r="J1869" s="30"/>
      <c r="K1869" s="30"/>
    </row>
    <row r="1870" spans="1:11" ht="15">
      <c r="A1870" s="30"/>
      <c r="B1870" s="30"/>
      <c r="C1870" s="30"/>
      <c r="D1870" s="30"/>
      <c r="E1870" s="30"/>
      <c r="F1870" s="30"/>
      <c r="G1870" s="30"/>
      <c r="H1870" s="30"/>
      <c r="I1870" s="30"/>
      <c r="J1870" s="30"/>
      <c r="K1870" s="30"/>
    </row>
    <row r="1871" spans="1:11" ht="15">
      <c r="A1871" s="30"/>
      <c r="B1871" s="30"/>
      <c r="C1871" s="30"/>
      <c r="D1871" s="30"/>
      <c r="E1871" s="30"/>
      <c r="F1871" s="30"/>
      <c r="G1871" s="30"/>
      <c r="H1871" s="30"/>
      <c r="I1871" s="30"/>
      <c r="J1871" s="30"/>
      <c r="K1871" s="30"/>
    </row>
    <row r="1872" spans="1:11" ht="15">
      <c r="A1872" s="30"/>
      <c r="B1872" s="30"/>
      <c r="C1872" s="30"/>
      <c r="D1872" s="30"/>
      <c r="E1872" s="30"/>
      <c r="F1872" s="30"/>
      <c r="G1872" s="30"/>
      <c r="H1872" s="30"/>
      <c r="I1872" s="30"/>
      <c r="J1872" s="30"/>
      <c r="K1872" s="30"/>
    </row>
    <row r="1873" spans="1:11" ht="15">
      <c r="A1873" s="30"/>
      <c r="B1873" s="30"/>
      <c r="C1873" s="30"/>
      <c r="D1873" s="30"/>
      <c r="E1873" s="30"/>
      <c r="F1873" s="30"/>
      <c r="G1873" s="30"/>
      <c r="H1873" s="30"/>
      <c r="I1873" s="30"/>
      <c r="J1873" s="30"/>
      <c r="K1873" s="30"/>
    </row>
    <row r="1874" spans="1:11" ht="15">
      <c r="A1874" s="30"/>
      <c r="B1874" s="30"/>
      <c r="C1874" s="30"/>
      <c r="D1874" s="30"/>
      <c r="E1874" s="30"/>
      <c r="F1874" s="30"/>
      <c r="G1874" s="30"/>
      <c r="H1874" s="30"/>
      <c r="I1874" s="30"/>
      <c r="J1874" s="30"/>
      <c r="K1874" s="30"/>
    </row>
    <row r="1875" spans="1:11" ht="15">
      <c r="A1875" s="30"/>
      <c r="B1875" s="30"/>
      <c r="C1875" s="30"/>
      <c r="D1875" s="30"/>
      <c r="E1875" s="30"/>
      <c r="F1875" s="30"/>
      <c r="G1875" s="30"/>
      <c r="H1875" s="30"/>
      <c r="I1875" s="30"/>
      <c r="J1875" s="30"/>
      <c r="K1875" s="30"/>
    </row>
    <row r="1876" spans="1:11" ht="15">
      <c r="A1876" s="30"/>
      <c r="B1876" s="30"/>
      <c r="C1876" s="30"/>
      <c r="D1876" s="30"/>
      <c r="E1876" s="30"/>
      <c r="F1876" s="30"/>
      <c r="G1876" s="30"/>
      <c r="H1876" s="30"/>
      <c r="I1876" s="30"/>
      <c r="J1876" s="30"/>
      <c r="K1876" s="30"/>
    </row>
    <row r="1877" spans="1:11" ht="15">
      <c r="A1877" s="30"/>
      <c r="B1877" s="30"/>
      <c r="C1877" s="30"/>
      <c r="D1877" s="30"/>
      <c r="E1877" s="30"/>
      <c r="F1877" s="30"/>
      <c r="G1877" s="30"/>
      <c r="H1877" s="30"/>
      <c r="I1877" s="30"/>
      <c r="J1877" s="30"/>
      <c r="K1877" s="30"/>
    </row>
    <row r="1878" spans="1:11" ht="15">
      <c r="A1878" s="30"/>
      <c r="B1878" s="30"/>
      <c r="C1878" s="30"/>
      <c r="D1878" s="30"/>
      <c r="E1878" s="30"/>
      <c r="F1878" s="30"/>
      <c r="G1878" s="30"/>
      <c r="H1878" s="30"/>
      <c r="I1878" s="30"/>
      <c r="J1878" s="30"/>
      <c r="K1878" s="30"/>
    </row>
    <row r="1879" spans="1:11" ht="15">
      <c r="A1879" s="30"/>
      <c r="B1879" s="30"/>
      <c r="C1879" s="30"/>
      <c r="D1879" s="30"/>
      <c r="E1879" s="30"/>
      <c r="F1879" s="30"/>
      <c r="G1879" s="30"/>
      <c r="H1879" s="30"/>
      <c r="I1879" s="30"/>
      <c r="J1879" s="30"/>
      <c r="K1879" s="30"/>
    </row>
    <row r="1880" spans="1:11" ht="15">
      <c r="A1880" s="30"/>
      <c r="B1880" s="30"/>
      <c r="C1880" s="30"/>
      <c r="D1880" s="30"/>
      <c r="E1880" s="30"/>
      <c r="F1880" s="30"/>
      <c r="G1880" s="30"/>
      <c r="H1880" s="30"/>
      <c r="I1880" s="30"/>
      <c r="J1880" s="30"/>
      <c r="K1880" s="30"/>
    </row>
    <row r="1881" spans="1:11" ht="15">
      <c r="A1881" s="30"/>
      <c r="B1881" s="30"/>
      <c r="C1881" s="30"/>
      <c r="D1881" s="30"/>
      <c r="E1881" s="30"/>
      <c r="F1881" s="30"/>
      <c r="G1881" s="30"/>
      <c r="H1881" s="30"/>
      <c r="I1881" s="30"/>
      <c r="J1881" s="30"/>
      <c r="K1881" s="30"/>
    </row>
    <row r="1882" spans="1:11" ht="15">
      <c r="A1882" s="30"/>
      <c r="B1882" s="30"/>
      <c r="C1882" s="30"/>
      <c r="D1882" s="30"/>
      <c r="E1882" s="30"/>
      <c r="F1882" s="30"/>
      <c r="G1882" s="30"/>
      <c r="H1882" s="30"/>
      <c r="I1882" s="30"/>
      <c r="J1882" s="30"/>
      <c r="K1882" s="30"/>
    </row>
    <row r="1883" spans="1:11" ht="15">
      <c r="A1883" s="30"/>
      <c r="B1883" s="30"/>
      <c r="C1883" s="30"/>
      <c r="D1883" s="30"/>
      <c r="E1883" s="30"/>
      <c r="F1883" s="30"/>
      <c r="G1883" s="30"/>
      <c r="H1883" s="30"/>
      <c r="I1883" s="30"/>
      <c r="J1883" s="30"/>
      <c r="K1883" s="30"/>
    </row>
    <row r="1884" spans="1:11" ht="15">
      <c r="A1884" s="30"/>
      <c r="B1884" s="30"/>
      <c r="C1884" s="30"/>
      <c r="D1884" s="30"/>
      <c r="E1884" s="30"/>
      <c r="F1884" s="30"/>
      <c r="G1884" s="30"/>
      <c r="H1884" s="30"/>
      <c r="I1884" s="30"/>
      <c r="J1884" s="30"/>
      <c r="K1884" s="30"/>
    </row>
    <row r="1885" spans="1:11" ht="15">
      <c r="A1885" s="30"/>
      <c r="B1885" s="30"/>
      <c r="C1885" s="30"/>
      <c r="D1885" s="30"/>
      <c r="E1885" s="30"/>
      <c r="F1885" s="30"/>
      <c r="G1885" s="30"/>
      <c r="H1885" s="30"/>
      <c r="I1885" s="30"/>
      <c r="J1885" s="30"/>
      <c r="K1885" s="30"/>
    </row>
    <row r="1886" spans="1:11" ht="15">
      <c r="A1886" s="30"/>
      <c r="B1886" s="30"/>
      <c r="C1886" s="30"/>
      <c r="D1886" s="30"/>
      <c r="E1886" s="30"/>
      <c r="F1886" s="30"/>
      <c r="G1886" s="30"/>
      <c r="H1886" s="30"/>
      <c r="I1886" s="30"/>
      <c r="J1886" s="30"/>
      <c r="K1886" s="30"/>
    </row>
    <row r="1887" spans="1:11" ht="15">
      <c r="A1887" s="30"/>
      <c r="B1887" s="30"/>
      <c r="C1887" s="30"/>
      <c r="D1887" s="30"/>
      <c r="E1887" s="30"/>
      <c r="F1887" s="30"/>
      <c r="G1887" s="30"/>
      <c r="H1887" s="30"/>
      <c r="I1887" s="30"/>
      <c r="J1887" s="30"/>
      <c r="K1887" s="30"/>
    </row>
    <row r="1888" spans="1:11" ht="15">
      <c r="A1888" s="30"/>
      <c r="B1888" s="30"/>
      <c r="C1888" s="30"/>
      <c r="D1888" s="30"/>
      <c r="E1888" s="30"/>
      <c r="F1888" s="30"/>
      <c r="G1888" s="30"/>
      <c r="H1888" s="30"/>
      <c r="I1888" s="30"/>
      <c r="J1888" s="30"/>
      <c r="K1888" s="30"/>
    </row>
    <row r="1889" spans="1:11" ht="15">
      <c r="A1889" s="30"/>
      <c r="B1889" s="30"/>
      <c r="C1889" s="30"/>
      <c r="D1889" s="30"/>
      <c r="E1889" s="30"/>
      <c r="F1889" s="30"/>
      <c r="G1889" s="30"/>
      <c r="H1889" s="30"/>
      <c r="I1889" s="30"/>
      <c r="J1889" s="30"/>
      <c r="K1889" s="30"/>
    </row>
    <row r="1890" spans="1:11" ht="15">
      <c r="A1890" s="30"/>
      <c r="B1890" s="30"/>
      <c r="C1890" s="30"/>
      <c r="D1890" s="30"/>
      <c r="E1890" s="30"/>
      <c r="F1890" s="30"/>
      <c r="G1890" s="30"/>
      <c r="H1890" s="30"/>
      <c r="I1890" s="30"/>
      <c r="J1890" s="30"/>
      <c r="K1890" s="30"/>
    </row>
    <row r="1891" spans="1:11" ht="15">
      <c r="A1891" s="30"/>
      <c r="B1891" s="30"/>
      <c r="C1891" s="30"/>
      <c r="D1891" s="30"/>
      <c r="E1891" s="30"/>
      <c r="F1891" s="30"/>
      <c r="G1891" s="30"/>
      <c r="H1891" s="30"/>
      <c r="I1891" s="30"/>
      <c r="J1891" s="30"/>
      <c r="K1891" s="30"/>
    </row>
    <row r="1892" spans="1:11" ht="15">
      <c r="A1892" s="30"/>
      <c r="B1892" s="30"/>
      <c r="C1892" s="30"/>
      <c r="D1892" s="30"/>
      <c r="E1892" s="30"/>
      <c r="F1892" s="30"/>
      <c r="G1892" s="30"/>
      <c r="H1892" s="30"/>
      <c r="I1892" s="30"/>
      <c r="J1892" s="30"/>
      <c r="K1892" s="30"/>
    </row>
    <row r="1893" spans="1:11" ht="15">
      <c r="A1893" s="30"/>
      <c r="B1893" s="30"/>
      <c r="C1893" s="30"/>
      <c r="D1893" s="30"/>
      <c r="E1893" s="30"/>
      <c r="F1893" s="30"/>
      <c r="G1893" s="30"/>
      <c r="H1893" s="30"/>
      <c r="I1893" s="30"/>
      <c r="J1893" s="30"/>
      <c r="K1893" s="30"/>
    </row>
    <row r="1894" spans="1:11" ht="15">
      <c r="A1894" s="30"/>
      <c r="B1894" s="30"/>
      <c r="C1894" s="30"/>
      <c r="D1894" s="30"/>
      <c r="E1894" s="30"/>
      <c r="F1894" s="30"/>
      <c r="G1894" s="30"/>
      <c r="H1894" s="30"/>
      <c r="I1894" s="30"/>
      <c r="J1894" s="30"/>
      <c r="K1894" s="30"/>
    </row>
    <row r="1895" spans="1:11" ht="15">
      <c r="A1895" s="30"/>
      <c r="B1895" s="30"/>
      <c r="C1895" s="30"/>
      <c r="D1895" s="30"/>
      <c r="E1895" s="30"/>
      <c r="F1895" s="30"/>
      <c r="G1895" s="30"/>
      <c r="H1895" s="30"/>
      <c r="I1895" s="30"/>
      <c r="J1895" s="30"/>
      <c r="K1895" s="30"/>
    </row>
    <row r="1896" spans="1:11" ht="15">
      <c r="A1896" s="30"/>
      <c r="B1896" s="30"/>
      <c r="C1896" s="30"/>
      <c r="D1896" s="30"/>
      <c r="E1896" s="30"/>
      <c r="F1896" s="30"/>
      <c r="G1896" s="30"/>
      <c r="H1896" s="30"/>
      <c r="I1896" s="30"/>
      <c r="J1896" s="30"/>
      <c r="K1896" s="30"/>
    </row>
    <row r="1897" spans="1:11" ht="15">
      <c r="A1897" s="30"/>
      <c r="B1897" s="30"/>
      <c r="C1897" s="30"/>
      <c r="D1897" s="30"/>
      <c r="E1897" s="30"/>
      <c r="F1897" s="30"/>
      <c r="G1897" s="30"/>
      <c r="H1897" s="30"/>
      <c r="I1897" s="30"/>
      <c r="J1897" s="30"/>
      <c r="K1897" s="30"/>
    </row>
    <row r="1898" spans="1:11" ht="15">
      <c r="A1898" s="30"/>
      <c r="B1898" s="30"/>
      <c r="C1898" s="30"/>
      <c r="D1898" s="30"/>
      <c r="E1898" s="30"/>
      <c r="F1898" s="30"/>
      <c r="G1898" s="30"/>
      <c r="H1898" s="30"/>
      <c r="I1898" s="30"/>
      <c r="J1898" s="30"/>
      <c r="K1898" s="30"/>
    </row>
    <row r="1899" spans="1:11" ht="15">
      <c r="A1899" s="30"/>
      <c r="B1899" s="30"/>
      <c r="C1899" s="30"/>
      <c r="D1899" s="30"/>
      <c r="E1899" s="30"/>
      <c r="F1899" s="30"/>
      <c r="G1899" s="30"/>
      <c r="H1899" s="30"/>
      <c r="I1899" s="30"/>
      <c r="J1899" s="30"/>
      <c r="K1899" s="30"/>
    </row>
    <row r="1900" spans="1:11" ht="15">
      <c r="A1900" s="30"/>
      <c r="B1900" s="30"/>
      <c r="C1900" s="30"/>
      <c r="D1900" s="30"/>
      <c r="E1900" s="30"/>
      <c r="F1900" s="30"/>
      <c r="G1900" s="30"/>
      <c r="H1900" s="30"/>
      <c r="I1900" s="30"/>
      <c r="J1900" s="30"/>
      <c r="K1900" s="30"/>
    </row>
    <row r="1901" spans="1:11" ht="15">
      <c r="A1901" s="30"/>
      <c r="B1901" s="30"/>
      <c r="C1901" s="30"/>
      <c r="D1901" s="30"/>
      <c r="E1901" s="30"/>
      <c r="F1901" s="30"/>
      <c r="G1901" s="30"/>
      <c r="H1901" s="30"/>
      <c r="I1901" s="30"/>
      <c r="J1901" s="30"/>
      <c r="K1901" s="30"/>
    </row>
    <row r="1902" spans="1:11" ht="15">
      <c r="A1902" s="30"/>
      <c r="B1902" s="30"/>
      <c r="C1902" s="30"/>
      <c r="D1902" s="30"/>
      <c r="E1902" s="30"/>
      <c r="F1902" s="30"/>
      <c r="G1902" s="30"/>
      <c r="H1902" s="30"/>
      <c r="I1902" s="30"/>
      <c r="J1902" s="30"/>
      <c r="K1902" s="30"/>
    </row>
    <row r="1903" spans="1:11" ht="15">
      <c r="A1903" s="30"/>
      <c r="B1903" s="30"/>
      <c r="C1903" s="30"/>
      <c r="D1903" s="30"/>
      <c r="E1903" s="30"/>
      <c r="F1903" s="30"/>
      <c r="G1903" s="30"/>
      <c r="H1903" s="30"/>
      <c r="I1903" s="30"/>
      <c r="J1903" s="30"/>
      <c r="K1903" s="30"/>
    </row>
    <row r="1904" spans="1:11" ht="15">
      <c r="A1904" s="30"/>
      <c r="B1904" s="30"/>
      <c r="C1904" s="30"/>
      <c r="D1904" s="30"/>
      <c r="E1904" s="30"/>
      <c r="F1904" s="30"/>
      <c r="G1904" s="30"/>
      <c r="H1904" s="30"/>
      <c r="I1904" s="30"/>
      <c r="J1904" s="30"/>
      <c r="K1904" s="30"/>
    </row>
    <row r="1905" spans="1:11" ht="15">
      <c r="A1905" s="30"/>
      <c r="B1905" s="30"/>
      <c r="C1905" s="30"/>
      <c r="D1905" s="30"/>
      <c r="E1905" s="30"/>
      <c r="F1905" s="30"/>
      <c r="G1905" s="30"/>
      <c r="H1905" s="30"/>
      <c r="I1905" s="30"/>
      <c r="J1905" s="30"/>
      <c r="K1905" s="30"/>
    </row>
    <row r="1906" spans="1:11" ht="15">
      <c r="A1906" s="30"/>
      <c r="B1906" s="30"/>
      <c r="C1906" s="30"/>
      <c r="D1906" s="30"/>
      <c r="E1906" s="30"/>
      <c r="F1906" s="30"/>
      <c r="G1906" s="30"/>
      <c r="H1906" s="30"/>
      <c r="I1906" s="30"/>
      <c r="J1906" s="30"/>
      <c r="K1906" s="30"/>
    </row>
    <row r="1907" spans="1:11" ht="15">
      <c r="A1907" s="30"/>
      <c r="B1907" s="30"/>
      <c r="C1907" s="30"/>
      <c r="D1907" s="30"/>
      <c r="E1907" s="30"/>
      <c r="F1907" s="30"/>
      <c r="G1907" s="30"/>
      <c r="H1907" s="30"/>
      <c r="I1907" s="30"/>
      <c r="J1907" s="30"/>
      <c r="K1907" s="30"/>
    </row>
    <row r="1908" spans="1:11" ht="15">
      <c r="A1908" s="30"/>
      <c r="B1908" s="30"/>
      <c r="C1908" s="30"/>
      <c r="D1908" s="30"/>
      <c r="E1908" s="30"/>
      <c r="F1908" s="30"/>
      <c r="G1908" s="30"/>
      <c r="H1908" s="30"/>
      <c r="I1908" s="30"/>
      <c r="J1908" s="30"/>
      <c r="K1908" s="30"/>
    </row>
    <row r="1909" spans="1:11" ht="15">
      <c r="A1909" s="30"/>
      <c r="B1909" s="30"/>
      <c r="C1909" s="30"/>
      <c r="D1909" s="30"/>
      <c r="E1909" s="30"/>
      <c r="F1909" s="30"/>
      <c r="G1909" s="30"/>
      <c r="H1909" s="30"/>
      <c r="I1909" s="30"/>
      <c r="J1909" s="30"/>
      <c r="K1909" s="30"/>
    </row>
    <row r="1910" spans="1:11" ht="15">
      <c r="A1910" s="30"/>
      <c r="B1910" s="30"/>
      <c r="C1910" s="30"/>
      <c r="D1910" s="30"/>
      <c r="E1910" s="30"/>
      <c r="F1910" s="30"/>
      <c r="G1910" s="30"/>
      <c r="H1910" s="30"/>
      <c r="I1910" s="30"/>
      <c r="J1910" s="30"/>
      <c r="K1910" s="30"/>
    </row>
    <row r="1911" spans="1:11" ht="15">
      <c r="A1911" s="30"/>
      <c r="B1911" s="30"/>
      <c r="C1911" s="30"/>
      <c r="D1911" s="30"/>
      <c r="E1911" s="30"/>
      <c r="F1911" s="30"/>
      <c r="G1911" s="30"/>
      <c r="H1911" s="30"/>
      <c r="I1911" s="30"/>
      <c r="J1911" s="30"/>
      <c r="K1911" s="30"/>
    </row>
    <row r="1912" spans="1:11" ht="15">
      <c r="A1912" s="30"/>
      <c r="B1912" s="30"/>
      <c r="C1912" s="30"/>
      <c r="D1912" s="30"/>
      <c r="E1912" s="30"/>
      <c r="F1912" s="30"/>
      <c r="G1912" s="30"/>
      <c r="H1912" s="30"/>
      <c r="I1912" s="30"/>
      <c r="J1912" s="30"/>
      <c r="K1912" s="30"/>
    </row>
    <row r="1913" spans="1:11" ht="15">
      <c r="A1913" s="30"/>
      <c r="B1913" s="30"/>
      <c r="C1913" s="30"/>
      <c r="D1913" s="30"/>
      <c r="E1913" s="30"/>
      <c r="F1913" s="30"/>
      <c r="G1913" s="30"/>
      <c r="H1913" s="30"/>
      <c r="I1913" s="30"/>
      <c r="J1913" s="30"/>
      <c r="K1913" s="30"/>
    </row>
    <row r="1914" spans="1:11" ht="15">
      <c r="A1914" s="30"/>
      <c r="B1914" s="30"/>
      <c r="C1914" s="30"/>
      <c r="D1914" s="30"/>
      <c r="E1914" s="30"/>
      <c r="F1914" s="30"/>
      <c r="G1914" s="30"/>
      <c r="H1914" s="30"/>
      <c r="I1914" s="30"/>
      <c r="J1914" s="30"/>
      <c r="K1914" s="30"/>
    </row>
    <row r="1915" spans="1:11" ht="15">
      <c r="A1915" s="30"/>
      <c r="B1915" s="30"/>
      <c r="C1915" s="30"/>
      <c r="D1915" s="30"/>
      <c r="E1915" s="30"/>
      <c r="F1915" s="30"/>
      <c r="G1915" s="30"/>
      <c r="H1915" s="30"/>
      <c r="I1915" s="30"/>
      <c r="J1915" s="30"/>
      <c r="K1915" s="30"/>
    </row>
    <row r="1916" spans="1:11" ht="15">
      <c r="A1916" s="30"/>
      <c r="B1916" s="30"/>
      <c r="C1916" s="30"/>
      <c r="D1916" s="30"/>
      <c r="E1916" s="30"/>
      <c r="F1916" s="30"/>
      <c r="G1916" s="30"/>
      <c r="H1916" s="30"/>
      <c r="I1916" s="30"/>
      <c r="J1916" s="30"/>
      <c r="K1916" s="30"/>
    </row>
    <row r="1917" spans="1:11" ht="15">
      <c r="A1917" s="30"/>
      <c r="B1917" s="30"/>
      <c r="C1917" s="30"/>
      <c r="D1917" s="30"/>
      <c r="E1917" s="30"/>
      <c r="F1917" s="30"/>
      <c r="G1917" s="30"/>
      <c r="H1917" s="30"/>
      <c r="I1917" s="30"/>
      <c r="J1917" s="30"/>
      <c r="K1917" s="30"/>
    </row>
    <row r="1918" spans="1:11" ht="15">
      <c r="A1918" s="30"/>
      <c r="B1918" s="30"/>
      <c r="C1918" s="30"/>
      <c r="D1918" s="30"/>
      <c r="E1918" s="30"/>
      <c r="F1918" s="30"/>
      <c r="G1918" s="30"/>
      <c r="H1918" s="30"/>
      <c r="I1918" s="30"/>
      <c r="J1918" s="30"/>
      <c r="K1918" s="30"/>
    </row>
    <row r="1919" spans="1:11" ht="15">
      <c r="A1919" s="30"/>
      <c r="B1919" s="30"/>
      <c r="C1919" s="30"/>
      <c r="D1919" s="30"/>
      <c r="E1919" s="30"/>
      <c r="F1919" s="30"/>
      <c r="G1919" s="30"/>
      <c r="H1919" s="30"/>
      <c r="I1919" s="30"/>
      <c r="J1919" s="30"/>
      <c r="K1919" s="30"/>
    </row>
    <row r="1920" spans="1:11" ht="15">
      <c r="A1920" s="30"/>
      <c r="B1920" s="30"/>
      <c r="C1920" s="30"/>
      <c r="D1920" s="30"/>
      <c r="E1920" s="30"/>
      <c r="F1920" s="30"/>
      <c r="G1920" s="30"/>
      <c r="H1920" s="30"/>
      <c r="I1920" s="30"/>
      <c r="J1920" s="30"/>
      <c r="K1920" s="30"/>
    </row>
    <row r="1921" spans="1:11" ht="15">
      <c r="A1921" s="30"/>
      <c r="B1921" s="30"/>
      <c r="C1921" s="30"/>
      <c r="D1921" s="30"/>
      <c r="E1921" s="30"/>
      <c r="F1921" s="30"/>
      <c r="G1921" s="30"/>
      <c r="H1921" s="30"/>
      <c r="I1921" s="30"/>
      <c r="J1921" s="30"/>
      <c r="K1921" s="30"/>
    </row>
    <row r="1922" spans="1:11" ht="15">
      <c r="A1922" s="30"/>
      <c r="B1922" s="30"/>
      <c r="C1922" s="30"/>
      <c r="D1922" s="30"/>
      <c r="E1922" s="30"/>
      <c r="F1922" s="30"/>
      <c r="G1922" s="30"/>
      <c r="H1922" s="30"/>
      <c r="I1922" s="30"/>
      <c r="J1922" s="30"/>
      <c r="K1922" s="30"/>
    </row>
    <row r="1923" spans="1:11" ht="15">
      <c r="A1923" s="30"/>
      <c r="B1923" s="30"/>
      <c r="C1923" s="30"/>
      <c r="D1923" s="30"/>
      <c r="E1923" s="30"/>
      <c r="F1923" s="30"/>
      <c r="G1923" s="30"/>
      <c r="H1923" s="30"/>
      <c r="I1923" s="30"/>
      <c r="J1923" s="30"/>
      <c r="K1923" s="30"/>
    </row>
    <row r="1924" spans="1:11" ht="15">
      <c r="A1924" s="30"/>
      <c r="B1924" s="30"/>
      <c r="C1924" s="30"/>
      <c r="D1924" s="30"/>
      <c r="E1924" s="30"/>
      <c r="F1924" s="30"/>
      <c r="G1924" s="30"/>
      <c r="H1924" s="30"/>
      <c r="I1924" s="30"/>
      <c r="J1924" s="30"/>
      <c r="K1924" s="30"/>
    </row>
    <row r="1925" spans="1:11" ht="15">
      <c r="A1925" s="30"/>
      <c r="B1925" s="30"/>
      <c r="C1925" s="30"/>
      <c r="D1925" s="30"/>
      <c r="E1925" s="30"/>
      <c r="F1925" s="30"/>
      <c r="G1925" s="30"/>
      <c r="H1925" s="30"/>
      <c r="I1925" s="30"/>
      <c r="J1925" s="30"/>
      <c r="K1925" s="30"/>
    </row>
    <row r="1926" spans="1:11" ht="15">
      <c r="A1926" s="30"/>
      <c r="B1926" s="30"/>
      <c r="C1926" s="30"/>
      <c r="D1926" s="30"/>
      <c r="E1926" s="30"/>
      <c r="F1926" s="30"/>
      <c r="G1926" s="30"/>
      <c r="H1926" s="30"/>
      <c r="I1926" s="30"/>
      <c r="J1926" s="30"/>
      <c r="K1926" s="30"/>
    </row>
    <row r="1927" spans="1:11" ht="15">
      <c r="A1927" s="30"/>
      <c r="B1927" s="30"/>
      <c r="C1927" s="30"/>
      <c r="D1927" s="30"/>
      <c r="E1927" s="30"/>
      <c r="F1927" s="30"/>
      <c r="G1927" s="30"/>
      <c r="H1927" s="30"/>
      <c r="I1927" s="30"/>
      <c r="J1927" s="30"/>
      <c r="K1927" s="30"/>
    </row>
    <row r="1928" spans="1:11" ht="15">
      <c r="A1928" s="30"/>
      <c r="B1928" s="30"/>
      <c r="C1928" s="30"/>
      <c r="D1928" s="30"/>
      <c r="E1928" s="30"/>
      <c r="F1928" s="30"/>
      <c r="G1928" s="30"/>
      <c r="H1928" s="30"/>
      <c r="I1928" s="30"/>
      <c r="J1928" s="30"/>
      <c r="K1928" s="30"/>
    </row>
    <row r="1929" spans="1:11" ht="15">
      <c r="A1929" s="30"/>
      <c r="B1929" s="30"/>
      <c r="C1929" s="30"/>
      <c r="D1929" s="30"/>
      <c r="E1929" s="30"/>
      <c r="F1929" s="30"/>
      <c r="G1929" s="30"/>
      <c r="H1929" s="30"/>
      <c r="I1929" s="30"/>
      <c r="J1929" s="30"/>
      <c r="K1929" s="30"/>
    </row>
    <row r="1930" spans="1:11" ht="15">
      <c r="A1930" s="30"/>
      <c r="B1930" s="30"/>
      <c r="C1930" s="30"/>
      <c r="D1930" s="30"/>
      <c r="E1930" s="30"/>
      <c r="F1930" s="30"/>
      <c r="G1930" s="30"/>
      <c r="H1930" s="30"/>
      <c r="I1930" s="30"/>
      <c r="J1930" s="30"/>
      <c r="K1930" s="30"/>
    </row>
    <row r="1931" spans="1:11" ht="15">
      <c r="A1931" s="30"/>
      <c r="B1931" s="30"/>
      <c r="C1931" s="30"/>
      <c r="D1931" s="30"/>
      <c r="E1931" s="30"/>
      <c r="F1931" s="30"/>
      <c r="G1931" s="30"/>
      <c r="H1931" s="30"/>
      <c r="I1931" s="30"/>
      <c r="J1931" s="30"/>
      <c r="K1931" s="30"/>
    </row>
    <row r="1932" spans="1:11" ht="15">
      <c r="A1932" s="30"/>
      <c r="B1932" s="30"/>
      <c r="C1932" s="30"/>
      <c r="D1932" s="30"/>
      <c r="E1932" s="30"/>
      <c r="F1932" s="30"/>
      <c r="G1932" s="30"/>
      <c r="H1932" s="30"/>
      <c r="I1932" s="30"/>
      <c r="J1932" s="30"/>
      <c r="K1932" s="30"/>
    </row>
    <row r="1933" spans="1:11" ht="15">
      <c r="A1933" s="30"/>
      <c r="B1933" s="30"/>
      <c r="C1933" s="30"/>
      <c r="D1933" s="30"/>
      <c r="E1933" s="30"/>
      <c r="F1933" s="30"/>
      <c r="G1933" s="30"/>
      <c r="H1933" s="30"/>
      <c r="I1933" s="30"/>
      <c r="J1933" s="30"/>
      <c r="K1933" s="30"/>
    </row>
    <row r="1934" spans="1:11" ht="15">
      <c r="A1934" s="30"/>
      <c r="B1934" s="30"/>
      <c r="C1934" s="30"/>
      <c r="D1934" s="30"/>
      <c r="E1934" s="30"/>
      <c r="F1934" s="30"/>
      <c r="G1934" s="30"/>
      <c r="H1934" s="30"/>
      <c r="I1934" s="30"/>
      <c r="J1934" s="30"/>
      <c r="K1934" s="30"/>
    </row>
    <row r="1935" spans="1:11" ht="15">
      <c r="A1935" s="30"/>
      <c r="B1935" s="30"/>
      <c r="C1935" s="30"/>
      <c r="D1935" s="30"/>
      <c r="E1935" s="30"/>
      <c r="F1935" s="30"/>
      <c r="G1935" s="30"/>
      <c r="H1935" s="30"/>
      <c r="I1935" s="30"/>
      <c r="J1935" s="30"/>
      <c r="K1935" s="30"/>
    </row>
    <row r="1936" spans="1:11" ht="15">
      <c r="A1936" s="30"/>
      <c r="B1936" s="30"/>
      <c r="C1936" s="30"/>
      <c r="D1936" s="30"/>
      <c r="E1936" s="30"/>
      <c r="F1936" s="30"/>
      <c r="G1936" s="30"/>
      <c r="H1936" s="30"/>
      <c r="I1936" s="30"/>
      <c r="J1936" s="30"/>
      <c r="K1936" s="30"/>
    </row>
    <row r="1937" spans="1:11" ht="15">
      <c r="A1937" s="30"/>
      <c r="B1937" s="30"/>
      <c r="C1937" s="30"/>
      <c r="D1937" s="30"/>
      <c r="E1937" s="30"/>
      <c r="F1937" s="30"/>
      <c r="G1937" s="30"/>
      <c r="H1937" s="30"/>
      <c r="I1937" s="30"/>
      <c r="J1937" s="30"/>
      <c r="K1937" s="30"/>
    </row>
    <row r="1938" spans="1:11" ht="15">
      <c r="A1938" s="30"/>
      <c r="B1938" s="30"/>
      <c r="C1938" s="30"/>
      <c r="D1938" s="30"/>
      <c r="E1938" s="30"/>
      <c r="F1938" s="30"/>
      <c r="G1938" s="30"/>
      <c r="H1938" s="30"/>
      <c r="I1938" s="30"/>
      <c r="J1938" s="30"/>
      <c r="K1938" s="30"/>
    </row>
    <row r="1939" spans="1:11" ht="15">
      <c r="A1939" s="30"/>
      <c r="B1939" s="30"/>
      <c r="C1939" s="30"/>
      <c r="D1939" s="30"/>
      <c r="E1939" s="30"/>
      <c r="F1939" s="30"/>
      <c r="G1939" s="30"/>
      <c r="H1939" s="30"/>
      <c r="I1939" s="30"/>
      <c r="J1939" s="30"/>
      <c r="K1939" s="30"/>
    </row>
    <row r="1940" spans="1:11" ht="15">
      <c r="A1940" s="30"/>
      <c r="B1940" s="30"/>
      <c r="C1940" s="30"/>
      <c r="D1940" s="30"/>
      <c r="E1940" s="30"/>
      <c r="F1940" s="30"/>
      <c r="G1940" s="30"/>
      <c r="H1940" s="30"/>
      <c r="I1940" s="30"/>
      <c r="J1940" s="30"/>
      <c r="K1940" s="30"/>
    </row>
    <row r="1941" spans="1:11" ht="15">
      <c r="A1941" s="30"/>
      <c r="B1941" s="30"/>
      <c r="C1941" s="30"/>
      <c r="D1941" s="30"/>
      <c r="E1941" s="30"/>
      <c r="F1941" s="30"/>
      <c r="G1941" s="30"/>
      <c r="H1941" s="30"/>
      <c r="I1941" s="30"/>
      <c r="J1941" s="30"/>
      <c r="K1941" s="30"/>
    </row>
    <row r="1942" spans="1:11" ht="15">
      <c r="A1942" s="30"/>
      <c r="B1942" s="30"/>
      <c r="C1942" s="30"/>
      <c r="D1942" s="30"/>
      <c r="E1942" s="30"/>
      <c r="F1942" s="30"/>
      <c r="G1942" s="30"/>
      <c r="H1942" s="30"/>
      <c r="I1942" s="30"/>
      <c r="J1942" s="30"/>
      <c r="K1942" s="30"/>
    </row>
    <row r="1943" spans="1:11" ht="15">
      <c r="A1943" s="30"/>
      <c r="B1943" s="30"/>
      <c r="C1943" s="30"/>
      <c r="D1943" s="30"/>
      <c r="E1943" s="30"/>
      <c r="F1943" s="30"/>
      <c r="G1943" s="30"/>
      <c r="H1943" s="30"/>
      <c r="I1943" s="30"/>
      <c r="J1943" s="30"/>
      <c r="K1943" s="30"/>
    </row>
    <row r="1944" spans="1:11" ht="15">
      <c r="A1944" s="30"/>
      <c r="B1944" s="30"/>
      <c r="C1944" s="30"/>
      <c r="D1944" s="30"/>
      <c r="E1944" s="30"/>
      <c r="F1944" s="30"/>
      <c r="G1944" s="30"/>
      <c r="H1944" s="30"/>
      <c r="I1944" s="30"/>
      <c r="J1944" s="30"/>
      <c r="K1944" s="30"/>
    </row>
    <row r="1945" spans="1:11" ht="15">
      <c r="A1945" s="30"/>
      <c r="B1945" s="30"/>
      <c r="C1945" s="30"/>
      <c r="D1945" s="30"/>
      <c r="E1945" s="30"/>
      <c r="F1945" s="30"/>
      <c r="G1945" s="30"/>
      <c r="H1945" s="30"/>
      <c r="I1945" s="30"/>
      <c r="J1945" s="30"/>
      <c r="K1945" s="30"/>
    </row>
    <row r="1946" spans="1:11" ht="15">
      <c r="A1946" s="30"/>
      <c r="B1946" s="30"/>
      <c r="C1946" s="30"/>
      <c r="D1946" s="30"/>
      <c r="E1946" s="30"/>
      <c r="F1946" s="30"/>
      <c r="G1946" s="30"/>
      <c r="H1946" s="30"/>
      <c r="I1946" s="30"/>
      <c r="J1946" s="30"/>
      <c r="K1946" s="30"/>
    </row>
    <row r="1947" spans="1:11" ht="15">
      <c r="A1947" s="30"/>
      <c r="B1947" s="30"/>
      <c r="C1947" s="30"/>
      <c r="D1947" s="30"/>
      <c r="E1947" s="30"/>
      <c r="F1947" s="30"/>
      <c r="G1947" s="30"/>
      <c r="H1947" s="30"/>
      <c r="I1947" s="30"/>
      <c r="J1947" s="30"/>
      <c r="K1947" s="30"/>
    </row>
    <row r="1948" spans="1:11" ht="15">
      <c r="A1948" s="30"/>
      <c r="B1948" s="30"/>
      <c r="C1948" s="30"/>
      <c r="D1948" s="30"/>
      <c r="E1948" s="30"/>
      <c r="F1948" s="30"/>
      <c r="G1948" s="30"/>
      <c r="H1948" s="30"/>
      <c r="I1948" s="30"/>
      <c r="J1948" s="30"/>
      <c r="K1948" s="30"/>
    </row>
    <row r="1949" spans="1:11" ht="15">
      <c r="A1949" s="30"/>
      <c r="B1949" s="30"/>
      <c r="C1949" s="30"/>
      <c r="D1949" s="30"/>
      <c r="E1949" s="30"/>
      <c r="F1949" s="30"/>
      <c r="G1949" s="30"/>
      <c r="H1949" s="30"/>
      <c r="I1949" s="30"/>
      <c r="J1949" s="30"/>
      <c r="K1949" s="30"/>
    </row>
    <row r="1950" spans="1:11" ht="15">
      <c r="A1950" s="30"/>
      <c r="B1950" s="30"/>
      <c r="C1950" s="30"/>
      <c r="D1950" s="30"/>
      <c r="E1950" s="30"/>
      <c r="F1950" s="30"/>
      <c r="G1950" s="30"/>
      <c r="H1950" s="30"/>
      <c r="I1950" s="30"/>
      <c r="J1950" s="30"/>
      <c r="K1950" s="30"/>
    </row>
    <row r="1951" spans="1:11" ht="15">
      <c r="A1951" s="30"/>
      <c r="B1951" s="30"/>
      <c r="C1951" s="30"/>
      <c r="D1951" s="30"/>
      <c r="E1951" s="30"/>
      <c r="F1951" s="30"/>
      <c r="G1951" s="30"/>
      <c r="H1951" s="30"/>
      <c r="I1951" s="30"/>
      <c r="J1951" s="30"/>
      <c r="K1951" s="30"/>
    </row>
    <row r="1952" spans="1:11" ht="15">
      <c r="A1952" s="30"/>
      <c r="B1952" s="30"/>
      <c r="C1952" s="30"/>
      <c r="D1952" s="30"/>
      <c r="E1952" s="30"/>
      <c r="F1952" s="30"/>
      <c r="G1952" s="30"/>
      <c r="H1952" s="30"/>
      <c r="I1952" s="30"/>
      <c r="J1952" s="30"/>
      <c r="K1952" s="30"/>
    </row>
    <row r="1953" spans="1:11" ht="15">
      <c r="A1953" s="30"/>
      <c r="B1953" s="30"/>
      <c r="C1953" s="30"/>
      <c r="D1953" s="30"/>
      <c r="E1953" s="30"/>
      <c r="F1953" s="30"/>
      <c r="G1953" s="30"/>
      <c r="H1953" s="30"/>
      <c r="I1953" s="30"/>
      <c r="J1953" s="30"/>
      <c r="K1953" s="30"/>
    </row>
    <row r="1954" spans="1:11" ht="15">
      <c r="A1954" s="30"/>
      <c r="B1954" s="30"/>
      <c r="C1954" s="30"/>
      <c r="D1954" s="30"/>
      <c r="E1954" s="30"/>
      <c r="F1954" s="30"/>
      <c r="G1954" s="30"/>
      <c r="H1954" s="30"/>
      <c r="I1954" s="30"/>
      <c r="J1954" s="30"/>
      <c r="K1954" s="30"/>
    </row>
    <row r="1955" spans="1:11" ht="15">
      <c r="A1955" s="30"/>
      <c r="B1955" s="30"/>
      <c r="C1955" s="30"/>
      <c r="D1955" s="30"/>
      <c r="E1955" s="30"/>
      <c r="F1955" s="30"/>
      <c r="G1955" s="30"/>
      <c r="H1955" s="30"/>
      <c r="I1955" s="30"/>
      <c r="J1955" s="30"/>
      <c r="K1955" s="30"/>
    </row>
    <row r="1956" spans="1:11" ht="15">
      <c r="A1956" s="30"/>
      <c r="B1956" s="30"/>
      <c r="C1956" s="30"/>
      <c r="D1956" s="30"/>
      <c r="E1956" s="30"/>
      <c r="F1956" s="30"/>
      <c r="G1956" s="30"/>
      <c r="H1956" s="30"/>
      <c r="I1956" s="30"/>
      <c r="J1956" s="30"/>
      <c r="K1956" s="30"/>
    </row>
    <row r="1957" spans="1:11" ht="15">
      <c r="A1957" s="30"/>
      <c r="B1957" s="30"/>
      <c r="C1957" s="30"/>
      <c r="D1957" s="30"/>
      <c r="E1957" s="30"/>
      <c r="F1957" s="30"/>
      <c r="G1957" s="30"/>
      <c r="H1957" s="30"/>
      <c r="I1957" s="30"/>
      <c r="J1957" s="30"/>
      <c r="K1957" s="30"/>
    </row>
    <row r="1958" spans="1:11" ht="15">
      <c r="A1958" s="30"/>
      <c r="B1958" s="30"/>
      <c r="C1958" s="30"/>
      <c r="D1958" s="30"/>
      <c r="E1958" s="30"/>
      <c r="F1958" s="30"/>
      <c r="G1958" s="30"/>
      <c r="H1958" s="30"/>
      <c r="I1958" s="30"/>
      <c r="J1958" s="30"/>
      <c r="K1958" s="30"/>
    </row>
    <row r="1959" spans="1:11" ht="15">
      <c r="A1959" s="30"/>
      <c r="B1959" s="30"/>
      <c r="C1959" s="30"/>
      <c r="D1959" s="30"/>
      <c r="E1959" s="30"/>
      <c r="F1959" s="30"/>
      <c r="G1959" s="30"/>
      <c r="H1959" s="30"/>
      <c r="I1959" s="30"/>
      <c r="J1959" s="30"/>
      <c r="K1959" s="30"/>
    </row>
    <row r="1960" spans="1:11" ht="15">
      <c r="A1960" s="30"/>
      <c r="B1960" s="30"/>
      <c r="C1960" s="30"/>
      <c r="D1960" s="30"/>
      <c r="E1960" s="30"/>
      <c r="F1960" s="30"/>
      <c r="G1960" s="30"/>
      <c r="H1960" s="30"/>
      <c r="I1960" s="30"/>
      <c r="J1960" s="30"/>
      <c r="K1960" s="30"/>
    </row>
    <row r="1961" spans="1:11" ht="15">
      <c r="A1961" s="30"/>
      <c r="B1961" s="30"/>
      <c r="C1961" s="30"/>
      <c r="D1961" s="30"/>
      <c r="E1961" s="30"/>
      <c r="F1961" s="30"/>
      <c r="G1961" s="30"/>
      <c r="H1961" s="30"/>
      <c r="I1961" s="30"/>
      <c r="J1961" s="30"/>
      <c r="K1961" s="30"/>
    </row>
    <row r="1962" spans="1:11" ht="15">
      <c r="A1962" s="30"/>
      <c r="B1962" s="30"/>
      <c r="C1962" s="30"/>
      <c r="D1962" s="30"/>
      <c r="E1962" s="30"/>
      <c r="F1962" s="30"/>
      <c r="G1962" s="30"/>
      <c r="H1962" s="30"/>
      <c r="I1962" s="30"/>
      <c r="J1962" s="30"/>
      <c r="K1962" s="30"/>
    </row>
    <row r="1963" spans="1:11" ht="15">
      <c r="A1963" s="30"/>
      <c r="B1963" s="30"/>
      <c r="C1963" s="30"/>
      <c r="D1963" s="30"/>
      <c r="E1963" s="30"/>
      <c r="F1963" s="30"/>
      <c r="G1963" s="30"/>
      <c r="H1963" s="30"/>
      <c r="I1963" s="30"/>
      <c r="J1963" s="30"/>
      <c r="K1963" s="30"/>
    </row>
    <row r="1964" spans="1:11" ht="15">
      <c r="A1964" s="30"/>
      <c r="B1964" s="30"/>
      <c r="C1964" s="30"/>
      <c r="D1964" s="30"/>
      <c r="E1964" s="30"/>
      <c r="F1964" s="30"/>
      <c r="G1964" s="30"/>
      <c r="H1964" s="30"/>
      <c r="I1964" s="30"/>
      <c r="J1964" s="30"/>
      <c r="K1964" s="30"/>
    </row>
    <row r="1965" spans="1:11" ht="15">
      <c r="A1965" s="30"/>
      <c r="B1965" s="30"/>
      <c r="C1965" s="30"/>
      <c r="D1965" s="30"/>
      <c r="E1965" s="30"/>
      <c r="F1965" s="30"/>
      <c r="G1965" s="30"/>
      <c r="H1965" s="30"/>
      <c r="I1965" s="30"/>
      <c r="J1965" s="30"/>
      <c r="K1965" s="30"/>
    </row>
    <row r="1966" spans="1:11" ht="15">
      <c r="A1966" s="30"/>
      <c r="B1966" s="30"/>
      <c r="C1966" s="30"/>
      <c r="D1966" s="30"/>
      <c r="E1966" s="30"/>
      <c r="F1966" s="30"/>
      <c r="G1966" s="30"/>
      <c r="H1966" s="30"/>
      <c r="I1966" s="30"/>
      <c r="J1966" s="30"/>
      <c r="K1966" s="30"/>
    </row>
    <row r="1967" spans="1:11" ht="15">
      <c r="A1967" s="30"/>
      <c r="B1967" s="30"/>
      <c r="C1967" s="30"/>
      <c r="D1967" s="30"/>
      <c r="E1967" s="30"/>
      <c r="F1967" s="30"/>
      <c r="G1967" s="30"/>
      <c r="H1967" s="30"/>
      <c r="I1967" s="30"/>
      <c r="J1967" s="30"/>
      <c r="K1967" s="30"/>
    </row>
    <row r="1968" spans="1:11" ht="15">
      <c r="A1968" s="30"/>
      <c r="B1968" s="30"/>
      <c r="C1968" s="30"/>
      <c r="D1968" s="30"/>
      <c r="E1968" s="30"/>
      <c r="F1968" s="30"/>
      <c r="G1968" s="30"/>
      <c r="H1968" s="30"/>
      <c r="I1968" s="30"/>
      <c r="J1968" s="30"/>
      <c r="K1968" s="30"/>
    </row>
    <row r="1969" spans="1:11" ht="15">
      <c r="A1969" s="30"/>
      <c r="B1969" s="30"/>
      <c r="C1969" s="30"/>
      <c r="D1969" s="30"/>
      <c r="E1969" s="30"/>
      <c r="F1969" s="30"/>
      <c r="G1969" s="30"/>
      <c r="H1969" s="30"/>
      <c r="I1969" s="30"/>
      <c r="J1969" s="30"/>
      <c r="K1969" s="30"/>
    </row>
    <row r="1970" spans="1:11" ht="15">
      <c r="A1970" s="30"/>
      <c r="B1970" s="30"/>
      <c r="C1970" s="30"/>
      <c r="D1970" s="30"/>
      <c r="E1970" s="30"/>
      <c r="F1970" s="30"/>
      <c r="G1970" s="30"/>
      <c r="H1970" s="30"/>
      <c r="I1970" s="30"/>
      <c r="J1970" s="30"/>
      <c r="K1970" s="30"/>
    </row>
    <row r="1971" spans="1:11" ht="15">
      <c r="A1971" s="30"/>
      <c r="B1971" s="30"/>
      <c r="C1971" s="30"/>
      <c r="D1971" s="30"/>
      <c r="E1971" s="30"/>
      <c r="F1971" s="30"/>
      <c r="G1971" s="30"/>
      <c r="H1971" s="30"/>
      <c r="I1971" s="30"/>
      <c r="J1971" s="30"/>
      <c r="K1971" s="30"/>
    </row>
    <row r="1972" spans="1:11" ht="15">
      <c r="A1972" s="30"/>
      <c r="B1972" s="30"/>
      <c r="C1972" s="30"/>
      <c r="D1972" s="30"/>
      <c r="E1972" s="30"/>
      <c r="F1972" s="30"/>
      <c r="G1972" s="30"/>
      <c r="H1972" s="30"/>
      <c r="I1972" s="30"/>
      <c r="J1972" s="30"/>
      <c r="K1972" s="30"/>
    </row>
    <row r="1973" spans="1:11" ht="15">
      <c r="A1973" s="30"/>
      <c r="B1973" s="30"/>
      <c r="C1973" s="30"/>
      <c r="D1973" s="30"/>
      <c r="E1973" s="30"/>
      <c r="F1973" s="30"/>
      <c r="G1973" s="30"/>
      <c r="H1973" s="30"/>
      <c r="I1973" s="30"/>
      <c r="J1973" s="30"/>
      <c r="K1973" s="30"/>
    </row>
    <row r="1974" spans="1:11" ht="15">
      <c r="A1974" s="30"/>
      <c r="B1974" s="30"/>
      <c r="C1974" s="30"/>
      <c r="D1974" s="30"/>
      <c r="E1974" s="30"/>
      <c r="F1974" s="30"/>
      <c r="G1974" s="30"/>
      <c r="H1974" s="30"/>
      <c r="I1974" s="30"/>
      <c r="J1974" s="30"/>
      <c r="K1974" s="30"/>
    </row>
    <row r="1975" spans="1:11" ht="15">
      <c r="A1975" s="30"/>
      <c r="B1975" s="30"/>
      <c r="C1975" s="30"/>
      <c r="D1975" s="30"/>
      <c r="E1975" s="30"/>
      <c r="F1975" s="30"/>
      <c r="G1975" s="30"/>
      <c r="H1975" s="30"/>
      <c r="I1975" s="30"/>
      <c r="J1975" s="30"/>
      <c r="K1975" s="30"/>
    </row>
    <row r="1976" spans="1:11" ht="15">
      <c r="A1976" s="30"/>
      <c r="B1976" s="30"/>
      <c r="C1976" s="30"/>
      <c r="D1976" s="30"/>
      <c r="E1976" s="30"/>
      <c r="F1976" s="30"/>
      <c r="G1976" s="30"/>
      <c r="H1976" s="30"/>
      <c r="I1976" s="30"/>
      <c r="J1976" s="30"/>
      <c r="K1976" s="30"/>
    </row>
    <row r="1977" spans="1:11" ht="15">
      <c r="A1977" s="30"/>
      <c r="B1977" s="30"/>
      <c r="C1977" s="30"/>
      <c r="D1977" s="30"/>
      <c r="E1977" s="30"/>
      <c r="F1977" s="30"/>
      <c r="G1977" s="30"/>
      <c r="H1977" s="30"/>
      <c r="I1977" s="30"/>
      <c r="J1977" s="30"/>
      <c r="K1977" s="30"/>
    </row>
    <row r="1978" spans="1:11" ht="15">
      <c r="A1978" s="30"/>
      <c r="B1978" s="30"/>
      <c r="C1978" s="30"/>
      <c r="D1978" s="30"/>
      <c r="E1978" s="30"/>
      <c r="F1978" s="30"/>
      <c r="G1978" s="30"/>
      <c r="H1978" s="30"/>
      <c r="I1978" s="30"/>
      <c r="J1978" s="30"/>
      <c r="K1978" s="30"/>
    </row>
    <row r="1979" spans="1:11" ht="15">
      <c r="A1979" s="30"/>
      <c r="B1979" s="30"/>
      <c r="C1979" s="30"/>
      <c r="D1979" s="30"/>
      <c r="E1979" s="30"/>
      <c r="F1979" s="30"/>
      <c r="G1979" s="30"/>
      <c r="H1979" s="30"/>
      <c r="I1979" s="30"/>
      <c r="J1979" s="30"/>
      <c r="K1979" s="30"/>
    </row>
    <row r="1980" spans="1:11" ht="15">
      <c r="A1980" s="30"/>
      <c r="B1980" s="30"/>
      <c r="C1980" s="30"/>
      <c r="D1980" s="30"/>
      <c r="E1980" s="30"/>
      <c r="F1980" s="30"/>
      <c r="G1980" s="30"/>
      <c r="H1980" s="30"/>
      <c r="I1980" s="30"/>
      <c r="J1980" s="30"/>
      <c r="K1980" s="30"/>
    </row>
    <row r="1981" spans="1:11" ht="15">
      <c r="A1981" s="30"/>
      <c r="B1981" s="30"/>
      <c r="C1981" s="30"/>
      <c r="D1981" s="30"/>
      <c r="E1981" s="30"/>
      <c r="F1981" s="30"/>
      <c r="G1981" s="30"/>
      <c r="H1981" s="30"/>
      <c r="I1981" s="30"/>
      <c r="J1981" s="30"/>
      <c r="K1981" s="30"/>
    </row>
    <row r="1982" spans="1:11" ht="15">
      <c r="A1982" s="30"/>
      <c r="B1982" s="30"/>
      <c r="C1982" s="30"/>
      <c r="D1982" s="30"/>
      <c r="E1982" s="30"/>
      <c r="F1982" s="30"/>
      <c r="G1982" s="30"/>
      <c r="H1982" s="30"/>
      <c r="I1982" s="30"/>
      <c r="J1982" s="30"/>
      <c r="K1982" s="30"/>
    </row>
    <row r="1983" spans="1:11" ht="15">
      <c r="A1983" s="30"/>
      <c r="B1983" s="30"/>
      <c r="C1983" s="30"/>
      <c r="D1983" s="30"/>
      <c r="E1983" s="30"/>
      <c r="F1983" s="30"/>
      <c r="G1983" s="30"/>
      <c r="H1983" s="30"/>
      <c r="I1983" s="30"/>
      <c r="J1983" s="30"/>
      <c r="K1983" s="30"/>
    </row>
    <row r="1984" spans="1:11" ht="15">
      <c r="A1984" s="30"/>
      <c r="B1984" s="30"/>
      <c r="C1984" s="30"/>
      <c r="D1984" s="30"/>
      <c r="E1984" s="30"/>
      <c r="F1984" s="30"/>
      <c r="G1984" s="30"/>
      <c r="H1984" s="30"/>
      <c r="I1984" s="30"/>
      <c r="J1984" s="30"/>
      <c r="K1984" s="30"/>
    </row>
    <row r="1985" spans="1:11" ht="15">
      <c r="A1985" s="30"/>
      <c r="B1985" s="30"/>
      <c r="C1985" s="30"/>
      <c r="D1985" s="30"/>
      <c r="E1985" s="30"/>
      <c r="F1985" s="30"/>
      <c r="G1985" s="30"/>
      <c r="H1985" s="30"/>
      <c r="I1985" s="30"/>
      <c r="J1985" s="30"/>
      <c r="K1985" s="30"/>
    </row>
    <row r="1986" spans="1:11" ht="15">
      <c r="A1986" s="30"/>
      <c r="B1986" s="30"/>
      <c r="C1986" s="30"/>
      <c r="D1986" s="30"/>
      <c r="E1986" s="30"/>
      <c r="F1986" s="30"/>
      <c r="G1986" s="30"/>
      <c r="H1986" s="30"/>
      <c r="I1986" s="30"/>
      <c r="J1986" s="30"/>
      <c r="K1986" s="30"/>
    </row>
    <row r="1987" spans="1:11" ht="15">
      <c r="A1987" s="30"/>
      <c r="B1987" s="30"/>
      <c r="C1987" s="30"/>
      <c r="D1987" s="30"/>
      <c r="E1987" s="30"/>
      <c r="F1987" s="30"/>
      <c r="G1987" s="30"/>
      <c r="H1987" s="30"/>
      <c r="I1987" s="30"/>
      <c r="J1987" s="30"/>
      <c r="K1987" s="30"/>
    </row>
    <row r="1988" spans="1:11" ht="15">
      <c r="A1988" s="30"/>
      <c r="B1988" s="30"/>
      <c r="C1988" s="30"/>
      <c r="D1988" s="30"/>
      <c r="E1988" s="30"/>
      <c r="F1988" s="30"/>
      <c r="G1988" s="30"/>
      <c r="H1988" s="30"/>
      <c r="I1988" s="30"/>
      <c r="J1988" s="30"/>
      <c r="K1988" s="30"/>
    </row>
    <row r="1989" spans="1:11" ht="15">
      <c r="A1989" s="30"/>
      <c r="B1989" s="30"/>
      <c r="C1989" s="30"/>
      <c r="D1989" s="30"/>
      <c r="E1989" s="30"/>
      <c r="F1989" s="30"/>
      <c r="G1989" s="30"/>
      <c r="H1989" s="30"/>
      <c r="I1989" s="30"/>
      <c r="J1989" s="30"/>
      <c r="K1989" s="30"/>
    </row>
    <row r="1990" spans="1:11" ht="15">
      <c r="A1990" s="30"/>
      <c r="B1990" s="30"/>
      <c r="C1990" s="30"/>
      <c r="D1990" s="30"/>
      <c r="E1990" s="30"/>
      <c r="F1990" s="30"/>
      <c r="G1990" s="30"/>
      <c r="H1990" s="30"/>
      <c r="I1990" s="30"/>
      <c r="J1990" s="30"/>
      <c r="K1990" s="30"/>
    </row>
    <row r="1991" spans="1:11" ht="15">
      <c r="A1991" s="30"/>
      <c r="B1991" s="30"/>
      <c r="C1991" s="30"/>
      <c r="D1991" s="30"/>
      <c r="E1991" s="30"/>
      <c r="F1991" s="30"/>
      <c r="G1991" s="30"/>
      <c r="H1991" s="30"/>
      <c r="I1991" s="30"/>
      <c r="J1991" s="30"/>
      <c r="K1991" s="30"/>
    </row>
    <row r="1992" spans="1:11" ht="15">
      <c r="A1992" s="30"/>
      <c r="B1992" s="30"/>
      <c r="C1992" s="30"/>
      <c r="D1992" s="30"/>
      <c r="E1992" s="30"/>
      <c r="F1992" s="30"/>
      <c r="G1992" s="30"/>
      <c r="H1992" s="30"/>
      <c r="I1992" s="30"/>
      <c r="J1992" s="30"/>
      <c r="K1992" s="30"/>
    </row>
    <row r="1993" spans="1:11" ht="15">
      <c r="A1993" s="30"/>
      <c r="B1993" s="30"/>
      <c r="C1993" s="30"/>
      <c r="D1993" s="30"/>
      <c r="E1993" s="30"/>
      <c r="F1993" s="30"/>
      <c r="G1993" s="30"/>
      <c r="H1993" s="30"/>
      <c r="I1993" s="30"/>
      <c r="J1993" s="30"/>
      <c r="K1993" s="30"/>
    </row>
    <row r="1994" spans="1:11" ht="15">
      <c r="A1994" s="30"/>
      <c r="B1994" s="30"/>
      <c r="C1994" s="30"/>
      <c r="D1994" s="30"/>
      <c r="E1994" s="30"/>
      <c r="F1994" s="30"/>
      <c r="G1994" s="30"/>
      <c r="H1994" s="30"/>
      <c r="I1994" s="30"/>
      <c r="J1994" s="30"/>
      <c r="K1994" s="30"/>
    </row>
    <row r="1995" spans="1:11" ht="15">
      <c r="A1995" s="30"/>
      <c r="B1995" s="30"/>
      <c r="C1995" s="30"/>
      <c r="D1995" s="30"/>
      <c r="E1995" s="30"/>
      <c r="F1995" s="30"/>
      <c r="G1995" s="30"/>
      <c r="H1995" s="30"/>
      <c r="I1995" s="30"/>
      <c r="J1995" s="30"/>
      <c r="K1995" s="30"/>
    </row>
    <row r="1996" spans="1:11" ht="15">
      <c r="A1996" s="30"/>
      <c r="B1996" s="30"/>
      <c r="C1996" s="30"/>
      <c r="D1996" s="30"/>
      <c r="E1996" s="30"/>
      <c r="F1996" s="30"/>
      <c r="G1996" s="30"/>
      <c r="H1996" s="30"/>
      <c r="I1996" s="30"/>
      <c r="J1996" s="30"/>
      <c r="K1996" s="30"/>
    </row>
    <row r="1997" spans="1:11" ht="15">
      <c r="A1997" s="30"/>
      <c r="B1997" s="30"/>
      <c r="C1997" s="30"/>
      <c r="D1997" s="30"/>
      <c r="E1997" s="30"/>
      <c r="F1997" s="30"/>
      <c r="G1997" s="30"/>
      <c r="H1997" s="30"/>
      <c r="I1997" s="30"/>
      <c r="J1997" s="30"/>
      <c r="K1997" s="30"/>
    </row>
    <row r="1998" spans="1:11" ht="15">
      <c r="A1998" s="30"/>
      <c r="B1998" s="30"/>
      <c r="C1998" s="30"/>
      <c r="D1998" s="30"/>
      <c r="E1998" s="30"/>
      <c r="F1998" s="30"/>
      <c r="G1998" s="30"/>
      <c r="H1998" s="30"/>
      <c r="I1998" s="30"/>
      <c r="J1998" s="30"/>
      <c r="K1998" s="30"/>
    </row>
    <row r="1999" spans="1:11" ht="15">
      <c r="A1999" s="30"/>
      <c r="B1999" s="30"/>
      <c r="C1999" s="30"/>
      <c r="D1999" s="30"/>
      <c r="E1999" s="30"/>
      <c r="F1999" s="30"/>
      <c r="G1999" s="30"/>
      <c r="H1999" s="30"/>
      <c r="I1999" s="30"/>
      <c r="J1999" s="30"/>
      <c r="K1999" s="30"/>
    </row>
    <row r="2000" spans="1:11" ht="15">
      <c r="A2000" s="30"/>
      <c r="B2000" s="30"/>
      <c r="C2000" s="30"/>
      <c r="D2000" s="30"/>
      <c r="E2000" s="30"/>
      <c r="F2000" s="30"/>
      <c r="G2000" s="30"/>
      <c r="H2000" s="30"/>
      <c r="I2000" s="30"/>
      <c r="J2000" s="30"/>
      <c r="K2000" s="30"/>
    </row>
  </sheetData>
  <conditionalFormatting sqref="K2:K116">
    <cfRule type="cellIs" dxfId="94" priority="1" operator="equal">
      <formula>"Partial"</formula>
    </cfRule>
    <cfRule type="cellIs" dxfId="93" priority="2" operator="equal">
      <formula>"No"</formula>
    </cfRule>
    <cfRule type="cellIs" dxfId="92" priority="3" operator="equal">
      <formula>"Yes"</formula>
    </cfRule>
  </conditionalFormatting>
  <dataValidations count="1">
    <dataValidation type="list" allowBlank="1" showInputMessage="1" showErrorMessage="1" sqref="K2:K116" xr:uid="{D5039621-06B9-4A43-9DC2-5BFC2C47F392}">
      <formula1>#REF!</formula1>
    </dataValidation>
  </dataValidations>
  <hyperlinks>
    <hyperlink ref="B2" r:id="rId1" display="Agent@email.com" xr:uid="{75E7CD13-081C-4FF4-8184-604D2693AA95}"/>
    <hyperlink ref="R1" r:id="rId2" display="https://help.mypurecloud.com/articles/import-phones/" xr:uid="{1B3313DA-F601-49BD-875C-D14B1EF99423}"/>
    <hyperlink ref="D3" r:id="rId3" xr:uid="{6FA04090-E2F8-4DB4-A690-94AF3FF4FA45}"/>
  </hyperlinks>
  <pageMargins left="0.7" right="0.7" top="0.75" bottom="0.75" header="0.3" footer="0.3"/>
  <pageSetup orientation="portrait"/>
  <tableParts count="1">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A1EF3-0615-4479-9035-B3076766BC98}">
  <sheetPr codeName="Sheet9">
    <tabColor rgb="FFFF4F1F"/>
  </sheetPr>
  <dimension ref="A1:F30"/>
  <sheetViews>
    <sheetView workbookViewId="0">
      <pane ySplit="2" topLeftCell="A3" activePane="bottomLeft" state="frozen"/>
      <selection pane="bottomLeft" activeCell="A3" sqref="A3"/>
    </sheetView>
  </sheetViews>
  <sheetFormatPr defaultRowHeight="15"/>
  <cols>
    <col min="1" max="1" width="31.5703125" bestFit="1" customWidth="1"/>
    <col min="2" max="2" width="24.7109375" customWidth="1"/>
    <col min="3" max="3" width="45.28515625" customWidth="1"/>
    <col min="4" max="4" width="11.85546875" customWidth="1"/>
  </cols>
  <sheetData>
    <row r="1" spans="1:6" ht="18.75">
      <c r="A1" s="32" t="s">
        <v>386</v>
      </c>
    </row>
    <row r="2" spans="1:6">
      <c r="A2" s="20" t="s">
        <v>387</v>
      </c>
      <c r="B2" s="33" t="s">
        <v>66</v>
      </c>
      <c r="C2" s="33" t="s">
        <v>388</v>
      </c>
      <c r="D2" s="33" t="s">
        <v>260</v>
      </c>
      <c r="E2" s="33" t="s">
        <v>228</v>
      </c>
      <c r="F2" s="5" t="s">
        <v>389</v>
      </c>
    </row>
    <row r="3" spans="1:6">
      <c r="A3" s="34" t="s">
        <v>390</v>
      </c>
      <c r="D3" s="47"/>
      <c r="E3" s="47"/>
    </row>
    <row r="4" spans="1:6">
      <c r="A4" s="35" t="s">
        <v>376</v>
      </c>
      <c r="B4" s="29"/>
      <c r="D4" s="47"/>
      <c r="E4" s="47"/>
    </row>
    <row r="5" spans="1:6" ht="45">
      <c r="A5" t="s">
        <v>380</v>
      </c>
      <c r="C5" s="9" t="s">
        <v>391</v>
      </c>
      <c r="D5" s="47"/>
      <c r="E5" s="47"/>
    </row>
    <row r="6" spans="1:6">
      <c r="A6" t="s">
        <v>381</v>
      </c>
      <c r="D6" s="47"/>
      <c r="E6" s="47"/>
    </row>
    <row r="7" spans="1:6">
      <c r="A7" t="s">
        <v>392</v>
      </c>
      <c r="D7" s="47"/>
      <c r="E7" s="47"/>
    </row>
    <row r="8" spans="1:6">
      <c r="A8" t="s">
        <v>393</v>
      </c>
      <c r="D8" s="47"/>
      <c r="E8" s="47"/>
    </row>
    <row r="9" spans="1:6">
      <c r="A9" t="s">
        <v>394</v>
      </c>
      <c r="D9" s="47"/>
      <c r="E9" s="47"/>
    </row>
    <row r="10" spans="1:6">
      <c r="A10" t="s">
        <v>395</v>
      </c>
      <c r="D10" s="47"/>
      <c r="E10" s="47"/>
    </row>
    <row r="11" spans="1:6">
      <c r="A11" t="s">
        <v>396</v>
      </c>
      <c r="D11" s="47"/>
      <c r="E11" s="47"/>
    </row>
    <row r="12" spans="1:6">
      <c r="A12" t="s">
        <v>383</v>
      </c>
      <c r="C12" s="7" t="s">
        <v>397</v>
      </c>
      <c r="D12" s="47"/>
      <c r="E12" s="47"/>
    </row>
    <row r="13" spans="1:6">
      <c r="A13" t="s">
        <v>382</v>
      </c>
      <c r="D13" s="47"/>
      <c r="E13" s="47"/>
    </row>
    <row r="14" spans="1:6">
      <c r="A14" t="s">
        <v>398</v>
      </c>
      <c r="D14" s="47"/>
      <c r="E14" s="47"/>
    </row>
    <row r="15" spans="1:6">
      <c r="A15" t="s">
        <v>399</v>
      </c>
      <c r="D15" s="47"/>
      <c r="E15" s="47"/>
    </row>
    <row r="16" spans="1:6">
      <c r="A16" t="s">
        <v>400</v>
      </c>
      <c r="D16" s="47"/>
      <c r="E16" s="47"/>
    </row>
    <row r="17" spans="1:5">
      <c r="A17" t="s">
        <v>401</v>
      </c>
      <c r="D17" s="47"/>
      <c r="E17" s="47"/>
    </row>
    <row r="18" spans="1:5">
      <c r="D18" s="47"/>
      <c r="E18" s="47"/>
    </row>
    <row r="19" spans="1:5">
      <c r="D19" s="47"/>
      <c r="E19" s="47"/>
    </row>
    <row r="20" spans="1:5">
      <c r="D20" s="47"/>
      <c r="E20" s="47"/>
    </row>
    <row r="21" spans="1:5">
      <c r="D21" s="47"/>
      <c r="E21" s="47"/>
    </row>
    <row r="22" spans="1:5">
      <c r="D22" s="47"/>
      <c r="E22" s="47"/>
    </row>
    <row r="23" spans="1:5">
      <c r="D23" s="47"/>
      <c r="E23" s="47"/>
    </row>
    <row r="24" spans="1:5">
      <c r="D24" s="47"/>
      <c r="E24" s="47"/>
    </row>
    <row r="25" spans="1:5">
      <c r="D25" s="47"/>
      <c r="E25" s="47"/>
    </row>
    <row r="26" spans="1:5">
      <c r="D26" s="47"/>
      <c r="E26" s="47"/>
    </row>
    <row r="27" spans="1:5">
      <c r="D27" s="47"/>
      <c r="E27" s="47"/>
    </row>
    <row r="28" spans="1:5">
      <c r="D28" s="47"/>
      <c r="E28" s="47"/>
    </row>
    <row r="29" spans="1:5">
      <c r="D29" s="47"/>
      <c r="E29" s="47"/>
    </row>
    <row r="30" spans="1:5">
      <c r="D30" s="47"/>
      <c r="E30" s="47"/>
    </row>
  </sheetData>
  <conditionalFormatting sqref="D3:E30">
    <cfRule type="cellIs" dxfId="78" priority="1" operator="equal">
      <formula>"Partial"</formula>
    </cfRule>
    <cfRule type="cellIs" dxfId="77" priority="2" operator="equal">
      <formula>"No"</formula>
    </cfRule>
    <cfRule type="cellIs" dxfId="76" priority="3" operator="equal">
      <formula>"Yes"</formula>
    </cfRule>
  </conditionalFormatting>
  <dataValidations count="1">
    <dataValidation type="list" allowBlank="1" showInputMessage="1" showErrorMessage="1" sqref="D3:E30" xr:uid="{A123FAC8-7416-48B5-A7E5-54130C7346A3}">
      <formula1>#REF!</formula1>
    </dataValidation>
  </dataValidations>
  <hyperlinks>
    <hyperlink ref="F2" r:id="rId1" display="https://help.mypurecloud.com/articles/about-roles-permissions/" xr:uid="{BB9912B2-D338-47C7-8E69-45ABF4070987}"/>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5B155-3F50-4737-8158-3E2470592535}">
  <sheetPr codeName="Sheet13">
    <tabColor rgb="FF92D050"/>
  </sheetPr>
  <dimension ref="A1:I758"/>
  <sheetViews>
    <sheetView workbookViewId="0">
      <pane ySplit="1" topLeftCell="A8" activePane="bottomLeft" state="frozen"/>
      <selection pane="bottomLeft" activeCell="F9" sqref="F9"/>
    </sheetView>
  </sheetViews>
  <sheetFormatPr defaultRowHeight="15"/>
  <cols>
    <col min="1" max="1" width="29.5703125" customWidth="1"/>
    <col min="2" max="2" width="42.140625" customWidth="1"/>
    <col min="3" max="3" width="53.140625" customWidth="1"/>
    <col min="4" max="4" width="14.42578125" customWidth="1"/>
    <col min="5" max="5" width="12.7109375" customWidth="1"/>
    <col min="6" max="6" width="42.7109375" customWidth="1"/>
    <col min="9" max="9" width="29.85546875" bestFit="1" customWidth="1"/>
  </cols>
  <sheetData>
    <row r="1" spans="1:9">
      <c r="A1" s="20" t="s">
        <v>402</v>
      </c>
      <c r="B1" s="33" t="s">
        <v>66</v>
      </c>
      <c r="C1" s="33" t="s">
        <v>403</v>
      </c>
      <c r="D1" s="33" t="s">
        <v>260</v>
      </c>
      <c r="E1" s="33" t="s">
        <v>228</v>
      </c>
      <c r="F1" t="s">
        <v>404</v>
      </c>
      <c r="H1" s="5" t="s">
        <v>405</v>
      </c>
    </row>
    <row r="2" spans="1:9" ht="210">
      <c r="A2" s="150" t="s">
        <v>355</v>
      </c>
      <c r="B2" s="8"/>
      <c r="C2" s="8" t="s">
        <v>406</v>
      </c>
      <c r="D2" s="47" t="s">
        <v>192</v>
      </c>
      <c r="E2" s="47" t="s">
        <v>192</v>
      </c>
    </row>
    <row r="3" spans="1:9" ht="195">
      <c r="A3" s="151" t="s">
        <v>407</v>
      </c>
      <c r="B3" s="8"/>
      <c r="C3" s="8" t="s">
        <v>408</v>
      </c>
      <c r="D3" s="47" t="s">
        <v>192</v>
      </c>
      <c r="E3" s="47" t="s">
        <v>192</v>
      </c>
    </row>
    <row r="4" spans="1:9">
      <c r="A4" s="152" t="s">
        <v>409</v>
      </c>
      <c r="D4" s="47" t="s">
        <v>192</v>
      </c>
      <c r="E4" s="47" t="s">
        <v>192</v>
      </c>
    </row>
    <row r="5" spans="1:9">
      <c r="A5" s="152" t="s">
        <v>410</v>
      </c>
      <c r="D5" s="47" t="s">
        <v>192</v>
      </c>
      <c r="E5" s="47" t="s">
        <v>192</v>
      </c>
    </row>
    <row r="6" spans="1:9">
      <c r="A6" s="152" t="s">
        <v>411</v>
      </c>
      <c r="D6" s="47" t="s">
        <v>192</v>
      </c>
      <c r="E6" s="47" t="s">
        <v>192</v>
      </c>
    </row>
    <row r="7" spans="1:9" ht="60">
      <c r="A7" s="90" t="s">
        <v>412</v>
      </c>
      <c r="C7" s="30" t="s">
        <v>413</v>
      </c>
      <c r="D7" s="47" t="s">
        <v>192</v>
      </c>
      <c r="E7" s="47" t="s">
        <v>192</v>
      </c>
    </row>
    <row r="8" spans="1:9" ht="45">
      <c r="A8" s="152" t="s">
        <v>414</v>
      </c>
      <c r="B8" t="s">
        <v>415</v>
      </c>
      <c r="C8" t="s">
        <v>416</v>
      </c>
      <c r="D8" s="47" t="s">
        <v>192</v>
      </c>
      <c r="E8" s="47" t="s">
        <v>192</v>
      </c>
      <c r="F8" s="154" t="s">
        <v>417</v>
      </c>
      <c r="H8" t="s">
        <v>418</v>
      </c>
    </row>
    <row r="9" spans="1:9" ht="120">
      <c r="A9" s="152"/>
      <c r="D9" s="47"/>
      <c r="E9" s="47"/>
      <c r="F9" s="30" t="s">
        <v>419</v>
      </c>
      <c r="H9" t="s">
        <v>418</v>
      </c>
      <c r="I9" t="s">
        <v>418</v>
      </c>
    </row>
    <row r="10" spans="1:9">
      <c r="A10" s="152"/>
      <c r="D10" s="47"/>
      <c r="E10" s="47"/>
      <c r="H10" t="s">
        <v>418</v>
      </c>
    </row>
    <row r="11" spans="1:9">
      <c r="A11" s="152"/>
      <c r="D11" s="47"/>
      <c r="E11" s="47"/>
      <c r="I11" t="s">
        <v>418</v>
      </c>
    </row>
    <row r="12" spans="1:9">
      <c r="A12" s="152"/>
      <c r="D12" s="47"/>
      <c r="E12" s="47"/>
    </row>
    <row r="13" spans="1:9">
      <c r="A13" s="152"/>
      <c r="D13" s="47"/>
      <c r="E13" s="47"/>
      <c r="I13" t="s">
        <v>418</v>
      </c>
    </row>
    <row r="14" spans="1:9">
      <c r="A14" s="152"/>
      <c r="D14" s="47"/>
      <c r="E14" s="47"/>
      <c r="I14" t="s">
        <v>418</v>
      </c>
    </row>
    <row r="15" spans="1:9">
      <c r="A15" s="152"/>
      <c r="D15" s="47"/>
      <c r="E15" s="47"/>
    </row>
    <row r="16" spans="1:9">
      <c r="A16" s="152"/>
      <c r="D16" s="47"/>
      <c r="E16" s="47"/>
    </row>
    <row r="17" spans="1:5">
      <c r="A17" s="152"/>
      <c r="D17" s="47"/>
      <c r="E17" s="47"/>
    </row>
    <row r="18" spans="1:5">
      <c r="A18" s="152"/>
      <c r="D18" s="47"/>
      <c r="E18" s="47"/>
    </row>
    <row r="19" spans="1:5">
      <c r="A19" s="152"/>
      <c r="D19" s="47"/>
      <c r="E19" s="47"/>
    </row>
    <row r="20" spans="1:5">
      <c r="A20" s="152"/>
      <c r="D20" s="47"/>
      <c r="E20" s="47"/>
    </row>
    <row r="21" spans="1:5">
      <c r="A21" s="152"/>
      <c r="D21" s="47"/>
      <c r="E21" s="47"/>
    </row>
    <row r="22" spans="1:5">
      <c r="A22" s="152"/>
    </row>
    <row r="23" spans="1:5">
      <c r="A23" s="152"/>
    </row>
    <row r="24" spans="1:5">
      <c r="A24" s="152"/>
    </row>
    <row r="25" spans="1:5">
      <c r="A25" s="152"/>
    </row>
    <row r="26" spans="1:5">
      <c r="A26" s="152"/>
    </row>
    <row r="27" spans="1:5">
      <c r="A27" s="152"/>
    </row>
    <row r="28" spans="1:5">
      <c r="A28" s="152"/>
    </row>
    <row r="29" spans="1:5">
      <c r="A29" s="152"/>
    </row>
    <row r="30" spans="1:5">
      <c r="A30" s="152"/>
    </row>
    <row r="31" spans="1:5">
      <c r="A31" s="152"/>
    </row>
    <row r="32" spans="1:5">
      <c r="A32" s="152"/>
    </row>
    <row r="33" spans="1:1">
      <c r="A33" s="152"/>
    </row>
    <row r="34" spans="1:1">
      <c r="A34" s="152"/>
    </row>
    <row r="35" spans="1:1">
      <c r="A35" s="152"/>
    </row>
    <row r="36" spans="1:1">
      <c r="A36" s="152"/>
    </row>
    <row r="37" spans="1:1">
      <c r="A37" s="152"/>
    </row>
    <row r="38" spans="1:1">
      <c r="A38" s="152"/>
    </row>
    <row r="39" spans="1:1">
      <c r="A39" s="152"/>
    </row>
    <row r="40" spans="1:1">
      <c r="A40" s="152"/>
    </row>
    <row r="41" spans="1:1">
      <c r="A41" s="152"/>
    </row>
    <row r="42" spans="1:1">
      <c r="A42" s="152"/>
    </row>
    <row r="43" spans="1:1">
      <c r="A43" s="152"/>
    </row>
    <row r="44" spans="1:1">
      <c r="A44" s="152"/>
    </row>
    <row r="45" spans="1:1">
      <c r="A45" s="152"/>
    </row>
    <row r="46" spans="1:1">
      <c r="A46" s="152"/>
    </row>
    <row r="47" spans="1:1">
      <c r="A47" s="152"/>
    </row>
    <row r="48" spans="1:1">
      <c r="A48" s="152"/>
    </row>
    <row r="49" spans="1:1">
      <c r="A49" s="152"/>
    </row>
    <row r="50" spans="1:1">
      <c r="A50" s="152"/>
    </row>
    <row r="51" spans="1:1">
      <c r="A51" s="152"/>
    </row>
    <row r="52" spans="1:1">
      <c r="A52" s="152"/>
    </row>
    <row r="53" spans="1:1">
      <c r="A53" s="152"/>
    </row>
    <row r="54" spans="1:1">
      <c r="A54" s="152"/>
    </row>
    <row r="55" spans="1:1">
      <c r="A55" s="152"/>
    </row>
    <row r="56" spans="1:1">
      <c r="A56" s="152"/>
    </row>
    <row r="57" spans="1:1">
      <c r="A57" s="152"/>
    </row>
    <row r="58" spans="1:1">
      <c r="A58" s="152"/>
    </row>
    <row r="59" spans="1:1">
      <c r="A59" s="152"/>
    </row>
    <row r="60" spans="1:1">
      <c r="A60" s="152"/>
    </row>
    <row r="61" spans="1:1">
      <c r="A61" s="152"/>
    </row>
    <row r="62" spans="1:1">
      <c r="A62" s="152"/>
    </row>
    <row r="63" spans="1:1">
      <c r="A63" s="152"/>
    </row>
    <row r="64" spans="1:1">
      <c r="A64" s="152"/>
    </row>
    <row r="65" spans="1:1">
      <c r="A65" s="152"/>
    </row>
    <row r="66" spans="1:1">
      <c r="A66" s="152"/>
    </row>
    <row r="67" spans="1:1">
      <c r="A67" s="152"/>
    </row>
    <row r="68" spans="1:1">
      <c r="A68" s="152"/>
    </row>
    <row r="69" spans="1:1">
      <c r="A69" s="152"/>
    </row>
    <row r="70" spans="1:1">
      <c r="A70" s="152"/>
    </row>
    <row r="71" spans="1:1">
      <c r="A71" s="152"/>
    </row>
    <row r="72" spans="1:1">
      <c r="A72" s="152"/>
    </row>
    <row r="73" spans="1:1">
      <c r="A73" s="152"/>
    </row>
    <row r="74" spans="1:1">
      <c r="A74" s="152"/>
    </row>
    <row r="75" spans="1:1">
      <c r="A75" s="152"/>
    </row>
    <row r="76" spans="1:1">
      <c r="A76" s="152"/>
    </row>
    <row r="77" spans="1:1">
      <c r="A77" s="152"/>
    </row>
    <row r="78" spans="1:1">
      <c r="A78" s="152"/>
    </row>
    <row r="79" spans="1:1">
      <c r="A79" s="152"/>
    </row>
    <row r="80" spans="1:1">
      <c r="A80" s="152"/>
    </row>
    <row r="81" spans="1:1">
      <c r="A81" s="152"/>
    </row>
    <row r="82" spans="1:1">
      <c r="A82" s="152"/>
    </row>
    <row r="83" spans="1:1">
      <c r="A83" s="152"/>
    </row>
    <row r="84" spans="1:1">
      <c r="A84" s="152"/>
    </row>
    <row r="85" spans="1:1">
      <c r="A85" s="152"/>
    </row>
    <row r="86" spans="1:1">
      <c r="A86" s="152"/>
    </row>
    <row r="87" spans="1:1">
      <c r="A87" s="152"/>
    </row>
    <row r="88" spans="1:1">
      <c r="A88" s="152"/>
    </row>
    <row r="89" spans="1:1">
      <c r="A89" s="152"/>
    </row>
    <row r="90" spans="1:1">
      <c r="A90" s="152"/>
    </row>
    <row r="91" spans="1:1">
      <c r="A91" s="152"/>
    </row>
    <row r="92" spans="1:1">
      <c r="A92" s="152"/>
    </row>
    <row r="93" spans="1:1">
      <c r="A93" s="152"/>
    </row>
    <row r="94" spans="1:1">
      <c r="A94" s="152"/>
    </row>
    <row r="95" spans="1:1">
      <c r="A95" s="152"/>
    </row>
    <row r="96" spans="1:1">
      <c r="A96" s="152"/>
    </row>
    <row r="97" spans="1:1">
      <c r="A97" s="152"/>
    </row>
    <row r="98" spans="1:1">
      <c r="A98" s="152"/>
    </row>
    <row r="99" spans="1:1">
      <c r="A99" s="152"/>
    </row>
    <row r="100" spans="1:1">
      <c r="A100" s="152"/>
    </row>
    <row r="101" spans="1:1">
      <c r="A101" s="152"/>
    </row>
    <row r="102" spans="1:1">
      <c r="A102" s="152"/>
    </row>
    <row r="103" spans="1:1">
      <c r="A103" s="152"/>
    </row>
    <row r="104" spans="1:1">
      <c r="A104" s="152"/>
    </row>
    <row r="105" spans="1:1">
      <c r="A105" s="152"/>
    </row>
    <row r="106" spans="1:1">
      <c r="A106" s="152"/>
    </row>
    <row r="107" spans="1:1">
      <c r="A107" s="152"/>
    </row>
    <row r="108" spans="1:1">
      <c r="A108" s="152"/>
    </row>
    <row r="109" spans="1:1">
      <c r="A109" s="152"/>
    </row>
    <row r="110" spans="1:1">
      <c r="A110" s="152"/>
    </row>
    <row r="111" spans="1:1">
      <c r="A111" s="152"/>
    </row>
    <row r="112" spans="1:1">
      <c r="A112" s="152"/>
    </row>
    <row r="113" spans="1:1">
      <c r="A113" s="152"/>
    </row>
    <row r="114" spans="1:1">
      <c r="A114" s="152"/>
    </row>
    <row r="115" spans="1:1">
      <c r="A115" s="152"/>
    </row>
    <row r="116" spans="1:1">
      <c r="A116" s="152"/>
    </row>
    <row r="117" spans="1:1">
      <c r="A117" s="152"/>
    </row>
    <row r="118" spans="1:1">
      <c r="A118" s="152"/>
    </row>
    <row r="119" spans="1:1">
      <c r="A119" s="152"/>
    </row>
    <row r="120" spans="1:1">
      <c r="A120" s="152"/>
    </row>
    <row r="121" spans="1:1">
      <c r="A121" s="152"/>
    </row>
    <row r="122" spans="1:1">
      <c r="A122" s="152"/>
    </row>
    <row r="123" spans="1:1">
      <c r="A123" s="152"/>
    </row>
    <row r="124" spans="1:1">
      <c r="A124" s="152"/>
    </row>
    <row r="125" spans="1:1">
      <c r="A125" s="152"/>
    </row>
    <row r="126" spans="1:1">
      <c r="A126" s="152"/>
    </row>
    <row r="127" spans="1:1">
      <c r="A127" s="152"/>
    </row>
    <row r="128" spans="1:1">
      <c r="A128" s="152"/>
    </row>
    <row r="129" spans="1:1">
      <c r="A129" s="152"/>
    </row>
    <row r="130" spans="1:1">
      <c r="A130" s="152"/>
    </row>
    <row r="131" spans="1:1">
      <c r="A131" s="152"/>
    </row>
    <row r="132" spans="1:1">
      <c r="A132" s="152"/>
    </row>
    <row r="133" spans="1:1">
      <c r="A133" s="152"/>
    </row>
    <row r="134" spans="1:1">
      <c r="A134" s="152"/>
    </row>
    <row r="135" spans="1:1">
      <c r="A135" s="152"/>
    </row>
    <row r="136" spans="1:1">
      <c r="A136" s="152"/>
    </row>
    <row r="137" spans="1:1">
      <c r="A137" s="152"/>
    </row>
    <row r="138" spans="1:1">
      <c r="A138" s="152"/>
    </row>
    <row r="139" spans="1:1">
      <c r="A139" s="152"/>
    </row>
    <row r="140" spans="1:1">
      <c r="A140" s="152"/>
    </row>
    <row r="141" spans="1:1">
      <c r="A141" s="152"/>
    </row>
    <row r="142" spans="1:1">
      <c r="A142" s="152"/>
    </row>
    <row r="143" spans="1:1">
      <c r="A143" s="152"/>
    </row>
    <row r="144" spans="1:1">
      <c r="A144" s="152"/>
    </row>
    <row r="145" spans="1:1">
      <c r="A145" s="152"/>
    </row>
    <row r="146" spans="1:1">
      <c r="A146" s="152"/>
    </row>
    <row r="147" spans="1:1">
      <c r="A147" s="152"/>
    </row>
    <row r="148" spans="1:1">
      <c r="A148" s="152"/>
    </row>
    <row r="149" spans="1:1">
      <c r="A149" s="152"/>
    </row>
    <row r="150" spans="1:1">
      <c r="A150" s="152"/>
    </row>
    <row r="151" spans="1:1">
      <c r="A151" s="152"/>
    </row>
    <row r="152" spans="1:1">
      <c r="A152" s="152"/>
    </row>
    <row r="153" spans="1:1">
      <c r="A153" s="152"/>
    </row>
    <row r="154" spans="1:1">
      <c r="A154" s="152"/>
    </row>
    <row r="155" spans="1:1">
      <c r="A155" s="152"/>
    </row>
    <row r="156" spans="1:1">
      <c r="A156" s="152"/>
    </row>
    <row r="157" spans="1:1">
      <c r="A157" s="152"/>
    </row>
    <row r="158" spans="1:1">
      <c r="A158" s="152"/>
    </row>
    <row r="159" spans="1:1">
      <c r="A159" s="152"/>
    </row>
    <row r="160" spans="1:1">
      <c r="A160" s="152"/>
    </row>
    <row r="161" spans="1:1">
      <c r="A161" s="152"/>
    </row>
    <row r="162" spans="1:1">
      <c r="A162" s="152"/>
    </row>
    <row r="163" spans="1:1">
      <c r="A163" s="152"/>
    </row>
    <row r="164" spans="1:1">
      <c r="A164" s="152"/>
    </row>
    <row r="165" spans="1:1">
      <c r="A165" s="152"/>
    </row>
    <row r="166" spans="1:1">
      <c r="A166" s="152"/>
    </row>
    <row r="167" spans="1:1">
      <c r="A167" s="152"/>
    </row>
    <row r="168" spans="1:1">
      <c r="A168" s="152"/>
    </row>
    <row r="169" spans="1:1">
      <c r="A169" s="152"/>
    </row>
    <row r="170" spans="1:1">
      <c r="A170" s="152"/>
    </row>
    <row r="171" spans="1:1">
      <c r="A171" s="152"/>
    </row>
    <row r="172" spans="1:1">
      <c r="A172" s="152"/>
    </row>
    <row r="173" spans="1:1">
      <c r="A173" s="152"/>
    </row>
    <row r="174" spans="1:1">
      <c r="A174" s="152"/>
    </row>
    <row r="175" spans="1:1">
      <c r="A175" s="152"/>
    </row>
    <row r="176" spans="1:1">
      <c r="A176" s="152"/>
    </row>
    <row r="177" spans="1:1">
      <c r="A177" s="152"/>
    </row>
    <row r="178" spans="1:1">
      <c r="A178" s="152"/>
    </row>
    <row r="179" spans="1:1">
      <c r="A179" s="152"/>
    </row>
    <row r="180" spans="1:1">
      <c r="A180" s="152"/>
    </row>
    <row r="181" spans="1:1">
      <c r="A181" s="152"/>
    </row>
    <row r="182" spans="1:1">
      <c r="A182" s="152"/>
    </row>
    <row r="183" spans="1:1">
      <c r="A183" s="152"/>
    </row>
    <row r="184" spans="1:1">
      <c r="A184" s="152"/>
    </row>
    <row r="185" spans="1:1">
      <c r="A185" s="152"/>
    </row>
    <row r="186" spans="1:1">
      <c r="A186" s="152"/>
    </row>
    <row r="187" spans="1:1">
      <c r="A187" s="152"/>
    </row>
    <row r="188" spans="1:1">
      <c r="A188" s="152"/>
    </row>
    <row r="189" spans="1:1">
      <c r="A189" s="152"/>
    </row>
    <row r="190" spans="1:1">
      <c r="A190" s="152"/>
    </row>
    <row r="191" spans="1:1">
      <c r="A191" s="152"/>
    </row>
    <row r="192" spans="1:1">
      <c r="A192" s="152"/>
    </row>
    <row r="193" spans="1:1">
      <c r="A193" s="152"/>
    </row>
    <row r="194" spans="1:1">
      <c r="A194" s="152"/>
    </row>
    <row r="195" spans="1:1">
      <c r="A195" s="152"/>
    </row>
    <row r="196" spans="1:1">
      <c r="A196" s="152"/>
    </row>
    <row r="197" spans="1:1">
      <c r="A197" s="152"/>
    </row>
    <row r="198" spans="1:1">
      <c r="A198" s="152"/>
    </row>
    <row r="199" spans="1:1">
      <c r="A199" s="152"/>
    </row>
    <row r="200" spans="1:1">
      <c r="A200" s="152"/>
    </row>
    <row r="201" spans="1:1">
      <c r="A201" s="152"/>
    </row>
    <row r="202" spans="1:1">
      <c r="A202" s="152"/>
    </row>
    <row r="203" spans="1:1">
      <c r="A203" s="152"/>
    </row>
    <row r="204" spans="1:1">
      <c r="A204" s="152"/>
    </row>
    <row r="205" spans="1:1">
      <c r="A205" s="152"/>
    </row>
    <row r="206" spans="1:1">
      <c r="A206" s="152"/>
    </row>
    <row r="207" spans="1:1">
      <c r="A207" s="152"/>
    </row>
    <row r="208" spans="1:1">
      <c r="A208" s="152"/>
    </row>
    <row r="209" spans="1:1">
      <c r="A209" s="152"/>
    </row>
    <row r="210" spans="1:1">
      <c r="A210" s="152"/>
    </row>
    <row r="211" spans="1:1">
      <c r="A211" s="152"/>
    </row>
    <row r="212" spans="1:1">
      <c r="A212" s="152"/>
    </row>
    <row r="213" spans="1:1">
      <c r="A213" s="152"/>
    </row>
    <row r="214" spans="1:1">
      <c r="A214" s="152"/>
    </row>
    <row r="215" spans="1:1">
      <c r="A215" s="152"/>
    </row>
    <row r="216" spans="1:1">
      <c r="A216" s="152"/>
    </row>
    <row r="217" spans="1:1">
      <c r="A217" s="152"/>
    </row>
    <row r="218" spans="1:1">
      <c r="A218" s="152"/>
    </row>
    <row r="219" spans="1:1">
      <c r="A219" s="152"/>
    </row>
    <row r="220" spans="1:1">
      <c r="A220" s="152"/>
    </row>
    <row r="221" spans="1:1">
      <c r="A221" s="152"/>
    </row>
    <row r="222" spans="1:1">
      <c r="A222" s="152"/>
    </row>
    <row r="223" spans="1:1">
      <c r="A223" s="152"/>
    </row>
    <row r="224" spans="1:1">
      <c r="A224" s="152"/>
    </row>
    <row r="225" spans="1:1">
      <c r="A225" s="152"/>
    </row>
    <row r="226" spans="1:1">
      <c r="A226" s="152"/>
    </row>
    <row r="227" spans="1:1">
      <c r="A227" s="152"/>
    </row>
    <row r="228" spans="1:1">
      <c r="A228" s="152"/>
    </row>
    <row r="229" spans="1:1">
      <c r="A229" s="152"/>
    </row>
    <row r="230" spans="1:1">
      <c r="A230" s="152"/>
    </row>
    <row r="231" spans="1:1">
      <c r="A231" s="152"/>
    </row>
    <row r="232" spans="1:1">
      <c r="A232" s="152"/>
    </row>
    <row r="233" spans="1:1">
      <c r="A233" s="152"/>
    </row>
    <row r="234" spans="1:1">
      <c r="A234" s="152"/>
    </row>
    <row r="235" spans="1:1">
      <c r="A235" s="152"/>
    </row>
    <row r="236" spans="1:1">
      <c r="A236" s="152"/>
    </row>
    <row r="237" spans="1:1">
      <c r="A237" s="152"/>
    </row>
    <row r="238" spans="1:1">
      <c r="A238" s="152"/>
    </row>
    <row r="239" spans="1:1">
      <c r="A239" s="152"/>
    </row>
    <row r="240" spans="1:1">
      <c r="A240" s="152"/>
    </row>
    <row r="241" spans="1:1">
      <c r="A241" s="152"/>
    </row>
    <row r="242" spans="1:1">
      <c r="A242" s="152"/>
    </row>
    <row r="243" spans="1:1">
      <c r="A243" s="152"/>
    </row>
    <row r="244" spans="1:1">
      <c r="A244" s="152"/>
    </row>
    <row r="245" spans="1:1">
      <c r="A245" s="152"/>
    </row>
    <row r="246" spans="1:1">
      <c r="A246" s="152"/>
    </row>
    <row r="247" spans="1:1">
      <c r="A247" s="152"/>
    </row>
    <row r="248" spans="1:1">
      <c r="A248" s="152"/>
    </row>
    <row r="249" spans="1:1">
      <c r="A249" s="152"/>
    </row>
    <row r="250" spans="1:1">
      <c r="A250" s="152"/>
    </row>
    <row r="251" spans="1:1">
      <c r="A251" s="152"/>
    </row>
    <row r="252" spans="1:1">
      <c r="A252" s="152"/>
    </row>
    <row r="253" spans="1:1">
      <c r="A253" s="152"/>
    </row>
    <row r="254" spans="1:1">
      <c r="A254" s="152"/>
    </row>
    <row r="255" spans="1:1">
      <c r="A255" s="152"/>
    </row>
    <row r="256" spans="1:1">
      <c r="A256" s="152"/>
    </row>
    <row r="257" spans="1:1">
      <c r="A257" s="152"/>
    </row>
    <row r="258" spans="1:1">
      <c r="A258" s="152"/>
    </row>
    <row r="259" spans="1:1">
      <c r="A259" s="152"/>
    </row>
    <row r="260" spans="1:1">
      <c r="A260" s="152"/>
    </row>
    <row r="261" spans="1:1">
      <c r="A261" s="152"/>
    </row>
    <row r="262" spans="1:1">
      <c r="A262" s="152"/>
    </row>
    <row r="263" spans="1:1">
      <c r="A263" s="152"/>
    </row>
    <row r="264" spans="1:1">
      <c r="A264" s="152"/>
    </row>
    <row r="265" spans="1:1">
      <c r="A265" s="152"/>
    </row>
    <row r="266" spans="1:1">
      <c r="A266" s="152"/>
    </row>
    <row r="267" spans="1:1">
      <c r="A267" s="152"/>
    </row>
    <row r="268" spans="1:1">
      <c r="A268" s="152"/>
    </row>
    <row r="269" spans="1:1">
      <c r="A269" s="152"/>
    </row>
    <row r="270" spans="1:1">
      <c r="A270" s="152"/>
    </row>
    <row r="271" spans="1:1">
      <c r="A271" s="152"/>
    </row>
    <row r="272" spans="1:1">
      <c r="A272" s="152"/>
    </row>
    <row r="273" spans="1:1">
      <c r="A273" s="152"/>
    </row>
    <row r="274" spans="1:1">
      <c r="A274" s="152"/>
    </row>
    <row r="275" spans="1:1">
      <c r="A275" s="152"/>
    </row>
    <row r="276" spans="1:1">
      <c r="A276" s="152"/>
    </row>
    <row r="277" spans="1:1">
      <c r="A277" s="152"/>
    </row>
    <row r="278" spans="1:1">
      <c r="A278" s="152"/>
    </row>
    <row r="279" spans="1:1">
      <c r="A279" s="152"/>
    </row>
    <row r="280" spans="1:1">
      <c r="A280" s="152"/>
    </row>
    <row r="281" spans="1:1">
      <c r="A281" s="152"/>
    </row>
    <row r="282" spans="1:1">
      <c r="A282" s="152"/>
    </row>
    <row r="283" spans="1:1">
      <c r="A283" s="152"/>
    </row>
    <row r="284" spans="1:1">
      <c r="A284" s="152"/>
    </row>
    <row r="285" spans="1:1">
      <c r="A285" s="152"/>
    </row>
    <row r="286" spans="1:1">
      <c r="A286" s="152"/>
    </row>
    <row r="287" spans="1:1">
      <c r="A287" s="152"/>
    </row>
    <row r="288" spans="1:1">
      <c r="A288" s="152"/>
    </row>
    <row r="289" spans="1:1">
      <c r="A289" s="152"/>
    </row>
    <row r="290" spans="1:1">
      <c r="A290" s="152"/>
    </row>
    <row r="291" spans="1:1">
      <c r="A291" s="152"/>
    </row>
    <row r="292" spans="1:1">
      <c r="A292" s="152"/>
    </row>
    <row r="293" spans="1:1">
      <c r="A293" s="152"/>
    </row>
    <row r="294" spans="1:1">
      <c r="A294" s="152"/>
    </row>
    <row r="295" spans="1:1">
      <c r="A295" s="152"/>
    </row>
    <row r="296" spans="1:1">
      <c r="A296" s="152"/>
    </row>
    <row r="297" spans="1:1">
      <c r="A297" s="152"/>
    </row>
    <row r="298" spans="1:1">
      <c r="A298" s="152"/>
    </row>
    <row r="299" spans="1:1">
      <c r="A299" s="152"/>
    </row>
    <row r="300" spans="1:1">
      <c r="A300" s="152"/>
    </row>
    <row r="301" spans="1:1">
      <c r="A301" s="152"/>
    </row>
    <row r="302" spans="1:1">
      <c r="A302" s="152"/>
    </row>
    <row r="303" spans="1:1">
      <c r="A303" s="152"/>
    </row>
    <row r="304" spans="1:1">
      <c r="A304" s="152"/>
    </row>
    <row r="305" spans="1:1">
      <c r="A305" s="152"/>
    </row>
    <row r="306" spans="1:1">
      <c r="A306" s="152"/>
    </row>
    <row r="307" spans="1:1">
      <c r="A307" s="152"/>
    </row>
    <row r="308" spans="1:1">
      <c r="A308" s="152"/>
    </row>
    <row r="309" spans="1:1">
      <c r="A309" s="152"/>
    </row>
    <row r="310" spans="1:1">
      <c r="A310" s="152"/>
    </row>
    <row r="311" spans="1:1">
      <c r="A311" s="152"/>
    </row>
    <row r="312" spans="1:1">
      <c r="A312" s="152"/>
    </row>
    <row r="313" spans="1:1">
      <c r="A313" s="152"/>
    </row>
    <row r="314" spans="1:1">
      <c r="A314" s="152"/>
    </row>
    <row r="315" spans="1:1">
      <c r="A315" s="152"/>
    </row>
    <row r="316" spans="1:1">
      <c r="A316" s="152"/>
    </row>
    <row r="317" spans="1:1">
      <c r="A317" s="152"/>
    </row>
    <row r="318" spans="1:1">
      <c r="A318" s="152"/>
    </row>
    <row r="319" spans="1:1">
      <c r="A319" s="152"/>
    </row>
    <row r="320" spans="1:1">
      <c r="A320" s="152"/>
    </row>
    <row r="321" spans="1:1">
      <c r="A321" s="152"/>
    </row>
    <row r="322" spans="1:1">
      <c r="A322" s="152"/>
    </row>
    <row r="323" spans="1:1">
      <c r="A323" s="152"/>
    </row>
    <row r="324" spans="1:1">
      <c r="A324" s="152"/>
    </row>
    <row r="325" spans="1:1">
      <c r="A325" s="152"/>
    </row>
    <row r="326" spans="1:1">
      <c r="A326" s="152"/>
    </row>
    <row r="327" spans="1:1">
      <c r="A327" s="152"/>
    </row>
    <row r="328" spans="1:1">
      <c r="A328" s="152"/>
    </row>
    <row r="329" spans="1:1">
      <c r="A329" s="152"/>
    </row>
    <row r="330" spans="1:1">
      <c r="A330" s="152"/>
    </row>
    <row r="331" spans="1:1">
      <c r="A331" s="152"/>
    </row>
    <row r="332" spans="1:1">
      <c r="A332" s="152"/>
    </row>
    <row r="333" spans="1:1">
      <c r="A333" s="152"/>
    </row>
    <row r="334" spans="1:1">
      <c r="A334" s="152"/>
    </row>
    <row r="335" spans="1:1">
      <c r="A335" s="152"/>
    </row>
    <row r="336" spans="1:1">
      <c r="A336" s="152"/>
    </row>
    <row r="337" spans="1:1">
      <c r="A337" s="152"/>
    </row>
    <row r="338" spans="1:1">
      <c r="A338" s="152"/>
    </row>
    <row r="339" spans="1:1">
      <c r="A339" s="152"/>
    </row>
    <row r="340" spans="1:1">
      <c r="A340" s="152"/>
    </row>
    <row r="341" spans="1:1">
      <c r="A341" s="152"/>
    </row>
    <row r="342" spans="1:1">
      <c r="A342" s="152"/>
    </row>
    <row r="343" spans="1:1">
      <c r="A343" s="152"/>
    </row>
    <row r="344" spans="1:1">
      <c r="A344" s="152"/>
    </row>
    <row r="345" spans="1:1">
      <c r="A345" s="152"/>
    </row>
    <row r="346" spans="1:1">
      <c r="A346" s="152"/>
    </row>
    <row r="347" spans="1:1">
      <c r="A347" s="152"/>
    </row>
    <row r="348" spans="1:1">
      <c r="A348" s="152"/>
    </row>
    <row r="349" spans="1:1">
      <c r="A349" s="152"/>
    </row>
    <row r="350" spans="1:1">
      <c r="A350" s="152"/>
    </row>
    <row r="351" spans="1:1">
      <c r="A351" s="152"/>
    </row>
    <row r="352" spans="1:1">
      <c r="A352" s="152"/>
    </row>
    <row r="353" spans="1:1">
      <c r="A353" s="152"/>
    </row>
    <row r="354" spans="1:1">
      <c r="A354" s="152"/>
    </row>
    <row r="355" spans="1:1">
      <c r="A355" s="152"/>
    </row>
    <row r="356" spans="1:1">
      <c r="A356" s="152"/>
    </row>
    <row r="357" spans="1:1">
      <c r="A357" s="152"/>
    </row>
    <row r="358" spans="1:1">
      <c r="A358" s="152"/>
    </row>
    <row r="359" spans="1:1">
      <c r="A359" s="152"/>
    </row>
    <row r="360" spans="1:1">
      <c r="A360" s="152"/>
    </row>
    <row r="361" spans="1:1">
      <c r="A361" s="152"/>
    </row>
    <row r="362" spans="1:1">
      <c r="A362" s="152"/>
    </row>
    <row r="363" spans="1:1">
      <c r="A363" s="152"/>
    </row>
    <row r="364" spans="1:1">
      <c r="A364" s="152"/>
    </row>
    <row r="365" spans="1:1">
      <c r="A365" s="152"/>
    </row>
    <row r="366" spans="1:1">
      <c r="A366" s="152"/>
    </row>
    <row r="367" spans="1:1">
      <c r="A367" s="152"/>
    </row>
    <row r="368" spans="1:1">
      <c r="A368" s="152"/>
    </row>
    <row r="369" spans="1:1">
      <c r="A369" s="152"/>
    </row>
    <row r="370" spans="1:1">
      <c r="A370" s="152"/>
    </row>
    <row r="371" spans="1:1">
      <c r="A371" s="152"/>
    </row>
    <row r="372" spans="1:1">
      <c r="A372" s="152"/>
    </row>
    <row r="373" spans="1:1">
      <c r="A373" s="152"/>
    </row>
    <row r="374" spans="1:1">
      <c r="A374" s="152"/>
    </row>
    <row r="375" spans="1:1">
      <c r="A375" s="152"/>
    </row>
    <row r="376" spans="1:1">
      <c r="A376" s="152"/>
    </row>
    <row r="377" spans="1:1">
      <c r="A377" s="152"/>
    </row>
    <row r="378" spans="1:1">
      <c r="A378" s="152"/>
    </row>
    <row r="379" spans="1:1">
      <c r="A379" s="152"/>
    </row>
    <row r="380" spans="1:1">
      <c r="A380" s="152"/>
    </row>
    <row r="381" spans="1:1">
      <c r="A381" s="152"/>
    </row>
    <row r="382" spans="1:1">
      <c r="A382" s="152"/>
    </row>
    <row r="383" spans="1:1">
      <c r="A383" s="152"/>
    </row>
    <row r="384" spans="1:1">
      <c r="A384" s="152"/>
    </row>
    <row r="385" spans="1:1">
      <c r="A385" s="152"/>
    </row>
    <row r="386" spans="1:1">
      <c r="A386" s="152"/>
    </row>
    <row r="387" spans="1:1">
      <c r="A387" s="152"/>
    </row>
    <row r="388" spans="1:1">
      <c r="A388" s="152"/>
    </row>
    <row r="389" spans="1:1">
      <c r="A389" s="152"/>
    </row>
    <row r="390" spans="1:1">
      <c r="A390" s="152"/>
    </row>
    <row r="391" spans="1:1">
      <c r="A391" s="152"/>
    </row>
    <row r="392" spans="1:1">
      <c r="A392" s="152"/>
    </row>
    <row r="393" spans="1:1">
      <c r="A393" s="152"/>
    </row>
    <row r="394" spans="1:1">
      <c r="A394" s="152"/>
    </row>
    <row r="395" spans="1:1">
      <c r="A395" s="152"/>
    </row>
    <row r="396" spans="1:1">
      <c r="A396" s="152"/>
    </row>
    <row r="397" spans="1:1">
      <c r="A397" s="152"/>
    </row>
    <row r="398" spans="1:1">
      <c r="A398" s="152"/>
    </row>
    <row r="399" spans="1:1">
      <c r="A399" s="152"/>
    </row>
    <row r="400" spans="1:1">
      <c r="A400" s="152"/>
    </row>
    <row r="401" spans="1:1">
      <c r="A401" s="152"/>
    </row>
    <row r="402" spans="1:1">
      <c r="A402" s="152"/>
    </row>
    <row r="403" spans="1:1">
      <c r="A403" s="152"/>
    </row>
    <row r="404" spans="1:1">
      <c r="A404" s="152"/>
    </row>
    <row r="405" spans="1:1">
      <c r="A405" s="152"/>
    </row>
    <row r="406" spans="1:1">
      <c r="A406" s="152"/>
    </row>
    <row r="407" spans="1:1">
      <c r="A407" s="152"/>
    </row>
    <row r="408" spans="1:1">
      <c r="A408" s="152"/>
    </row>
    <row r="409" spans="1:1">
      <c r="A409" s="152"/>
    </row>
    <row r="410" spans="1:1">
      <c r="A410" s="152"/>
    </row>
    <row r="411" spans="1:1">
      <c r="A411" s="152"/>
    </row>
    <row r="412" spans="1:1">
      <c r="A412" s="152"/>
    </row>
    <row r="413" spans="1:1">
      <c r="A413" s="152"/>
    </row>
    <row r="414" spans="1:1">
      <c r="A414" s="152"/>
    </row>
    <row r="415" spans="1:1">
      <c r="A415" s="152"/>
    </row>
    <row r="416" spans="1:1">
      <c r="A416" s="152"/>
    </row>
    <row r="417" spans="1:1">
      <c r="A417" s="152"/>
    </row>
    <row r="418" spans="1:1">
      <c r="A418" s="152"/>
    </row>
    <row r="419" spans="1:1">
      <c r="A419" s="152"/>
    </row>
    <row r="420" spans="1:1">
      <c r="A420" s="152"/>
    </row>
    <row r="421" spans="1:1">
      <c r="A421" s="152"/>
    </row>
    <row r="422" spans="1:1">
      <c r="A422" s="152"/>
    </row>
    <row r="423" spans="1:1">
      <c r="A423" s="152"/>
    </row>
    <row r="424" spans="1:1">
      <c r="A424" s="152"/>
    </row>
    <row r="425" spans="1:1">
      <c r="A425" s="152"/>
    </row>
    <row r="426" spans="1:1">
      <c r="A426" s="152"/>
    </row>
    <row r="427" spans="1:1">
      <c r="A427" s="152"/>
    </row>
    <row r="428" spans="1:1">
      <c r="A428" s="152"/>
    </row>
    <row r="429" spans="1:1">
      <c r="A429" s="152"/>
    </row>
    <row r="430" spans="1:1">
      <c r="A430" s="152"/>
    </row>
    <row r="431" spans="1:1">
      <c r="A431" s="152"/>
    </row>
    <row r="432" spans="1:1">
      <c r="A432" s="152"/>
    </row>
    <row r="433" spans="1:1">
      <c r="A433" s="152"/>
    </row>
    <row r="434" spans="1:1">
      <c r="A434" s="152"/>
    </row>
    <row r="435" spans="1:1">
      <c r="A435" s="152"/>
    </row>
    <row r="436" spans="1:1">
      <c r="A436" s="152"/>
    </row>
    <row r="437" spans="1:1">
      <c r="A437" s="152"/>
    </row>
    <row r="438" spans="1:1">
      <c r="A438" s="152"/>
    </row>
    <row r="439" spans="1:1">
      <c r="A439" s="152"/>
    </row>
    <row r="440" spans="1:1">
      <c r="A440" s="152"/>
    </row>
    <row r="441" spans="1:1">
      <c r="A441" s="152"/>
    </row>
    <row r="442" spans="1:1">
      <c r="A442" s="152"/>
    </row>
    <row r="443" spans="1:1">
      <c r="A443" s="152"/>
    </row>
    <row r="444" spans="1:1">
      <c r="A444" s="152"/>
    </row>
    <row r="445" spans="1:1">
      <c r="A445" s="152"/>
    </row>
    <row r="446" spans="1:1">
      <c r="A446" s="152"/>
    </row>
    <row r="447" spans="1:1">
      <c r="A447" s="152"/>
    </row>
    <row r="448" spans="1:1">
      <c r="A448" s="152"/>
    </row>
    <row r="449" spans="1:1">
      <c r="A449" s="152"/>
    </row>
    <row r="450" spans="1:1">
      <c r="A450" s="152"/>
    </row>
    <row r="451" spans="1:1">
      <c r="A451" s="152"/>
    </row>
    <row r="452" spans="1:1">
      <c r="A452" s="152"/>
    </row>
    <row r="453" spans="1:1">
      <c r="A453" s="152"/>
    </row>
    <row r="454" spans="1:1">
      <c r="A454" s="152"/>
    </row>
    <row r="455" spans="1:1">
      <c r="A455" s="152"/>
    </row>
    <row r="456" spans="1:1">
      <c r="A456" s="152"/>
    </row>
    <row r="457" spans="1:1">
      <c r="A457" s="152"/>
    </row>
    <row r="458" spans="1:1">
      <c r="A458" s="152"/>
    </row>
    <row r="459" spans="1:1">
      <c r="A459" s="152"/>
    </row>
    <row r="460" spans="1:1">
      <c r="A460" s="152"/>
    </row>
    <row r="461" spans="1:1">
      <c r="A461" s="152"/>
    </row>
    <row r="462" spans="1:1">
      <c r="A462" s="152"/>
    </row>
    <row r="463" spans="1:1">
      <c r="A463" s="152"/>
    </row>
    <row r="464" spans="1:1">
      <c r="A464" s="152"/>
    </row>
    <row r="465" spans="1:1">
      <c r="A465" s="152"/>
    </row>
    <row r="466" spans="1:1">
      <c r="A466" s="152"/>
    </row>
    <row r="467" spans="1:1">
      <c r="A467" s="152"/>
    </row>
    <row r="468" spans="1:1">
      <c r="A468" s="152"/>
    </row>
    <row r="469" spans="1:1">
      <c r="A469" s="152"/>
    </row>
    <row r="470" spans="1:1">
      <c r="A470" s="152"/>
    </row>
    <row r="471" spans="1:1">
      <c r="A471" s="152"/>
    </row>
    <row r="472" spans="1:1">
      <c r="A472" s="152"/>
    </row>
    <row r="473" spans="1:1">
      <c r="A473" s="152"/>
    </row>
    <row r="474" spans="1:1">
      <c r="A474" s="152"/>
    </row>
    <row r="475" spans="1:1">
      <c r="A475" s="152"/>
    </row>
    <row r="476" spans="1:1">
      <c r="A476" s="152"/>
    </row>
    <row r="477" spans="1:1">
      <c r="A477" s="152"/>
    </row>
    <row r="478" spans="1:1">
      <c r="A478" s="152"/>
    </row>
    <row r="479" spans="1:1">
      <c r="A479" s="152"/>
    </row>
    <row r="480" spans="1:1">
      <c r="A480" s="152"/>
    </row>
    <row r="481" spans="1:1">
      <c r="A481" s="152"/>
    </row>
    <row r="482" spans="1:1">
      <c r="A482" s="152"/>
    </row>
    <row r="483" spans="1:1">
      <c r="A483" s="152"/>
    </row>
    <row r="484" spans="1:1">
      <c r="A484" s="152"/>
    </row>
    <row r="485" spans="1:1">
      <c r="A485" s="152"/>
    </row>
    <row r="486" spans="1:1">
      <c r="A486" s="152"/>
    </row>
    <row r="487" spans="1:1">
      <c r="A487" s="152"/>
    </row>
    <row r="488" spans="1:1">
      <c r="A488" s="152"/>
    </row>
    <row r="489" spans="1:1">
      <c r="A489" s="152"/>
    </row>
    <row r="490" spans="1:1">
      <c r="A490" s="152"/>
    </row>
    <row r="491" spans="1:1">
      <c r="A491" s="152"/>
    </row>
    <row r="492" spans="1:1">
      <c r="A492" s="152"/>
    </row>
    <row r="493" spans="1:1">
      <c r="A493" s="152"/>
    </row>
    <row r="494" spans="1:1">
      <c r="A494" s="152"/>
    </row>
    <row r="495" spans="1:1">
      <c r="A495" s="152"/>
    </row>
    <row r="496" spans="1:1">
      <c r="A496" s="152"/>
    </row>
    <row r="497" spans="1:1">
      <c r="A497" s="152"/>
    </row>
    <row r="498" spans="1:1">
      <c r="A498" s="152"/>
    </row>
    <row r="499" spans="1:1">
      <c r="A499" s="152"/>
    </row>
    <row r="500" spans="1:1">
      <c r="A500" s="152"/>
    </row>
    <row r="501" spans="1:1">
      <c r="A501" s="152"/>
    </row>
    <row r="502" spans="1:1">
      <c r="A502" s="152"/>
    </row>
    <row r="503" spans="1:1">
      <c r="A503" s="152"/>
    </row>
    <row r="504" spans="1:1">
      <c r="A504" s="152"/>
    </row>
    <row r="505" spans="1:1">
      <c r="A505" s="152"/>
    </row>
    <row r="506" spans="1:1">
      <c r="A506" s="152"/>
    </row>
    <row r="507" spans="1:1">
      <c r="A507" s="152"/>
    </row>
    <row r="508" spans="1:1">
      <c r="A508" s="152"/>
    </row>
    <row r="509" spans="1:1">
      <c r="A509" s="152"/>
    </row>
    <row r="510" spans="1:1">
      <c r="A510" s="152"/>
    </row>
    <row r="511" spans="1:1">
      <c r="A511" s="152"/>
    </row>
    <row r="512" spans="1:1">
      <c r="A512" s="152"/>
    </row>
    <row r="513" spans="1:1">
      <c r="A513" s="152"/>
    </row>
    <row r="514" spans="1:1">
      <c r="A514" s="152"/>
    </row>
    <row r="515" spans="1:1">
      <c r="A515" s="152"/>
    </row>
    <row r="516" spans="1:1">
      <c r="A516" s="152"/>
    </row>
    <row r="517" spans="1:1">
      <c r="A517" s="152"/>
    </row>
    <row r="518" spans="1:1">
      <c r="A518" s="152"/>
    </row>
    <row r="519" spans="1:1">
      <c r="A519" s="152"/>
    </row>
    <row r="520" spans="1:1">
      <c r="A520" s="152"/>
    </row>
    <row r="521" spans="1:1">
      <c r="A521" s="152"/>
    </row>
    <row r="522" spans="1:1">
      <c r="A522" s="152"/>
    </row>
    <row r="523" spans="1:1">
      <c r="A523" s="152"/>
    </row>
    <row r="524" spans="1:1">
      <c r="A524" s="152"/>
    </row>
    <row r="525" spans="1:1">
      <c r="A525" s="152"/>
    </row>
    <row r="526" spans="1:1">
      <c r="A526" s="152"/>
    </row>
    <row r="527" spans="1:1">
      <c r="A527" s="152"/>
    </row>
    <row r="528" spans="1:1">
      <c r="A528" s="152"/>
    </row>
    <row r="529" spans="1:1">
      <c r="A529" s="152"/>
    </row>
    <row r="530" spans="1:1">
      <c r="A530" s="152"/>
    </row>
    <row r="531" spans="1:1">
      <c r="A531" s="152"/>
    </row>
    <row r="532" spans="1:1">
      <c r="A532" s="152"/>
    </row>
    <row r="533" spans="1:1">
      <c r="A533" s="152"/>
    </row>
    <row r="534" spans="1:1">
      <c r="A534" s="152"/>
    </row>
    <row r="535" spans="1:1">
      <c r="A535" s="152"/>
    </row>
    <row r="536" spans="1:1">
      <c r="A536" s="152"/>
    </row>
    <row r="537" spans="1:1">
      <c r="A537" s="152"/>
    </row>
    <row r="538" spans="1:1">
      <c r="A538" s="152"/>
    </row>
    <row r="539" spans="1:1">
      <c r="A539" s="152"/>
    </row>
    <row r="540" spans="1:1">
      <c r="A540" s="152"/>
    </row>
    <row r="541" spans="1:1">
      <c r="A541" s="152"/>
    </row>
    <row r="542" spans="1:1">
      <c r="A542" s="152"/>
    </row>
    <row r="543" spans="1:1">
      <c r="A543" s="152"/>
    </row>
    <row r="544" spans="1:1">
      <c r="A544" s="152"/>
    </row>
    <row r="545" spans="1:1">
      <c r="A545" s="152"/>
    </row>
    <row r="546" spans="1:1">
      <c r="A546" s="152"/>
    </row>
    <row r="547" spans="1:1">
      <c r="A547" s="152"/>
    </row>
    <row r="548" spans="1:1">
      <c r="A548" s="152"/>
    </row>
    <row r="549" spans="1:1">
      <c r="A549" s="152"/>
    </row>
    <row r="550" spans="1:1">
      <c r="A550" s="152"/>
    </row>
    <row r="551" spans="1:1">
      <c r="A551" s="152"/>
    </row>
    <row r="552" spans="1:1">
      <c r="A552" s="152"/>
    </row>
    <row r="553" spans="1:1">
      <c r="A553" s="152"/>
    </row>
    <row r="554" spans="1:1">
      <c r="A554" s="152"/>
    </row>
    <row r="555" spans="1:1">
      <c r="A555" s="152"/>
    </row>
    <row r="556" spans="1:1">
      <c r="A556" s="152"/>
    </row>
    <row r="557" spans="1:1">
      <c r="A557" s="152"/>
    </row>
    <row r="558" spans="1:1">
      <c r="A558" s="152"/>
    </row>
    <row r="559" spans="1:1">
      <c r="A559" s="152"/>
    </row>
    <row r="560" spans="1:1">
      <c r="A560" s="152"/>
    </row>
    <row r="561" spans="1:1">
      <c r="A561" s="152"/>
    </row>
    <row r="562" spans="1:1">
      <c r="A562" s="152"/>
    </row>
    <row r="563" spans="1:1">
      <c r="A563" s="152"/>
    </row>
    <row r="564" spans="1:1">
      <c r="A564" s="152"/>
    </row>
    <row r="565" spans="1:1">
      <c r="A565" s="152"/>
    </row>
    <row r="566" spans="1:1">
      <c r="A566" s="152"/>
    </row>
    <row r="567" spans="1:1">
      <c r="A567" s="152"/>
    </row>
    <row r="568" spans="1:1">
      <c r="A568" s="152"/>
    </row>
    <row r="569" spans="1:1">
      <c r="A569" s="152"/>
    </row>
    <row r="570" spans="1:1">
      <c r="A570" s="152"/>
    </row>
    <row r="571" spans="1:1">
      <c r="A571" s="152"/>
    </row>
    <row r="572" spans="1:1">
      <c r="A572" s="152"/>
    </row>
    <row r="573" spans="1:1">
      <c r="A573" s="152"/>
    </row>
    <row r="574" spans="1:1">
      <c r="A574" s="152"/>
    </row>
    <row r="575" spans="1:1">
      <c r="A575" s="152"/>
    </row>
    <row r="576" spans="1:1">
      <c r="A576" s="152"/>
    </row>
    <row r="577" spans="1:1">
      <c r="A577" s="152"/>
    </row>
    <row r="578" spans="1:1">
      <c r="A578" s="152"/>
    </row>
    <row r="579" spans="1:1">
      <c r="A579" s="152"/>
    </row>
    <row r="580" spans="1:1">
      <c r="A580" s="152"/>
    </row>
    <row r="581" spans="1:1">
      <c r="A581" s="152"/>
    </row>
    <row r="582" spans="1:1">
      <c r="A582" s="152"/>
    </row>
    <row r="583" spans="1:1">
      <c r="A583" s="152"/>
    </row>
    <row r="584" spans="1:1">
      <c r="A584" s="152"/>
    </row>
    <row r="585" spans="1:1">
      <c r="A585" s="152"/>
    </row>
    <row r="586" spans="1:1">
      <c r="A586" s="152"/>
    </row>
    <row r="587" spans="1:1">
      <c r="A587" s="152"/>
    </row>
    <row r="588" spans="1:1">
      <c r="A588" s="152"/>
    </row>
    <row r="589" spans="1:1">
      <c r="A589" s="152"/>
    </row>
    <row r="590" spans="1:1">
      <c r="A590" s="152"/>
    </row>
    <row r="591" spans="1:1">
      <c r="A591" s="152"/>
    </row>
    <row r="592" spans="1:1">
      <c r="A592" s="152"/>
    </row>
    <row r="593" spans="1:1">
      <c r="A593" s="152"/>
    </row>
    <row r="594" spans="1:1">
      <c r="A594" s="152"/>
    </row>
    <row r="595" spans="1:1">
      <c r="A595" s="152"/>
    </row>
    <row r="596" spans="1:1">
      <c r="A596" s="152"/>
    </row>
    <row r="597" spans="1:1">
      <c r="A597" s="152"/>
    </row>
    <row r="598" spans="1:1">
      <c r="A598" s="152"/>
    </row>
    <row r="599" spans="1:1">
      <c r="A599" s="152"/>
    </row>
    <row r="600" spans="1:1">
      <c r="A600" s="152"/>
    </row>
    <row r="601" spans="1:1">
      <c r="A601" s="152"/>
    </row>
    <row r="602" spans="1:1">
      <c r="A602" s="152"/>
    </row>
    <row r="603" spans="1:1">
      <c r="A603" s="152"/>
    </row>
    <row r="604" spans="1:1">
      <c r="A604" s="152"/>
    </row>
    <row r="605" spans="1:1">
      <c r="A605" s="152"/>
    </row>
    <row r="606" spans="1:1">
      <c r="A606" s="152"/>
    </row>
    <row r="607" spans="1:1">
      <c r="A607" s="152"/>
    </row>
    <row r="608" spans="1:1">
      <c r="A608" s="152"/>
    </row>
    <row r="609" spans="1:1">
      <c r="A609" s="152"/>
    </row>
    <row r="610" spans="1:1">
      <c r="A610" s="152"/>
    </row>
    <row r="611" spans="1:1">
      <c r="A611" s="152"/>
    </row>
    <row r="612" spans="1:1">
      <c r="A612" s="152"/>
    </row>
    <row r="613" spans="1:1">
      <c r="A613" s="152"/>
    </row>
    <row r="614" spans="1:1">
      <c r="A614" s="152"/>
    </row>
    <row r="615" spans="1:1">
      <c r="A615" s="152"/>
    </row>
    <row r="616" spans="1:1">
      <c r="A616" s="152"/>
    </row>
    <row r="617" spans="1:1">
      <c r="A617" s="152"/>
    </row>
    <row r="618" spans="1:1">
      <c r="A618" s="152"/>
    </row>
    <row r="619" spans="1:1">
      <c r="A619" s="152"/>
    </row>
    <row r="620" spans="1:1">
      <c r="A620" s="152"/>
    </row>
    <row r="621" spans="1:1">
      <c r="A621" s="152"/>
    </row>
    <row r="622" spans="1:1">
      <c r="A622" s="152"/>
    </row>
    <row r="623" spans="1:1">
      <c r="A623" s="152"/>
    </row>
    <row r="624" spans="1:1">
      <c r="A624" s="152"/>
    </row>
    <row r="625" spans="1:1">
      <c r="A625" s="152"/>
    </row>
    <row r="626" spans="1:1">
      <c r="A626" s="152"/>
    </row>
    <row r="627" spans="1:1">
      <c r="A627" s="152"/>
    </row>
    <row r="628" spans="1:1">
      <c r="A628" s="152"/>
    </row>
    <row r="629" spans="1:1">
      <c r="A629" s="152"/>
    </row>
    <row r="630" spans="1:1">
      <c r="A630" s="152"/>
    </row>
    <row r="631" spans="1:1">
      <c r="A631" s="152"/>
    </row>
    <row r="632" spans="1:1">
      <c r="A632" s="152"/>
    </row>
    <row r="633" spans="1:1">
      <c r="A633" s="152"/>
    </row>
    <row r="634" spans="1:1">
      <c r="A634" s="152"/>
    </row>
    <row r="635" spans="1:1">
      <c r="A635" s="152"/>
    </row>
    <row r="636" spans="1:1">
      <c r="A636" s="152"/>
    </row>
    <row r="637" spans="1:1">
      <c r="A637" s="152"/>
    </row>
    <row r="638" spans="1:1">
      <c r="A638" s="152"/>
    </row>
    <row r="639" spans="1:1">
      <c r="A639" s="152"/>
    </row>
    <row r="640" spans="1:1">
      <c r="A640" s="152"/>
    </row>
    <row r="641" spans="1:1">
      <c r="A641" s="152"/>
    </row>
    <row r="642" spans="1:1">
      <c r="A642" s="152"/>
    </row>
    <row r="643" spans="1:1">
      <c r="A643" s="152"/>
    </row>
    <row r="644" spans="1:1">
      <c r="A644" s="152"/>
    </row>
    <row r="645" spans="1:1">
      <c r="A645" s="152"/>
    </row>
    <row r="646" spans="1:1">
      <c r="A646" s="152"/>
    </row>
    <row r="647" spans="1:1">
      <c r="A647" s="152"/>
    </row>
    <row r="648" spans="1:1">
      <c r="A648" s="152"/>
    </row>
    <row r="649" spans="1:1">
      <c r="A649" s="152"/>
    </row>
    <row r="650" spans="1:1">
      <c r="A650" s="152"/>
    </row>
    <row r="651" spans="1:1">
      <c r="A651" s="152"/>
    </row>
    <row r="652" spans="1:1">
      <c r="A652" s="152"/>
    </row>
    <row r="653" spans="1:1">
      <c r="A653" s="152"/>
    </row>
    <row r="654" spans="1:1">
      <c r="A654" s="152"/>
    </row>
    <row r="655" spans="1:1">
      <c r="A655" s="152"/>
    </row>
    <row r="656" spans="1:1">
      <c r="A656" s="152"/>
    </row>
    <row r="657" spans="1:1">
      <c r="A657" s="152"/>
    </row>
    <row r="658" spans="1:1">
      <c r="A658" s="152"/>
    </row>
    <row r="659" spans="1:1">
      <c r="A659" s="152"/>
    </row>
    <row r="660" spans="1:1">
      <c r="A660" s="152"/>
    </row>
    <row r="661" spans="1:1">
      <c r="A661" s="152"/>
    </row>
    <row r="662" spans="1:1">
      <c r="A662" s="152"/>
    </row>
    <row r="663" spans="1:1">
      <c r="A663" s="152"/>
    </row>
    <row r="664" spans="1:1">
      <c r="A664" s="152"/>
    </row>
    <row r="665" spans="1:1">
      <c r="A665" s="152"/>
    </row>
    <row r="666" spans="1:1">
      <c r="A666" s="152"/>
    </row>
    <row r="667" spans="1:1">
      <c r="A667" s="152"/>
    </row>
    <row r="668" spans="1:1">
      <c r="A668" s="152"/>
    </row>
    <row r="669" spans="1:1">
      <c r="A669" s="152"/>
    </row>
    <row r="670" spans="1:1">
      <c r="A670" s="152"/>
    </row>
    <row r="671" spans="1:1">
      <c r="A671" s="152"/>
    </row>
    <row r="672" spans="1:1">
      <c r="A672" s="152"/>
    </row>
    <row r="673" spans="1:1">
      <c r="A673" s="152"/>
    </row>
    <row r="674" spans="1:1">
      <c r="A674" s="152"/>
    </row>
    <row r="675" spans="1:1">
      <c r="A675" s="152"/>
    </row>
    <row r="676" spans="1:1">
      <c r="A676" s="152"/>
    </row>
    <row r="677" spans="1:1">
      <c r="A677" s="152"/>
    </row>
    <row r="678" spans="1:1">
      <c r="A678" s="152"/>
    </row>
    <row r="679" spans="1:1">
      <c r="A679" s="152"/>
    </row>
    <row r="680" spans="1:1">
      <c r="A680" s="152"/>
    </row>
    <row r="681" spans="1:1">
      <c r="A681" s="152"/>
    </row>
    <row r="682" spans="1:1">
      <c r="A682" s="152"/>
    </row>
    <row r="683" spans="1:1">
      <c r="A683" s="152"/>
    </row>
    <row r="684" spans="1:1">
      <c r="A684" s="152"/>
    </row>
    <row r="685" spans="1:1">
      <c r="A685" s="152"/>
    </row>
    <row r="686" spans="1:1">
      <c r="A686" s="152"/>
    </row>
    <row r="687" spans="1:1">
      <c r="A687" s="152"/>
    </row>
    <row r="688" spans="1:1">
      <c r="A688" s="152"/>
    </row>
    <row r="689" spans="1:1">
      <c r="A689" s="152"/>
    </row>
    <row r="690" spans="1:1">
      <c r="A690" s="152"/>
    </row>
    <row r="691" spans="1:1">
      <c r="A691" s="152"/>
    </row>
    <row r="692" spans="1:1">
      <c r="A692" s="152"/>
    </row>
    <row r="693" spans="1:1">
      <c r="A693" s="152"/>
    </row>
    <row r="694" spans="1:1">
      <c r="A694" s="152"/>
    </row>
    <row r="695" spans="1:1">
      <c r="A695" s="152"/>
    </row>
    <row r="696" spans="1:1">
      <c r="A696" s="152"/>
    </row>
    <row r="697" spans="1:1">
      <c r="A697" s="152"/>
    </row>
    <row r="698" spans="1:1">
      <c r="A698" s="152"/>
    </row>
    <row r="699" spans="1:1">
      <c r="A699" s="152"/>
    </row>
    <row r="700" spans="1:1">
      <c r="A700" s="152"/>
    </row>
    <row r="701" spans="1:1">
      <c r="A701" s="152"/>
    </row>
    <row r="702" spans="1:1">
      <c r="A702" s="152"/>
    </row>
    <row r="703" spans="1:1">
      <c r="A703" s="152"/>
    </row>
    <row r="704" spans="1:1">
      <c r="A704" s="152"/>
    </row>
    <row r="705" spans="1:1">
      <c r="A705" s="152"/>
    </row>
    <row r="706" spans="1:1">
      <c r="A706" s="152"/>
    </row>
    <row r="707" spans="1:1">
      <c r="A707" s="152"/>
    </row>
    <row r="708" spans="1:1">
      <c r="A708" s="152"/>
    </row>
    <row r="709" spans="1:1">
      <c r="A709" s="152"/>
    </row>
    <row r="710" spans="1:1">
      <c r="A710" s="152"/>
    </row>
    <row r="711" spans="1:1">
      <c r="A711" s="152"/>
    </row>
    <row r="712" spans="1:1">
      <c r="A712" s="152"/>
    </row>
    <row r="713" spans="1:1">
      <c r="A713" s="152"/>
    </row>
    <row r="714" spans="1:1">
      <c r="A714" s="152"/>
    </row>
    <row r="715" spans="1:1">
      <c r="A715" s="152"/>
    </row>
    <row r="716" spans="1:1">
      <c r="A716" s="152"/>
    </row>
    <row r="717" spans="1:1">
      <c r="A717" s="152"/>
    </row>
    <row r="718" spans="1:1">
      <c r="A718" s="152"/>
    </row>
    <row r="719" spans="1:1">
      <c r="A719" s="152"/>
    </row>
    <row r="720" spans="1:1">
      <c r="A720" s="152"/>
    </row>
    <row r="721" spans="1:1">
      <c r="A721" s="152"/>
    </row>
    <row r="722" spans="1:1">
      <c r="A722" s="152"/>
    </row>
    <row r="723" spans="1:1">
      <c r="A723" s="152"/>
    </row>
    <row r="724" spans="1:1">
      <c r="A724" s="152"/>
    </row>
    <row r="725" spans="1:1">
      <c r="A725" s="152"/>
    </row>
    <row r="726" spans="1:1">
      <c r="A726" s="152"/>
    </row>
    <row r="727" spans="1:1">
      <c r="A727" s="152"/>
    </row>
    <row r="728" spans="1:1">
      <c r="A728" s="152"/>
    </row>
    <row r="729" spans="1:1">
      <c r="A729" s="152"/>
    </row>
    <row r="730" spans="1:1">
      <c r="A730" s="152"/>
    </row>
    <row r="731" spans="1:1">
      <c r="A731" s="152"/>
    </row>
    <row r="732" spans="1:1">
      <c r="A732" s="152"/>
    </row>
    <row r="733" spans="1:1">
      <c r="A733" s="152"/>
    </row>
    <row r="734" spans="1:1">
      <c r="A734" s="152"/>
    </row>
    <row r="735" spans="1:1">
      <c r="A735" s="152"/>
    </row>
    <row r="736" spans="1:1">
      <c r="A736" s="152"/>
    </row>
    <row r="737" spans="1:1">
      <c r="A737" s="152"/>
    </row>
    <row r="738" spans="1:1">
      <c r="A738" s="152"/>
    </row>
    <row r="739" spans="1:1">
      <c r="A739" s="152"/>
    </row>
    <row r="740" spans="1:1">
      <c r="A740" s="152"/>
    </row>
    <row r="741" spans="1:1">
      <c r="A741" s="152"/>
    </row>
    <row r="742" spans="1:1">
      <c r="A742" s="152"/>
    </row>
    <row r="743" spans="1:1">
      <c r="A743" s="152"/>
    </row>
    <row r="744" spans="1:1">
      <c r="A744" s="152"/>
    </row>
    <row r="745" spans="1:1">
      <c r="A745" s="152"/>
    </row>
    <row r="746" spans="1:1">
      <c r="A746" s="152"/>
    </row>
    <row r="747" spans="1:1">
      <c r="A747" s="152"/>
    </row>
    <row r="748" spans="1:1">
      <c r="A748" s="152"/>
    </row>
    <row r="749" spans="1:1">
      <c r="A749" s="152"/>
    </row>
    <row r="750" spans="1:1">
      <c r="A750" s="152"/>
    </row>
    <row r="751" spans="1:1">
      <c r="A751" s="152"/>
    </row>
    <row r="752" spans="1:1">
      <c r="A752" s="152"/>
    </row>
    <row r="753" spans="1:1">
      <c r="A753" s="152"/>
    </row>
    <row r="754" spans="1:1">
      <c r="A754" s="152"/>
    </row>
    <row r="755" spans="1:1">
      <c r="A755" s="152"/>
    </row>
    <row r="756" spans="1:1">
      <c r="A756" s="152"/>
    </row>
    <row r="757" spans="1:1">
      <c r="A757" s="152"/>
    </row>
    <row r="758" spans="1:1">
      <c r="A758" s="152"/>
    </row>
  </sheetData>
  <conditionalFormatting sqref="D2:E21">
    <cfRule type="cellIs" dxfId="75" priority="1" operator="equal">
      <formula>"Partial"</formula>
    </cfRule>
    <cfRule type="cellIs" dxfId="74" priority="2" operator="equal">
      <formula>"No"</formula>
    </cfRule>
    <cfRule type="cellIs" dxfId="73" priority="3" operator="equal">
      <formula>"Yes"</formula>
    </cfRule>
  </conditionalFormatting>
  <dataValidations count="1">
    <dataValidation type="list" allowBlank="1" showInputMessage="1" showErrorMessage="1" sqref="D2:E21" xr:uid="{EF833153-9EBD-4C8D-8968-213093AEC484}">
      <formula1>#REF!</formula1>
    </dataValidation>
  </dataValidations>
  <hyperlinks>
    <hyperlink ref="H1" r:id="rId1" display="https://help.mypurecloud.com/articles/products-roles-and-permissions-list/" xr:uid="{ABB7086E-E3FB-4A9C-842E-C999DBF7646E}"/>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27172-CEDC-497D-BD7D-30802C956265}">
  <sheetPr codeName="Sheet14">
    <tabColor rgb="FFFF4F1F"/>
  </sheetPr>
  <dimension ref="A1:E33"/>
  <sheetViews>
    <sheetView workbookViewId="0">
      <pane ySplit="1" topLeftCell="A2" activePane="bottomLeft" state="frozen"/>
      <selection pane="bottomLeft" activeCell="A2" sqref="A2"/>
    </sheetView>
  </sheetViews>
  <sheetFormatPr defaultColWidth="9.140625" defaultRowHeight="15"/>
  <cols>
    <col min="1" max="1" width="32" customWidth="1"/>
    <col min="2" max="2" width="72.42578125" bestFit="1" customWidth="1"/>
    <col min="3" max="3" width="13.85546875" bestFit="1" customWidth="1"/>
    <col min="4" max="4" width="13.7109375" bestFit="1" customWidth="1"/>
    <col min="5" max="5" width="29.5703125" bestFit="1" customWidth="1"/>
    <col min="6" max="6" width="72.42578125" bestFit="1" customWidth="1"/>
    <col min="7" max="7" width="17.5703125" customWidth="1"/>
    <col min="8" max="8" width="18.42578125" customWidth="1"/>
  </cols>
  <sheetData>
    <row r="1" spans="1:4" s="7" customFormat="1">
      <c r="A1"/>
      <c r="B1" s="50" t="s">
        <v>420</v>
      </c>
      <c r="C1" s="224" t="s">
        <v>421</v>
      </c>
      <c r="D1" s="224"/>
    </row>
    <row r="2" spans="1:4">
      <c r="A2" s="135" t="s">
        <v>422</v>
      </c>
      <c r="B2" s="135" t="s">
        <v>423</v>
      </c>
      <c r="C2" s="73" t="s">
        <v>424</v>
      </c>
      <c r="D2" s="73" t="s">
        <v>425</v>
      </c>
    </row>
    <row r="3" spans="1:4">
      <c r="A3" s="134" t="s">
        <v>426</v>
      </c>
      <c r="B3" s="132" t="s">
        <v>427</v>
      </c>
      <c r="C3" s="140">
        <v>15551110002</v>
      </c>
      <c r="D3" s="140">
        <v>15552220002</v>
      </c>
    </row>
    <row r="4" spans="1:4">
      <c r="A4" s="134" t="s">
        <v>428</v>
      </c>
      <c r="B4" s="132" t="s">
        <v>429</v>
      </c>
      <c r="C4" s="140">
        <v>15551110011</v>
      </c>
      <c r="D4" s="140">
        <v>15552220011</v>
      </c>
    </row>
    <row r="5" spans="1:4">
      <c r="A5" s="134" t="s">
        <v>430</v>
      </c>
      <c r="B5" s="132" t="s">
        <v>431</v>
      </c>
      <c r="C5" s="140">
        <v>15551110012</v>
      </c>
      <c r="D5" s="140">
        <v>15552220012</v>
      </c>
    </row>
    <row r="6" spans="1:4">
      <c r="A6" s="134" t="s">
        <v>432</v>
      </c>
      <c r="B6" s="134"/>
      <c r="C6" s="140">
        <v>15551110013</v>
      </c>
      <c r="D6" s="140">
        <v>15552220013</v>
      </c>
    </row>
    <row r="7" spans="1:4">
      <c r="A7" s="134" t="s">
        <v>433</v>
      </c>
      <c r="B7" s="134"/>
      <c r="C7" s="140">
        <v>15551110006</v>
      </c>
      <c r="D7" s="140">
        <v>15552220006</v>
      </c>
    </row>
    <row r="8" spans="1:4">
      <c r="A8" s="134" t="s">
        <v>434</v>
      </c>
      <c r="B8" s="133" t="s">
        <v>435</v>
      </c>
      <c r="C8" s="140">
        <v>15551110003</v>
      </c>
      <c r="D8" s="140">
        <v>15552220003</v>
      </c>
    </row>
    <row r="9" spans="1:4">
      <c r="A9" s="134" t="s">
        <v>436</v>
      </c>
      <c r="B9" s="134"/>
      <c r="C9" s="140">
        <v>15551110005</v>
      </c>
      <c r="D9" s="140">
        <v>15552220005</v>
      </c>
    </row>
    <row r="10" spans="1:4">
      <c r="A10" s="134" t="s">
        <v>437</v>
      </c>
      <c r="B10" s="134"/>
      <c r="C10" s="140">
        <v>15551110007</v>
      </c>
      <c r="D10" s="140">
        <v>15552220007</v>
      </c>
    </row>
    <row r="11" spans="1:4">
      <c r="A11" s="134" t="s">
        <v>438</v>
      </c>
      <c r="B11" s="134"/>
      <c r="C11" s="140">
        <v>15551110010</v>
      </c>
      <c r="D11" s="140">
        <v>15552220010</v>
      </c>
    </row>
    <row r="12" spans="1:4">
      <c r="A12" s="134" t="s">
        <v>439</v>
      </c>
      <c r="B12" s="136"/>
      <c r="C12" s="141">
        <v>15551110000</v>
      </c>
      <c r="D12" s="141">
        <v>15552220000</v>
      </c>
    </row>
    <row r="13" spans="1:4">
      <c r="A13" s="134" t="s">
        <v>440</v>
      </c>
      <c r="B13" s="137" t="s">
        <v>441</v>
      </c>
      <c r="C13" s="140">
        <v>15551110001</v>
      </c>
      <c r="D13" s="140">
        <v>15552220001</v>
      </c>
    </row>
    <row r="14" spans="1:4">
      <c r="A14" s="134" t="s">
        <v>442</v>
      </c>
      <c r="B14" s="136"/>
      <c r="C14" s="140">
        <v>15551110004</v>
      </c>
      <c r="D14" s="140">
        <v>15552220004</v>
      </c>
    </row>
    <row r="15" spans="1:4">
      <c r="A15" s="147" t="s">
        <v>443</v>
      </c>
      <c r="B15" s="148"/>
      <c r="C15" s="149">
        <v>15551110008</v>
      </c>
      <c r="D15" s="149">
        <v>15552220008</v>
      </c>
    </row>
    <row r="16" spans="1:4">
      <c r="A16" s="134" t="s">
        <v>444</v>
      </c>
      <c r="B16" s="134" t="s">
        <v>236</v>
      </c>
      <c r="C16" s="134">
        <v>15551110009</v>
      </c>
      <c r="D16" s="134">
        <v>15552220009</v>
      </c>
    </row>
    <row r="18" spans="1:5">
      <c r="A18" s="135" t="s">
        <v>445</v>
      </c>
      <c r="B18" s="135" t="s">
        <v>446</v>
      </c>
      <c r="C18" s="33" t="s">
        <v>260</v>
      </c>
      <c r="D18" s="33" t="s">
        <v>228</v>
      </c>
    </row>
    <row r="19" spans="1:5">
      <c r="A19" t="s">
        <v>424</v>
      </c>
      <c r="B19" s="139" t="s">
        <v>447</v>
      </c>
      <c r="C19" s="47" t="s">
        <v>192</v>
      </c>
      <c r="D19" s="47" t="s">
        <v>192</v>
      </c>
    </row>
    <row r="20" spans="1:5">
      <c r="A20" t="s">
        <v>425</v>
      </c>
      <c r="B20" s="139" t="s">
        <v>448</v>
      </c>
      <c r="C20" s="47" t="s">
        <v>192</v>
      </c>
      <c r="D20" s="47" t="s">
        <v>192</v>
      </c>
    </row>
    <row r="21" spans="1:5">
      <c r="A21" t="s">
        <v>449</v>
      </c>
      <c r="B21" t="s">
        <v>450</v>
      </c>
      <c r="C21" s="47" t="s">
        <v>204</v>
      </c>
      <c r="D21" s="47" t="s">
        <v>204</v>
      </c>
      <c r="E21" t="s">
        <v>451</v>
      </c>
    </row>
    <row r="22" spans="1:5">
      <c r="A22" t="s">
        <v>452</v>
      </c>
      <c r="B22" t="s">
        <v>453</v>
      </c>
      <c r="C22" s="47" t="s">
        <v>204</v>
      </c>
      <c r="D22" s="47" t="s">
        <v>204</v>
      </c>
      <c r="E22" t="s">
        <v>451</v>
      </c>
    </row>
    <row r="23" spans="1:5">
      <c r="A23" t="s">
        <v>454</v>
      </c>
      <c r="B23" t="s">
        <v>455</v>
      </c>
      <c r="C23" s="47" t="s">
        <v>204</v>
      </c>
      <c r="D23" s="47" t="s">
        <v>204</v>
      </c>
      <c r="E23" t="s">
        <v>451</v>
      </c>
    </row>
    <row r="25" spans="1:5">
      <c r="A25" s="33" t="s">
        <v>456</v>
      </c>
      <c r="B25" s="33" t="s">
        <v>457</v>
      </c>
      <c r="C25" s="33" t="s">
        <v>260</v>
      </c>
      <c r="D25" s="33" t="s">
        <v>228</v>
      </c>
    </row>
    <row r="26" spans="1:5">
      <c r="A26" t="s">
        <v>458</v>
      </c>
      <c r="B26" s="131" t="s">
        <v>459</v>
      </c>
      <c r="C26" s="47"/>
      <c r="D26" s="47"/>
    </row>
    <row r="27" spans="1:5">
      <c r="A27" t="s">
        <v>460</v>
      </c>
      <c r="B27" t="s">
        <v>461</v>
      </c>
      <c r="C27" s="47" t="s">
        <v>192</v>
      </c>
      <c r="D27" s="47" t="s">
        <v>192</v>
      </c>
    </row>
    <row r="28" spans="1:5">
      <c r="A28" t="s">
        <v>462</v>
      </c>
      <c r="B28" t="s">
        <v>463</v>
      </c>
      <c r="C28" s="47" t="s">
        <v>192</v>
      </c>
      <c r="D28" s="47" t="s">
        <v>236</v>
      </c>
    </row>
    <row r="32" spans="1:5">
      <c r="A32" s="5" t="s">
        <v>464</v>
      </c>
    </row>
    <row r="33" spans="1:1">
      <c r="A33" s="5" t="s">
        <v>465</v>
      </c>
    </row>
  </sheetData>
  <mergeCells count="1">
    <mergeCell ref="C1:D1"/>
  </mergeCells>
  <conditionalFormatting sqref="C19:D23">
    <cfRule type="cellIs" dxfId="72" priority="1" operator="equal">
      <formula>"Partial"</formula>
    </cfRule>
    <cfRule type="cellIs" dxfId="71" priority="2" operator="equal">
      <formula>"No"</formula>
    </cfRule>
    <cfRule type="cellIs" dxfId="70" priority="3" operator="equal">
      <formula>"Yes"</formula>
    </cfRule>
  </conditionalFormatting>
  <conditionalFormatting sqref="C26:D28">
    <cfRule type="cellIs" dxfId="69" priority="4" operator="equal">
      <formula>"Partial"</formula>
    </cfRule>
    <cfRule type="cellIs" dxfId="68" priority="5" operator="equal">
      <formula>"No"</formula>
    </cfRule>
    <cfRule type="cellIs" dxfId="67" priority="6" operator="equal">
      <formula>"Yes"</formula>
    </cfRule>
  </conditionalFormatting>
  <dataValidations count="1">
    <dataValidation type="list" allowBlank="1" showInputMessage="1" showErrorMessage="1" sqref="C19:D23 C26:D28" xr:uid="{BD49576A-71DC-4728-A206-AC4026342B98}">
      <formula1>#REF!</formula1>
    </dataValidation>
  </dataValidations>
  <hyperlinks>
    <hyperlink ref="A32" r:id="rId1" display="https://help.mypurecloud.com/articles/did-numbers/" xr:uid="{0C68C841-5A91-405D-8CBB-0BF2FA05B544}"/>
    <hyperlink ref="A33" r:id="rId2" display="https://help.mypurecloud.com/articles/manage-did-and-toll-free-number-number-assignments/" xr:uid="{2DB87689-61D0-4EEE-8764-01D0B868B7D4}"/>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13F18-C82D-4D54-BD6E-6C77B70CBB48}">
  <sheetPr codeName="Sheet6">
    <tabColor rgb="FFFF4F1F"/>
  </sheetPr>
  <dimension ref="A1:D25"/>
  <sheetViews>
    <sheetView workbookViewId="0"/>
  </sheetViews>
  <sheetFormatPr defaultColWidth="9.140625" defaultRowHeight="15"/>
  <cols>
    <col min="1" max="1" width="65.7109375" customWidth="1"/>
    <col min="2" max="2" width="35.7109375" customWidth="1"/>
    <col min="3" max="3" width="15.7109375" customWidth="1"/>
  </cols>
  <sheetData>
    <row r="1" spans="1:4" ht="18.75">
      <c r="A1" s="16" t="s">
        <v>466</v>
      </c>
      <c r="D1" s="5" t="s">
        <v>467</v>
      </c>
    </row>
    <row r="2" spans="1:4">
      <c r="A2" s="21" t="s">
        <v>468</v>
      </c>
      <c r="B2" s="221" t="s">
        <v>469</v>
      </c>
      <c r="C2" s="221"/>
      <c r="D2" s="5" t="s">
        <v>470</v>
      </c>
    </row>
    <row r="3" spans="1:4" ht="15" customHeight="1">
      <c r="A3" s="36" t="s">
        <v>264</v>
      </c>
      <c r="B3" s="234" t="s">
        <v>471</v>
      </c>
      <c r="C3" s="235"/>
    </row>
    <row r="4" spans="1:4" ht="63.75">
      <c r="A4" s="37" t="s">
        <v>472</v>
      </c>
      <c r="B4" s="236" t="s">
        <v>473</v>
      </c>
      <c r="C4" s="237"/>
    </row>
    <row r="5" spans="1:4">
      <c r="A5" s="36" t="s">
        <v>474</v>
      </c>
      <c r="B5" s="234" t="s">
        <v>475</v>
      </c>
      <c r="C5" s="235"/>
    </row>
    <row r="6" spans="1:4">
      <c r="A6" s="37" t="s">
        <v>476</v>
      </c>
      <c r="B6" s="231" t="s">
        <v>477</v>
      </c>
      <c r="C6" s="232"/>
    </row>
    <row r="7" spans="1:4">
      <c r="A7" s="36" t="s">
        <v>478</v>
      </c>
      <c r="B7" s="233" t="s">
        <v>479</v>
      </c>
      <c r="C7" s="229"/>
    </row>
    <row r="8" spans="1:4" ht="109.5" customHeight="1">
      <c r="A8" s="37" t="s">
        <v>480</v>
      </c>
      <c r="B8" s="231" t="s">
        <v>481</v>
      </c>
      <c r="C8" s="232"/>
    </row>
    <row r="9" spans="1:4">
      <c r="A9" s="36" t="s">
        <v>482</v>
      </c>
      <c r="B9" s="38" t="s">
        <v>483</v>
      </c>
      <c r="C9" s="39" t="s">
        <v>484</v>
      </c>
    </row>
    <row r="10" spans="1:4">
      <c r="A10" s="37" t="s">
        <v>485</v>
      </c>
      <c r="B10" s="40" t="s">
        <v>486</v>
      </c>
      <c r="C10" s="41" t="s">
        <v>487</v>
      </c>
    </row>
    <row r="11" spans="1:4">
      <c r="A11" s="42" t="s">
        <v>488</v>
      </c>
      <c r="B11" s="233" t="s">
        <v>489</v>
      </c>
      <c r="C11" s="229"/>
    </row>
    <row r="12" spans="1:4" ht="25.5">
      <c r="A12" s="36" t="s">
        <v>490</v>
      </c>
      <c r="B12" s="229"/>
      <c r="C12" s="230"/>
    </row>
    <row r="13" spans="1:4">
      <c r="A13" s="37" t="s">
        <v>412</v>
      </c>
      <c r="B13" s="231" t="s">
        <v>489</v>
      </c>
      <c r="C13" s="232"/>
    </row>
    <row r="14" spans="1:4" ht="25.5" customHeight="1">
      <c r="A14" s="37" t="s">
        <v>491</v>
      </c>
      <c r="B14" s="231" t="s">
        <v>492</v>
      </c>
      <c r="C14" s="232"/>
    </row>
    <row r="15" spans="1:4" ht="51" customHeight="1">
      <c r="A15" s="37" t="s">
        <v>493</v>
      </c>
      <c r="B15" s="231" t="s">
        <v>494</v>
      </c>
      <c r="C15" s="232"/>
    </row>
    <row r="16" spans="1:4">
      <c r="A16" s="226" t="s">
        <v>495</v>
      </c>
      <c r="B16" s="43" t="s">
        <v>496</v>
      </c>
      <c r="C16" s="44" t="s">
        <v>497</v>
      </c>
    </row>
    <row r="17" spans="1:3">
      <c r="A17" s="227"/>
      <c r="B17" s="43" t="s">
        <v>498</v>
      </c>
      <c r="C17" s="44" t="s">
        <v>497</v>
      </c>
    </row>
    <row r="18" spans="1:3">
      <c r="A18" s="227"/>
      <c r="B18" s="43" t="s">
        <v>499</v>
      </c>
      <c r="C18" s="44" t="s">
        <v>497</v>
      </c>
    </row>
    <row r="19" spans="1:3">
      <c r="A19" s="227"/>
      <c r="B19" s="43" t="s">
        <v>500</v>
      </c>
      <c r="C19" s="44" t="s">
        <v>497</v>
      </c>
    </row>
    <row r="20" spans="1:3">
      <c r="A20" s="228"/>
      <c r="B20" s="43" t="s">
        <v>501</v>
      </c>
      <c r="C20" s="44" t="s">
        <v>497</v>
      </c>
    </row>
    <row r="21" spans="1:3">
      <c r="A21" s="226" t="s">
        <v>502</v>
      </c>
      <c r="B21" s="43" t="s">
        <v>496</v>
      </c>
    </row>
    <row r="22" spans="1:3">
      <c r="A22" s="227"/>
      <c r="B22" s="43" t="s">
        <v>498</v>
      </c>
    </row>
    <row r="23" spans="1:3">
      <c r="A23" s="227"/>
      <c r="B23" s="43" t="s">
        <v>499</v>
      </c>
    </row>
    <row r="24" spans="1:3">
      <c r="A24" s="227"/>
      <c r="B24" s="43" t="s">
        <v>500</v>
      </c>
    </row>
    <row r="25" spans="1:3">
      <c r="A25" s="228"/>
      <c r="B25" s="43" t="s">
        <v>501</v>
      </c>
    </row>
  </sheetData>
  <mergeCells count="14">
    <mergeCell ref="B2:C2"/>
    <mergeCell ref="A21:A25"/>
    <mergeCell ref="B12:C12"/>
    <mergeCell ref="B13:C13"/>
    <mergeCell ref="B14:C14"/>
    <mergeCell ref="B15:C15"/>
    <mergeCell ref="A16:A20"/>
    <mergeCell ref="B8:C8"/>
    <mergeCell ref="B11:C11"/>
    <mergeCell ref="B3:C3"/>
    <mergeCell ref="B4:C4"/>
    <mergeCell ref="B5:C5"/>
    <mergeCell ref="B6:C6"/>
    <mergeCell ref="B7:C7"/>
  </mergeCells>
  <hyperlinks>
    <hyperlink ref="D1" r:id="rId1" display="https://help.mypurecloud.com/articles/about-groups/" xr:uid="{B912306C-0958-464D-86D6-8FFE4ABCF6BC}"/>
    <hyperlink ref="D2" r:id="rId2" display="https://help.mypurecloud.com/articles/setting-groups-admins/" xr:uid="{D1AFA49E-54DC-4462-9EA2-D6153147EE99}"/>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02666-85F6-472C-A849-CFCE7DBA2447}">
  <sheetPr>
    <tabColor rgb="FF92D050"/>
  </sheetPr>
  <dimension ref="A1:P202"/>
  <sheetViews>
    <sheetView topLeftCell="A181" workbookViewId="0">
      <selection activeCell="A202" sqref="A202"/>
    </sheetView>
  </sheetViews>
  <sheetFormatPr defaultColWidth="9.140625" defaultRowHeight="15"/>
  <cols>
    <col min="1" max="1" width="44.7109375" bestFit="1" customWidth="1"/>
    <col min="2" max="2" width="11.7109375" customWidth="1"/>
    <col min="3" max="3" width="29.42578125" customWidth="1"/>
    <col min="4" max="4" width="19.28515625" customWidth="1"/>
    <col min="5" max="5" width="21.140625" customWidth="1"/>
    <col min="6" max="6" width="21" customWidth="1"/>
    <col min="7" max="7" width="16.5703125" customWidth="1"/>
    <col min="8" max="8" width="14.5703125" customWidth="1"/>
    <col min="9" max="9" width="13.7109375" customWidth="1"/>
    <col min="11" max="11" width="17.5703125" customWidth="1"/>
    <col min="13" max="13" width="16.85546875" customWidth="1"/>
    <col min="14" max="14" width="20.42578125" customWidth="1"/>
    <col min="15" max="15" width="30.28515625" bestFit="1" customWidth="1"/>
    <col min="16" max="16" width="52" bestFit="1" customWidth="1"/>
  </cols>
  <sheetData>
    <row r="1" spans="1:16" ht="18.75">
      <c r="A1" s="16" t="s">
        <v>466</v>
      </c>
      <c r="B1" s="5" t="s">
        <v>503</v>
      </c>
    </row>
    <row r="2" spans="1:16">
      <c r="B2" s="5" t="s">
        <v>504</v>
      </c>
    </row>
    <row r="3" spans="1:16" ht="30">
      <c r="A3" s="21" t="s">
        <v>468</v>
      </c>
      <c r="B3" s="21" t="s">
        <v>264</v>
      </c>
      <c r="C3" s="21" t="s">
        <v>505</v>
      </c>
      <c r="D3" s="21" t="s">
        <v>506</v>
      </c>
      <c r="E3" s="21" t="s">
        <v>476</v>
      </c>
      <c r="F3" s="21" t="s">
        <v>478</v>
      </c>
      <c r="G3" s="21" t="s">
        <v>507</v>
      </c>
      <c r="H3" s="21" t="s">
        <v>482</v>
      </c>
      <c r="I3" s="21" t="s">
        <v>485</v>
      </c>
      <c r="J3" s="21" t="s">
        <v>488</v>
      </c>
      <c r="K3" s="21" t="s">
        <v>508</v>
      </c>
      <c r="L3" s="21" t="s">
        <v>412</v>
      </c>
      <c r="M3" s="21" t="s">
        <v>491</v>
      </c>
      <c r="N3" s="21" t="s">
        <v>493</v>
      </c>
      <c r="O3" s="21" t="s">
        <v>495</v>
      </c>
      <c r="P3" s="21" t="s">
        <v>502</v>
      </c>
    </row>
    <row r="4" spans="1:16">
      <c r="A4" s="7" t="s">
        <v>509</v>
      </c>
      <c r="B4" s="7" t="s">
        <v>510</v>
      </c>
      <c r="C4" s="7" t="s">
        <v>511</v>
      </c>
      <c r="D4" s="7" t="s">
        <v>512</v>
      </c>
      <c r="E4" s="7" t="s">
        <v>512</v>
      </c>
      <c r="F4" s="7">
        <v>8000</v>
      </c>
      <c r="G4" s="7" t="s">
        <v>513</v>
      </c>
      <c r="H4" s="7">
        <v>12</v>
      </c>
      <c r="I4" s="7">
        <v>10</v>
      </c>
      <c r="J4" s="7" t="s">
        <v>514</v>
      </c>
      <c r="K4" s="7"/>
      <c r="L4" s="7" t="s">
        <v>512</v>
      </c>
      <c r="M4" s="7"/>
      <c r="N4" s="7"/>
      <c r="O4" s="7"/>
      <c r="P4" s="7" t="s">
        <v>515</v>
      </c>
    </row>
    <row r="5" spans="1:16">
      <c r="A5" s="7" t="s">
        <v>516</v>
      </c>
      <c r="B5" s="7" t="s">
        <v>510</v>
      </c>
      <c r="C5" s="7" t="s">
        <v>511</v>
      </c>
      <c r="D5" s="7" t="s">
        <v>512</v>
      </c>
      <c r="E5" s="7" t="s">
        <v>512</v>
      </c>
      <c r="F5" s="7">
        <v>8001</v>
      </c>
      <c r="G5" s="7" t="s">
        <v>513</v>
      </c>
      <c r="H5" s="7">
        <v>12</v>
      </c>
      <c r="I5" s="7">
        <v>10</v>
      </c>
      <c r="J5" s="7" t="s">
        <v>514</v>
      </c>
      <c r="K5" s="7"/>
      <c r="L5" s="7" t="s">
        <v>512</v>
      </c>
      <c r="M5" s="7"/>
      <c r="N5" s="7"/>
      <c r="O5" s="7"/>
      <c r="P5" s="7" t="s">
        <v>515</v>
      </c>
    </row>
    <row r="6" spans="1:16">
      <c r="A6" s="7" t="s">
        <v>517</v>
      </c>
      <c r="B6" s="7" t="s">
        <v>510</v>
      </c>
      <c r="C6" s="7" t="s">
        <v>511</v>
      </c>
      <c r="D6" s="7" t="s">
        <v>512</v>
      </c>
      <c r="E6" s="7" t="s">
        <v>512</v>
      </c>
      <c r="F6" s="7">
        <v>8002</v>
      </c>
      <c r="G6" s="7" t="s">
        <v>513</v>
      </c>
      <c r="H6" s="7">
        <v>12</v>
      </c>
      <c r="I6" s="7">
        <v>10</v>
      </c>
      <c r="J6" s="7" t="s">
        <v>514</v>
      </c>
      <c r="K6" s="7"/>
      <c r="L6" s="7" t="s">
        <v>512</v>
      </c>
      <c r="M6" s="7"/>
      <c r="N6" s="7"/>
      <c r="O6" s="7"/>
      <c r="P6" s="7" t="s">
        <v>515</v>
      </c>
    </row>
    <row r="7" spans="1:16">
      <c r="A7" s="7" t="s">
        <v>518</v>
      </c>
      <c r="B7" s="7" t="s">
        <v>510</v>
      </c>
      <c r="C7" s="7" t="s">
        <v>511</v>
      </c>
      <c r="D7" s="7" t="s">
        <v>512</v>
      </c>
      <c r="E7" s="7" t="s">
        <v>512</v>
      </c>
      <c r="F7" s="7">
        <v>8003</v>
      </c>
      <c r="G7" s="7" t="s">
        <v>513</v>
      </c>
      <c r="H7" s="7">
        <v>12</v>
      </c>
      <c r="I7" s="7">
        <v>10</v>
      </c>
      <c r="J7" s="7" t="s">
        <v>514</v>
      </c>
      <c r="K7" s="7"/>
      <c r="L7" s="7" t="s">
        <v>512</v>
      </c>
      <c r="M7" s="7"/>
      <c r="N7" s="7"/>
      <c r="O7" s="7"/>
      <c r="P7" s="7" t="s">
        <v>515</v>
      </c>
    </row>
    <row r="8" spans="1:16">
      <c r="A8" s="7" t="s">
        <v>519</v>
      </c>
      <c r="B8" s="7" t="s">
        <v>510</v>
      </c>
      <c r="C8" s="7" t="s">
        <v>511</v>
      </c>
      <c r="D8" s="7" t="s">
        <v>512</v>
      </c>
      <c r="E8" s="7" t="s">
        <v>512</v>
      </c>
      <c r="F8" s="7">
        <v>8004</v>
      </c>
      <c r="G8" s="7" t="s">
        <v>513</v>
      </c>
      <c r="H8" s="7">
        <v>12</v>
      </c>
      <c r="I8" s="7">
        <v>10</v>
      </c>
      <c r="J8" s="7" t="s">
        <v>514</v>
      </c>
      <c r="K8" s="7"/>
      <c r="L8" s="7" t="s">
        <v>512</v>
      </c>
      <c r="M8" s="7"/>
      <c r="N8" s="7"/>
      <c r="O8" s="7"/>
      <c r="P8" s="7" t="s">
        <v>515</v>
      </c>
    </row>
    <row r="9" spans="1:16">
      <c r="A9" s="7" t="s">
        <v>520</v>
      </c>
      <c r="B9" s="7" t="s">
        <v>510</v>
      </c>
      <c r="C9" s="7" t="s">
        <v>511</v>
      </c>
      <c r="D9" s="7" t="s">
        <v>512</v>
      </c>
      <c r="E9" s="7" t="s">
        <v>512</v>
      </c>
      <c r="F9" s="7">
        <v>8005</v>
      </c>
      <c r="G9" s="7" t="s">
        <v>513</v>
      </c>
      <c r="H9" s="7">
        <v>12</v>
      </c>
      <c r="I9" s="7">
        <v>10</v>
      </c>
      <c r="J9" s="7" t="s">
        <v>514</v>
      </c>
      <c r="K9" s="7"/>
      <c r="L9" s="7" t="s">
        <v>512</v>
      </c>
      <c r="M9" s="7"/>
      <c r="N9" s="7"/>
      <c r="O9" s="7"/>
      <c r="P9" s="7" t="s">
        <v>515</v>
      </c>
    </row>
    <row r="10" spans="1:16">
      <c r="A10" s="7" t="s">
        <v>521</v>
      </c>
      <c r="B10" s="7" t="s">
        <v>510</v>
      </c>
      <c r="C10" s="7" t="s">
        <v>511</v>
      </c>
      <c r="D10" s="7" t="s">
        <v>512</v>
      </c>
      <c r="E10" s="7" t="s">
        <v>512</v>
      </c>
      <c r="F10" s="7">
        <v>8006</v>
      </c>
      <c r="G10" s="7" t="s">
        <v>513</v>
      </c>
      <c r="H10" s="7">
        <v>12</v>
      </c>
      <c r="I10" s="7">
        <v>10</v>
      </c>
      <c r="J10" s="7" t="s">
        <v>514</v>
      </c>
      <c r="K10" s="7"/>
      <c r="L10" s="7" t="s">
        <v>512</v>
      </c>
      <c r="M10" s="7"/>
      <c r="N10" s="7"/>
      <c r="O10" s="7"/>
      <c r="P10" s="7" t="s">
        <v>515</v>
      </c>
    </row>
    <row r="11" spans="1:16">
      <c r="A11" s="7" t="s">
        <v>522</v>
      </c>
      <c r="B11" s="7" t="s">
        <v>510</v>
      </c>
      <c r="C11" s="7" t="s">
        <v>511</v>
      </c>
      <c r="D11" s="7" t="s">
        <v>512</v>
      </c>
      <c r="E11" s="7" t="s">
        <v>512</v>
      </c>
      <c r="F11" s="7">
        <v>8007</v>
      </c>
      <c r="G11" s="7" t="s">
        <v>513</v>
      </c>
      <c r="H11" s="7">
        <v>12</v>
      </c>
      <c r="I11" s="7">
        <v>10</v>
      </c>
      <c r="J11" s="7" t="s">
        <v>514</v>
      </c>
      <c r="K11" s="7"/>
      <c r="L11" s="7" t="s">
        <v>512</v>
      </c>
      <c r="M11" s="7"/>
      <c r="N11" s="7"/>
      <c r="O11" s="7"/>
      <c r="P11" s="7" t="s">
        <v>515</v>
      </c>
    </row>
    <row r="12" spans="1:16">
      <c r="A12" s="7" t="s">
        <v>523</v>
      </c>
      <c r="B12" s="7" t="s">
        <v>510</v>
      </c>
      <c r="C12" s="7" t="s">
        <v>511</v>
      </c>
      <c r="D12" s="7" t="s">
        <v>512</v>
      </c>
      <c r="E12" s="7" t="s">
        <v>512</v>
      </c>
      <c r="F12" s="7">
        <v>8008</v>
      </c>
      <c r="G12" s="7" t="s">
        <v>513</v>
      </c>
      <c r="H12" s="7">
        <v>12</v>
      </c>
      <c r="I12" s="7">
        <v>10</v>
      </c>
      <c r="J12" s="7" t="s">
        <v>514</v>
      </c>
      <c r="K12" s="7"/>
      <c r="L12" s="7" t="s">
        <v>512</v>
      </c>
      <c r="M12" s="7"/>
      <c r="N12" s="7"/>
      <c r="O12" s="7"/>
      <c r="P12" s="7" t="s">
        <v>515</v>
      </c>
    </row>
    <row r="13" spans="1:16">
      <c r="A13" s="7" t="s">
        <v>524</v>
      </c>
      <c r="B13" s="7" t="s">
        <v>510</v>
      </c>
      <c r="C13" s="7" t="s">
        <v>511</v>
      </c>
      <c r="D13" s="7" t="s">
        <v>512</v>
      </c>
      <c r="E13" s="7" t="s">
        <v>512</v>
      </c>
      <c r="F13" s="7">
        <v>8009</v>
      </c>
      <c r="G13" s="7" t="s">
        <v>513</v>
      </c>
      <c r="H13" s="7">
        <v>12</v>
      </c>
      <c r="I13" s="7">
        <v>10</v>
      </c>
      <c r="J13" s="7" t="s">
        <v>514</v>
      </c>
      <c r="K13" s="7"/>
      <c r="L13" s="7" t="s">
        <v>512</v>
      </c>
      <c r="M13" s="7"/>
      <c r="N13" s="7"/>
      <c r="O13" s="7"/>
      <c r="P13" s="7" t="s">
        <v>515</v>
      </c>
    </row>
    <row r="14" spans="1:16">
      <c r="A14" s="7" t="s">
        <v>525</v>
      </c>
      <c r="B14" s="7" t="s">
        <v>510</v>
      </c>
      <c r="C14" s="7" t="s">
        <v>511</v>
      </c>
      <c r="D14" s="7" t="s">
        <v>512</v>
      </c>
      <c r="E14" s="7" t="s">
        <v>512</v>
      </c>
      <c r="F14" s="7">
        <v>8010</v>
      </c>
      <c r="G14" s="7" t="s">
        <v>513</v>
      </c>
      <c r="H14" s="7">
        <v>12</v>
      </c>
      <c r="I14" s="7">
        <v>10</v>
      </c>
      <c r="J14" s="7" t="s">
        <v>514</v>
      </c>
      <c r="K14" s="7"/>
      <c r="L14" s="7" t="s">
        <v>512</v>
      </c>
      <c r="M14" s="7"/>
      <c r="N14" s="7"/>
      <c r="O14" s="7"/>
      <c r="P14" s="7" t="s">
        <v>515</v>
      </c>
    </row>
    <row r="15" spans="1:16">
      <c r="A15" s="7" t="s">
        <v>526</v>
      </c>
      <c r="B15" s="7" t="s">
        <v>510</v>
      </c>
      <c r="C15" s="7" t="s">
        <v>511</v>
      </c>
      <c r="D15" s="7" t="s">
        <v>512</v>
      </c>
      <c r="E15" s="7" t="s">
        <v>512</v>
      </c>
      <c r="F15" s="7">
        <v>8011</v>
      </c>
      <c r="G15" s="7" t="s">
        <v>513</v>
      </c>
      <c r="H15" s="7">
        <v>12</v>
      </c>
      <c r="I15" s="7">
        <v>10</v>
      </c>
      <c r="J15" s="7" t="s">
        <v>514</v>
      </c>
      <c r="K15" s="7"/>
      <c r="L15" s="7" t="s">
        <v>512</v>
      </c>
      <c r="M15" s="7"/>
      <c r="N15" s="7"/>
      <c r="O15" s="7"/>
      <c r="P15" s="7" t="s">
        <v>515</v>
      </c>
    </row>
    <row r="16" spans="1:16">
      <c r="A16" s="7" t="s">
        <v>527</v>
      </c>
      <c r="B16" s="7" t="s">
        <v>510</v>
      </c>
      <c r="C16" s="7" t="s">
        <v>511</v>
      </c>
      <c r="D16" s="7" t="s">
        <v>512</v>
      </c>
      <c r="E16" s="7" t="s">
        <v>512</v>
      </c>
      <c r="F16" s="7">
        <v>8012</v>
      </c>
      <c r="G16" s="7" t="s">
        <v>513</v>
      </c>
      <c r="H16" s="7">
        <v>12</v>
      </c>
      <c r="I16" s="7">
        <v>10</v>
      </c>
      <c r="J16" s="7" t="s">
        <v>514</v>
      </c>
      <c r="K16" s="7"/>
      <c r="L16" s="7" t="s">
        <v>512</v>
      </c>
      <c r="M16" s="7"/>
      <c r="N16" s="7"/>
      <c r="O16" s="7"/>
      <c r="P16" s="7" t="s">
        <v>515</v>
      </c>
    </row>
    <row r="17" spans="1:16">
      <c r="A17" s="7" t="s">
        <v>528</v>
      </c>
      <c r="B17" s="7" t="s">
        <v>510</v>
      </c>
      <c r="C17" s="7" t="s">
        <v>511</v>
      </c>
      <c r="D17" s="7" t="s">
        <v>512</v>
      </c>
      <c r="E17" s="7" t="s">
        <v>512</v>
      </c>
      <c r="F17" s="7">
        <v>8013</v>
      </c>
      <c r="G17" s="7" t="s">
        <v>513</v>
      </c>
      <c r="H17" s="7">
        <v>12</v>
      </c>
      <c r="I17" s="7">
        <v>10</v>
      </c>
      <c r="J17" s="7" t="s">
        <v>514</v>
      </c>
      <c r="K17" s="7"/>
      <c r="L17" s="7" t="s">
        <v>512</v>
      </c>
      <c r="M17" s="7"/>
      <c r="N17" s="7"/>
      <c r="O17" s="7"/>
      <c r="P17" s="7" t="s">
        <v>515</v>
      </c>
    </row>
    <row r="18" spans="1:16">
      <c r="A18" s="7" t="s">
        <v>529</v>
      </c>
      <c r="B18" s="7" t="s">
        <v>510</v>
      </c>
      <c r="C18" s="7" t="s">
        <v>511</v>
      </c>
      <c r="D18" s="7" t="s">
        <v>512</v>
      </c>
      <c r="E18" s="7" t="s">
        <v>512</v>
      </c>
      <c r="F18" s="7">
        <v>8014</v>
      </c>
      <c r="G18" s="7" t="s">
        <v>513</v>
      </c>
      <c r="H18" s="7">
        <v>12</v>
      </c>
      <c r="I18" s="7">
        <v>10</v>
      </c>
      <c r="J18" s="7" t="s">
        <v>514</v>
      </c>
      <c r="K18" s="7"/>
      <c r="L18" s="7" t="s">
        <v>512</v>
      </c>
      <c r="M18" s="7"/>
      <c r="N18" s="7"/>
      <c r="O18" s="7"/>
      <c r="P18" s="7" t="s">
        <v>515</v>
      </c>
    </row>
    <row r="19" spans="1:16">
      <c r="A19" s="7" t="s">
        <v>530</v>
      </c>
      <c r="B19" s="7" t="s">
        <v>510</v>
      </c>
      <c r="C19" s="7" t="s">
        <v>511</v>
      </c>
      <c r="D19" s="7" t="s">
        <v>512</v>
      </c>
      <c r="E19" s="7" t="s">
        <v>512</v>
      </c>
      <c r="F19" s="7">
        <v>8015</v>
      </c>
      <c r="G19" s="7" t="s">
        <v>513</v>
      </c>
      <c r="H19" s="7">
        <v>12</v>
      </c>
      <c r="I19" s="7">
        <v>10</v>
      </c>
      <c r="J19" s="7" t="s">
        <v>514</v>
      </c>
      <c r="K19" s="7"/>
      <c r="L19" s="7" t="s">
        <v>512</v>
      </c>
      <c r="M19" s="7"/>
      <c r="N19" s="7"/>
      <c r="O19" s="7"/>
      <c r="P19" s="7" t="s">
        <v>515</v>
      </c>
    </row>
    <row r="20" spans="1:16">
      <c r="A20" s="7" t="s">
        <v>531</v>
      </c>
      <c r="B20" s="7" t="s">
        <v>510</v>
      </c>
      <c r="C20" s="7" t="s">
        <v>511</v>
      </c>
      <c r="D20" s="7" t="s">
        <v>512</v>
      </c>
      <c r="E20" s="7" t="s">
        <v>512</v>
      </c>
      <c r="F20" s="7">
        <v>8016</v>
      </c>
      <c r="G20" s="7" t="s">
        <v>513</v>
      </c>
      <c r="H20" s="7">
        <v>12</v>
      </c>
      <c r="I20" s="7">
        <v>10</v>
      </c>
      <c r="J20" s="7" t="s">
        <v>514</v>
      </c>
      <c r="K20" s="7"/>
      <c r="L20" s="7" t="s">
        <v>512</v>
      </c>
      <c r="M20" s="7"/>
      <c r="N20" s="7"/>
      <c r="O20" s="7"/>
      <c r="P20" s="7" t="s">
        <v>515</v>
      </c>
    </row>
    <row r="21" spans="1:16">
      <c r="A21" s="7" t="s">
        <v>532</v>
      </c>
      <c r="B21" s="7" t="s">
        <v>510</v>
      </c>
      <c r="C21" s="7" t="s">
        <v>511</v>
      </c>
      <c r="D21" s="7" t="s">
        <v>512</v>
      </c>
      <c r="E21" s="7" t="s">
        <v>512</v>
      </c>
      <c r="F21" s="7">
        <v>8017</v>
      </c>
      <c r="G21" s="7" t="s">
        <v>513</v>
      </c>
      <c r="H21" s="7">
        <v>12</v>
      </c>
      <c r="I21" s="7">
        <v>10</v>
      </c>
      <c r="J21" s="7" t="s">
        <v>514</v>
      </c>
      <c r="K21" s="7"/>
      <c r="L21" s="7" t="s">
        <v>512</v>
      </c>
      <c r="M21" s="7"/>
      <c r="N21" s="7"/>
      <c r="O21" s="7"/>
      <c r="P21" s="7" t="s">
        <v>515</v>
      </c>
    </row>
    <row r="22" spans="1:16">
      <c r="A22" s="7" t="s">
        <v>533</v>
      </c>
      <c r="B22" s="7" t="s">
        <v>510</v>
      </c>
      <c r="C22" s="7" t="s">
        <v>511</v>
      </c>
      <c r="D22" s="7" t="s">
        <v>512</v>
      </c>
      <c r="E22" s="7" t="s">
        <v>512</v>
      </c>
      <c r="F22" s="7">
        <v>8018</v>
      </c>
      <c r="G22" s="7" t="s">
        <v>513</v>
      </c>
      <c r="H22" s="7">
        <v>12</v>
      </c>
      <c r="I22" s="7">
        <v>10</v>
      </c>
      <c r="J22" s="7" t="s">
        <v>514</v>
      </c>
      <c r="K22" s="7"/>
      <c r="L22" s="7" t="s">
        <v>512</v>
      </c>
      <c r="M22" s="7"/>
      <c r="N22" s="7"/>
      <c r="O22" s="7"/>
      <c r="P22" s="7" t="s">
        <v>515</v>
      </c>
    </row>
    <row r="23" spans="1:16">
      <c r="A23" s="7" t="s">
        <v>534</v>
      </c>
      <c r="B23" s="7" t="s">
        <v>510</v>
      </c>
      <c r="C23" s="7" t="s">
        <v>511</v>
      </c>
      <c r="D23" s="7" t="s">
        <v>512</v>
      </c>
      <c r="E23" s="7" t="s">
        <v>512</v>
      </c>
      <c r="F23" s="7">
        <v>8019</v>
      </c>
      <c r="G23" s="7" t="s">
        <v>513</v>
      </c>
      <c r="H23" s="7">
        <v>12</v>
      </c>
      <c r="I23" s="7">
        <v>10</v>
      </c>
      <c r="J23" s="7" t="s">
        <v>514</v>
      </c>
      <c r="K23" s="7"/>
      <c r="L23" s="7" t="s">
        <v>512</v>
      </c>
      <c r="M23" s="7"/>
      <c r="N23" s="7"/>
      <c r="O23" s="7"/>
      <c r="P23" s="7" t="s">
        <v>515</v>
      </c>
    </row>
    <row r="24" spans="1:16">
      <c r="A24" s="7" t="s">
        <v>535</v>
      </c>
      <c r="B24" s="7" t="s">
        <v>510</v>
      </c>
      <c r="C24" s="7" t="s">
        <v>511</v>
      </c>
      <c r="D24" s="7" t="s">
        <v>512</v>
      </c>
      <c r="E24" s="7" t="s">
        <v>512</v>
      </c>
      <c r="F24" s="7">
        <v>8020</v>
      </c>
      <c r="G24" s="7" t="s">
        <v>513</v>
      </c>
      <c r="H24" s="7">
        <v>12</v>
      </c>
      <c r="I24" s="7">
        <v>10</v>
      </c>
      <c r="J24" s="7" t="s">
        <v>514</v>
      </c>
      <c r="K24" s="7"/>
      <c r="L24" s="7" t="s">
        <v>512</v>
      </c>
      <c r="M24" s="7"/>
      <c r="N24" s="7"/>
      <c r="O24" s="7"/>
      <c r="P24" s="7" t="s">
        <v>515</v>
      </c>
    </row>
    <row r="25" spans="1:16">
      <c r="A25" s="7" t="s">
        <v>536</v>
      </c>
      <c r="B25" s="7" t="s">
        <v>510</v>
      </c>
      <c r="C25" s="7" t="s">
        <v>511</v>
      </c>
      <c r="D25" s="7" t="s">
        <v>512</v>
      </c>
      <c r="E25" s="7" t="s">
        <v>512</v>
      </c>
      <c r="F25" s="7">
        <v>8021</v>
      </c>
      <c r="G25" s="7" t="s">
        <v>513</v>
      </c>
      <c r="H25" s="7">
        <v>12</v>
      </c>
      <c r="I25" s="7">
        <v>10</v>
      </c>
      <c r="J25" s="7" t="s">
        <v>514</v>
      </c>
      <c r="K25" s="7"/>
      <c r="L25" s="7" t="s">
        <v>512</v>
      </c>
      <c r="M25" s="7"/>
      <c r="N25" s="7"/>
      <c r="O25" s="7"/>
      <c r="P25" s="7" t="s">
        <v>515</v>
      </c>
    </row>
    <row r="26" spans="1:16">
      <c r="A26" s="7" t="s">
        <v>537</v>
      </c>
      <c r="B26" s="7" t="s">
        <v>510</v>
      </c>
      <c r="C26" s="7" t="s">
        <v>511</v>
      </c>
      <c r="D26" s="7" t="s">
        <v>512</v>
      </c>
      <c r="E26" s="7" t="s">
        <v>512</v>
      </c>
      <c r="F26" s="7">
        <v>8022</v>
      </c>
      <c r="G26" s="7" t="s">
        <v>513</v>
      </c>
      <c r="H26" s="7">
        <v>12</v>
      </c>
      <c r="I26" s="7">
        <v>10</v>
      </c>
      <c r="J26" s="7" t="s">
        <v>514</v>
      </c>
      <c r="K26" s="7"/>
      <c r="L26" s="7" t="s">
        <v>512</v>
      </c>
      <c r="M26" s="7"/>
      <c r="N26" s="7"/>
      <c r="O26" s="7"/>
      <c r="P26" s="7" t="s">
        <v>515</v>
      </c>
    </row>
    <row r="27" spans="1:16">
      <c r="A27" s="7" t="s">
        <v>538</v>
      </c>
      <c r="B27" s="7" t="s">
        <v>510</v>
      </c>
      <c r="C27" s="7" t="s">
        <v>511</v>
      </c>
      <c r="D27" s="7" t="s">
        <v>512</v>
      </c>
      <c r="E27" s="7" t="s">
        <v>512</v>
      </c>
      <c r="F27" s="7">
        <v>8023</v>
      </c>
      <c r="G27" s="7" t="s">
        <v>513</v>
      </c>
      <c r="H27" s="7">
        <v>12</v>
      </c>
      <c r="I27" s="7">
        <v>10</v>
      </c>
      <c r="J27" s="7" t="s">
        <v>514</v>
      </c>
      <c r="K27" s="7"/>
      <c r="L27" s="7" t="s">
        <v>512</v>
      </c>
      <c r="M27" s="7"/>
      <c r="N27" s="7"/>
      <c r="O27" s="7"/>
      <c r="P27" s="7" t="s">
        <v>515</v>
      </c>
    </row>
    <row r="28" spans="1:16">
      <c r="A28" s="7" t="s">
        <v>539</v>
      </c>
      <c r="B28" s="7" t="s">
        <v>510</v>
      </c>
      <c r="C28" s="7" t="s">
        <v>511</v>
      </c>
      <c r="D28" s="7" t="s">
        <v>512</v>
      </c>
      <c r="E28" s="7" t="s">
        <v>512</v>
      </c>
      <c r="F28" s="7">
        <v>8024</v>
      </c>
      <c r="G28" s="7" t="s">
        <v>513</v>
      </c>
      <c r="H28" s="7">
        <v>12</v>
      </c>
      <c r="I28" s="7">
        <v>10</v>
      </c>
      <c r="J28" s="7" t="s">
        <v>514</v>
      </c>
      <c r="K28" s="7"/>
      <c r="L28" s="7" t="s">
        <v>512</v>
      </c>
      <c r="M28" s="7"/>
      <c r="N28" s="7"/>
      <c r="O28" s="7"/>
      <c r="P28" s="7" t="s">
        <v>515</v>
      </c>
    </row>
    <row r="29" spans="1:16">
      <c r="A29" s="7" t="s">
        <v>540</v>
      </c>
      <c r="B29" s="7" t="s">
        <v>510</v>
      </c>
      <c r="C29" s="7" t="s">
        <v>511</v>
      </c>
      <c r="D29" s="7" t="s">
        <v>512</v>
      </c>
      <c r="E29" s="7" t="s">
        <v>512</v>
      </c>
      <c r="F29" s="7">
        <v>8025</v>
      </c>
      <c r="G29" s="7" t="s">
        <v>513</v>
      </c>
      <c r="H29" s="7">
        <v>12</v>
      </c>
      <c r="I29" s="7">
        <v>10</v>
      </c>
      <c r="J29" s="7" t="s">
        <v>514</v>
      </c>
      <c r="K29" s="7"/>
      <c r="L29" s="7" t="s">
        <v>512</v>
      </c>
      <c r="M29" s="7"/>
      <c r="N29" s="7"/>
      <c r="O29" s="7"/>
      <c r="P29" s="7" t="s">
        <v>515</v>
      </c>
    </row>
    <row r="30" spans="1:16">
      <c r="A30" s="7" t="s">
        <v>541</v>
      </c>
      <c r="B30" s="7" t="s">
        <v>510</v>
      </c>
      <c r="C30" s="7" t="s">
        <v>511</v>
      </c>
      <c r="D30" s="7" t="s">
        <v>512</v>
      </c>
      <c r="E30" s="7" t="s">
        <v>512</v>
      </c>
      <c r="F30" s="7">
        <v>8026</v>
      </c>
      <c r="G30" s="7" t="s">
        <v>513</v>
      </c>
      <c r="H30" s="7">
        <v>12</v>
      </c>
      <c r="I30" s="7">
        <v>10</v>
      </c>
      <c r="J30" s="7" t="s">
        <v>514</v>
      </c>
      <c r="K30" s="7"/>
      <c r="L30" s="7" t="s">
        <v>512</v>
      </c>
      <c r="M30" s="7"/>
      <c r="N30" s="7"/>
      <c r="O30" s="7"/>
      <c r="P30" s="7" t="s">
        <v>515</v>
      </c>
    </row>
    <row r="31" spans="1:16">
      <c r="A31" s="7" t="s">
        <v>542</v>
      </c>
      <c r="B31" s="7" t="s">
        <v>510</v>
      </c>
      <c r="C31" s="7" t="s">
        <v>511</v>
      </c>
      <c r="D31" s="7" t="s">
        <v>512</v>
      </c>
      <c r="E31" s="7" t="s">
        <v>512</v>
      </c>
      <c r="F31" s="7">
        <v>8027</v>
      </c>
      <c r="G31" s="7" t="s">
        <v>513</v>
      </c>
      <c r="H31" s="7">
        <v>12</v>
      </c>
      <c r="I31" s="7">
        <v>10</v>
      </c>
      <c r="J31" s="7" t="s">
        <v>514</v>
      </c>
      <c r="K31" s="7"/>
      <c r="L31" s="7" t="s">
        <v>512</v>
      </c>
      <c r="M31" s="7"/>
      <c r="N31" s="7"/>
      <c r="O31" s="7"/>
      <c r="P31" s="7" t="s">
        <v>515</v>
      </c>
    </row>
    <row r="32" spans="1:16">
      <c r="A32" s="7" t="s">
        <v>543</v>
      </c>
      <c r="B32" s="7" t="s">
        <v>510</v>
      </c>
      <c r="C32" s="7" t="s">
        <v>511</v>
      </c>
      <c r="D32" s="7" t="s">
        <v>512</v>
      </c>
      <c r="E32" s="7" t="s">
        <v>512</v>
      </c>
      <c r="F32" s="7">
        <v>8028</v>
      </c>
      <c r="G32" s="7" t="s">
        <v>513</v>
      </c>
      <c r="H32" s="7">
        <v>12</v>
      </c>
      <c r="I32" s="7">
        <v>10</v>
      </c>
      <c r="J32" s="7" t="s">
        <v>514</v>
      </c>
      <c r="K32" s="7"/>
      <c r="L32" s="7" t="s">
        <v>512</v>
      </c>
      <c r="M32" s="7"/>
      <c r="N32" s="7"/>
      <c r="O32" s="7"/>
      <c r="P32" s="7" t="s">
        <v>515</v>
      </c>
    </row>
    <row r="33" spans="1:16">
      <c r="A33" s="7" t="s">
        <v>544</v>
      </c>
      <c r="B33" s="7" t="s">
        <v>510</v>
      </c>
      <c r="C33" s="7" t="s">
        <v>511</v>
      </c>
      <c r="D33" s="7" t="s">
        <v>512</v>
      </c>
      <c r="E33" s="7" t="s">
        <v>512</v>
      </c>
      <c r="F33" s="7">
        <v>8029</v>
      </c>
      <c r="G33" s="7" t="s">
        <v>513</v>
      </c>
      <c r="H33" s="7">
        <v>12</v>
      </c>
      <c r="I33" s="7">
        <v>10</v>
      </c>
      <c r="J33" s="7" t="s">
        <v>514</v>
      </c>
      <c r="K33" s="7"/>
      <c r="L33" s="7" t="s">
        <v>512</v>
      </c>
      <c r="M33" s="7"/>
      <c r="N33" s="7"/>
      <c r="O33" s="7"/>
      <c r="P33" s="7" t="s">
        <v>515</v>
      </c>
    </row>
    <row r="34" spans="1:16">
      <c r="A34" s="7" t="s">
        <v>545</v>
      </c>
      <c r="B34" s="7" t="s">
        <v>510</v>
      </c>
      <c r="C34" s="7" t="s">
        <v>511</v>
      </c>
      <c r="D34" s="7" t="s">
        <v>512</v>
      </c>
      <c r="E34" s="7" t="s">
        <v>512</v>
      </c>
      <c r="F34" s="7">
        <v>8030</v>
      </c>
      <c r="G34" s="7" t="s">
        <v>513</v>
      </c>
      <c r="H34" s="7">
        <v>12</v>
      </c>
      <c r="I34" s="7">
        <v>10</v>
      </c>
      <c r="J34" s="7" t="s">
        <v>514</v>
      </c>
      <c r="K34" s="7"/>
      <c r="L34" s="7" t="s">
        <v>512</v>
      </c>
      <c r="M34" s="7"/>
      <c r="N34" s="7"/>
      <c r="O34" s="7"/>
      <c r="P34" s="7" t="s">
        <v>515</v>
      </c>
    </row>
    <row r="35" spans="1:16">
      <c r="A35" s="7" t="s">
        <v>546</v>
      </c>
      <c r="B35" s="7" t="s">
        <v>510</v>
      </c>
      <c r="C35" s="7" t="s">
        <v>511</v>
      </c>
      <c r="D35" s="7" t="s">
        <v>512</v>
      </c>
      <c r="E35" s="7" t="s">
        <v>512</v>
      </c>
      <c r="F35" s="7">
        <v>8031</v>
      </c>
      <c r="G35" s="7" t="s">
        <v>513</v>
      </c>
      <c r="H35" s="7">
        <v>12</v>
      </c>
      <c r="I35" s="7">
        <v>10</v>
      </c>
      <c r="J35" s="7" t="s">
        <v>514</v>
      </c>
      <c r="K35" s="7"/>
      <c r="L35" s="7" t="s">
        <v>512</v>
      </c>
      <c r="M35" s="7"/>
      <c r="N35" s="7"/>
      <c r="O35" s="7"/>
      <c r="P35" s="7" t="s">
        <v>515</v>
      </c>
    </row>
    <row r="36" spans="1:16">
      <c r="A36" s="7" t="s">
        <v>547</v>
      </c>
      <c r="B36" s="7" t="s">
        <v>510</v>
      </c>
      <c r="C36" s="7" t="s">
        <v>511</v>
      </c>
      <c r="D36" s="7" t="s">
        <v>512</v>
      </c>
      <c r="E36" s="7" t="s">
        <v>512</v>
      </c>
      <c r="F36" s="7">
        <v>8032</v>
      </c>
      <c r="G36" s="7" t="s">
        <v>513</v>
      </c>
      <c r="H36" s="7">
        <v>12</v>
      </c>
      <c r="I36" s="7">
        <v>10</v>
      </c>
      <c r="J36" s="7" t="s">
        <v>514</v>
      </c>
      <c r="K36" s="7"/>
      <c r="L36" s="7" t="s">
        <v>512</v>
      </c>
      <c r="M36" s="7"/>
      <c r="N36" s="7"/>
      <c r="O36" s="7"/>
      <c r="P36" s="7" t="s">
        <v>515</v>
      </c>
    </row>
    <row r="37" spans="1:16">
      <c r="A37" s="7" t="s">
        <v>548</v>
      </c>
      <c r="B37" s="7" t="s">
        <v>510</v>
      </c>
      <c r="C37" s="7" t="s">
        <v>511</v>
      </c>
      <c r="D37" s="7" t="s">
        <v>512</v>
      </c>
      <c r="E37" s="7" t="s">
        <v>512</v>
      </c>
      <c r="F37" s="7">
        <v>8033</v>
      </c>
      <c r="G37" s="7" t="s">
        <v>513</v>
      </c>
      <c r="H37" s="7">
        <v>12</v>
      </c>
      <c r="I37" s="7">
        <v>10</v>
      </c>
      <c r="J37" s="7" t="s">
        <v>514</v>
      </c>
      <c r="K37" s="7"/>
      <c r="L37" s="7" t="s">
        <v>512</v>
      </c>
      <c r="M37" s="7"/>
      <c r="N37" s="7"/>
      <c r="O37" s="7"/>
      <c r="P37" s="7" t="s">
        <v>515</v>
      </c>
    </row>
    <row r="38" spans="1:16">
      <c r="A38" s="7" t="s">
        <v>549</v>
      </c>
      <c r="B38" s="7" t="s">
        <v>510</v>
      </c>
      <c r="C38" s="7" t="s">
        <v>511</v>
      </c>
      <c r="D38" s="7" t="s">
        <v>512</v>
      </c>
      <c r="E38" s="7" t="s">
        <v>512</v>
      </c>
      <c r="F38" s="7">
        <v>8034</v>
      </c>
      <c r="G38" s="7" t="s">
        <v>513</v>
      </c>
      <c r="H38" s="7">
        <v>12</v>
      </c>
      <c r="I38" s="7">
        <v>10</v>
      </c>
      <c r="J38" s="7" t="s">
        <v>514</v>
      </c>
      <c r="K38" s="7"/>
      <c r="L38" s="7" t="s">
        <v>512</v>
      </c>
      <c r="M38" s="7"/>
      <c r="N38" s="7"/>
      <c r="O38" s="7"/>
      <c r="P38" s="7" t="s">
        <v>515</v>
      </c>
    </row>
    <row r="39" spans="1:16">
      <c r="A39" s="7" t="s">
        <v>550</v>
      </c>
      <c r="B39" s="7" t="s">
        <v>510</v>
      </c>
      <c r="C39" s="7" t="s">
        <v>511</v>
      </c>
      <c r="D39" s="7" t="s">
        <v>512</v>
      </c>
      <c r="E39" s="7" t="s">
        <v>512</v>
      </c>
      <c r="F39" s="7">
        <v>8035</v>
      </c>
      <c r="G39" s="7" t="s">
        <v>513</v>
      </c>
      <c r="H39" s="7">
        <v>12</v>
      </c>
      <c r="I39" s="7">
        <v>10</v>
      </c>
      <c r="J39" s="7" t="s">
        <v>514</v>
      </c>
      <c r="K39" s="7"/>
      <c r="L39" s="7" t="s">
        <v>512</v>
      </c>
      <c r="M39" s="7"/>
      <c r="N39" s="7"/>
      <c r="O39" s="7"/>
      <c r="P39" s="7" t="s">
        <v>515</v>
      </c>
    </row>
    <row r="40" spans="1:16">
      <c r="A40" s="7" t="s">
        <v>551</v>
      </c>
      <c r="B40" s="7" t="s">
        <v>510</v>
      </c>
      <c r="C40" s="7" t="s">
        <v>511</v>
      </c>
      <c r="D40" s="7" t="s">
        <v>512</v>
      </c>
      <c r="E40" s="7" t="s">
        <v>512</v>
      </c>
      <c r="F40" s="7">
        <v>8036</v>
      </c>
      <c r="G40" s="7" t="s">
        <v>513</v>
      </c>
      <c r="H40" s="7">
        <v>12</v>
      </c>
      <c r="I40" s="7">
        <v>10</v>
      </c>
      <c r="J40" s="7" t="s">
        <v>514</v>
      </c>
      <c r="K40" s="7"/>
      <c r="L40" s="7" t="s">
        <v>512</v>
      </c>
      <c r="M40" s="7"/>
      <c r="N40" s="7"/>
      <c r="O40" s="7"/>
      <c r="P40" s="7" t="s">
        <v>515</v>
      </c>
    </row>
    <row r="41" spans="1:16">
      <c r="A41" s="7" t="s">
        <v>552</v>
      </c>
      <c r="B41" s="7" t="s">
        <v>510</v>
      </c>
      <c r="C41" s="7" t="s">
        <v>511</v>
      </c>
      <c r="D41" s="7" t="s">
        <v>512</v>
      </c>
      <c r="E41" s="7" t="s">
        <v>512</v>
      </c>
      <c r="F41" s="7">
        <v>8037</v>
      </c>
      <c r="G41" s="7" t="s">
        <v>513</v>
      </c>
      <c r="H41" s="7">
        <v>12</v>
      </c>
      <c r="I41" s="7">
        <v>10</v>
      </c>
      <c r="J41" s="7" t="s">
        <v>514</v>
      </c>
      <c r="K41" s="7"/>
      <c r="L41" s="7" t="s">
        <v>512</v>
      </c>
      <c r="M41" s="7"/>
      <c r="N41" s="7"/>
      <c r="O41" s="7"/>
      <c r="P41" s="7" t="s">
        <v>515</v>
      </c>
    </row>
    <row r="42" spans="1:16">
      <c r="A42" s="7" t="s">
        <v>553</v>
      </c>
      <c r="B42" s="7" t="s">
        <v>510</v>
      </c>
      <c r="C42" s="7" t="s">
        <v>511</v>
      </c>
      <c r="D42" s="7" t="s">
        <v>512</v>
      </c>
      <c r="E42" s="7" t="s">
        <v>512</v>
      </c>
      <c r="F42" s="7">
        <v>8038</v>
      </c>
      <c r="G42" s="7" t="s">
        <v>513</v>
      </c>
      <c r="H42" s="7">
        <v>12</v>
      </c>
      <c r="I42" s="7">
        <v>10</v>
      </c>
      <c r="J42" s="7" t="s">
        <v>514</v>
      </c>
      <c r="K42" s="7"/>
      <c r="L42" s="7" t="s">
        <v>512</v>
      </c>
      <c r="M42" s="7"/>
      <c r="N42" s="7"/>
      <c r="O42" s="7"/>
      <c r="P42" s="7" t="s">
        <v>515</v>
      </c>
    </row>
    <row r="43" spans="1:16">
      <c r="A43" s="7" t="s">
        <v>554</v>
      </c>
      <c r="B43" s="7" t="s">
        <v>510</v>
      </c>
      <c r="C43" s="7" t="s">
        <v>511</v>
      </c>
      <c r="D43" s="7" t="s">
        <v>512</v>
      </c>
      <c r="E43" s="7" t="s">
        <v>512</v>
      </c>
      <c r="F43" s="7">
        <v>8039</v>
      </c>
      <c r="G43" s="7" t="s">
        <v>513</v>
      </c>
      <c r="H43" s="7">
        <v>12</v>
      </c>
      <c r="I43" s="7">
        <v>10</v>
      </c>
      <c r="J43" s="7" t="s">
        <v>514</v>
      </c>
      <c r="K43" s="7"/>
      <c r="L43" s="7" t="s">
        <v>512</v>
      </c>
      <c r="M43" s="7"/>
      <c r="N43" s="7"/>
      <c r="O43" s="7"/>
      <c r="P43" s="7" t="s">
        <v>515</v>
      </c>
    </row>
    <row r="44" spans="1:16">
      <c r="A44" s="7" t="s">
        <v>555</v>
      </c>
      <c r="B44" s="7" t="s">
        <v>510</v>
      </c>
      <c r="C44" s="7" t="s">
        <v>511</v>
      </c>
      <c r="D44" s="7" t="s">
        <v>512</v>
      </c>
      <c r="E44" s="7" t="s">
        <v>512</v>
      </c>
      <c r="F44" s="7">
        <v>8040</v>
      </c>
      <c r="G44" s="7" t="s">
        <v>513</v>
      </c>
      <c r="H44" s="7">
        <v>12</v>
      </c>
      <c r="I44" s="7">
        <v>10</v>
      </c>
      <c r="J44" s="7" t="s">
        <v>514</v>
      </c>
      <c r="K44" s="7"/>
      <c r="L44" s="7" t="s">
        <v>512</v>
      </c>
      <c r="M44" s="7"/>
      <c r="N44" s="7"/>
      <c r="O44" s="7"/>
      <c r="P44" s="7" t="s">
        <v>515</v>
      </c>
    </row>
    <row r="45" spans="1:16">
      <c r="A45" s="7" t="s">
        <v>556</v>
      </c>
      <c r="B45" s="7" t="s">
        <v>510</v>
      </c>
      <c r="C45" s="7" t="s">
        <v>511</v>
      </c>
      <c r="D45" s="7" t="s">
        <v>512</v>
      </c>
      <c r="E45" s="7" t="s">
        <v>512</v>
      </c>
      <c r="F45" s="7">
        <v>8041</v>
      </c>
      <c r="G45" s="7" t="s">
        <v>513</v>
      </c>
      <c r="H45" s="7">
        <v>12</v>
      </c>
      <c r="I45" s="7">
        <v>10</v>
      </c>
      <c r="J45" s="7" t="s">
        <v>514</v>
      </c>
      <c r="K45" s="7"/>
      <c r="L45" s="7" t="s">
        <v>512</v>
      </c>
      <c r="M45" s="7"/>
      <c r="N45" s="7"/>
      <c r="O45" s="7"/>
      <c r="P45" s="7" t="s">
        <v>515</v>
      </c>
    </row>
    <row r="46" spans="1:16">
      <c r="A46" s="7" t="s">
        <v>557</v>
      </c>
      <c r="B46" s="7" t="s">
        <v>510</v>
      </c>
      <c r="C46" s="7" t="s">
        <v>511</v>
      </c>
      <c r="D46" s="7" t="s">
        <v>512</v>
      </c>
      <c r="E46" s="7" t="s">
        <v>512</v>
      </c>
      <c r="F46" s="7">
        <v>8042</v>
      </c>
      <c r="G46" s="7" t="s">
        <v>513</v>
      </c>
      <c r="H46" s="7">
        <v>12</v>
      </c>
      <c r="I46" s="7">
        <v>10</v>
      </c>
      <c r="J46" s="7" t="s">
        <v>514</v>
      </c>
      <c r="K46" s="7"/>
      <c r="L46" s="7" t="s">
        <v>512</v>
      </c>
      <c r="M46" s="7"/>
      <c r="N46" s="7"/>
      <c r="O46" s="7"/>
      <c r="P46" s="7" t="s">
        <v>515</v>
      </c>
    </row>
    <row r="47" spans="1:16">
      <c r="A47" s="7" t="s">
        <v>558</v>
      </c>
      <c r="B47" s="7" t="s">
        <v>510</v>
      </c>
      <c r="C47" s="7" t="s">
        <v>511</v>
      </c>
      <c r="D47" s="7" t="s">
        <v>512</v>
      </c>
      <c r="E47" s="7" t="s">
        <v>512</v>
      </c>
      <c r="F47" s="7">
        <v>8043</v>
      </c>
      <c r="G47" s="7" t="s">
        <v>513</v>
      </c>
      <c r="H47" s="7">
        <v>12</v>
      </c>
      <c r="I47" s="7">
        <v>10</v>
      </c>
      <c r="J47" s="7" t="s">
        <v>514</v>
      </c>
      <c r="K47" s="7"/>
      <c r="L47" s="7" t="s">
        <v>512</v>
      </c>
      <c r="M47" s="7"/>
      <c r="N47" s="7"/>
      <c r="O47" s="7"/>
      <c r="P47" s="7" t="s">
        <v>515</v>
      </c>
    </row>
    <row r="48" spans="1:16">
      <c r="A48" s="7" t="s">
        <v>559</v>
      </c>
      <c r="B48" s="7" t="s">
        <v>510</v>
      </c>
      <c r="C48" s="7" t="s">
        <v>511</v>
      </c>
      <c r="D48" s="7" t="s">
        <v>512</v>
      </c>
      <c r="E48" s="7" t="s">
        <v>512</v>
      </c>
      <c r="F48" s="7">
        <v>8044</v>
      </c>
      <c r="G48" s="7" t="s">
        <v>513</v>
      </c>
      <c r="H48" s="7">
        <v>12</v>
      </c>
      <c r="I48" s="7">
        <v>10</v>
      </c>
      <c r="J48" s="7" t="s">
        <v>514</v>
      </c>
      <c r="K48" s="7"/>
      <c r="L48" s="7" t="s">
        <v>512</v>
      </c>
      <c r="M48" s="7"/>
      <c r="N48" s="7"/>
      <c r="O48" s="7"/>
      <c r="P48" s="7" t="s">
        <v>515</v>
      </c>
    </row>
    <row r="49" spans="1:16">
      <c r="A49" s="7" t="s">
        <v>560</v>
      </c>
      <c r="B49" s="7" t="s">
        <v>510</v>
      </c>
      <c r="C49" s="7" t="s">
        <v>511</v>
      </c>
      <c r="D49" s="7" t="s">
        <v>512</v>
      </c>
      <c r="E49" s="7" t="s">
        <v>512</v>
      </c>
      <c r="F49" s="7">
        <v>8045</v>
      </c>
      <c r="G49" s="7" t="s">
        <v>513</v>
      </c>
      <c r="H49" s="7">
        <v>12</v>
      </c>
      <c r="I49" s="7">
        <v>10</v>
      </c>
      <c r="J49" s="7" t="s">
        <v>514</v>
      </c>
      <c r="K49" s="7"/>
      <c r="L49" s="7" t="s">
        <v>512</v>
      </c>
      <c r="M49" s="7"/>
      <c r="N49" s="7"/>
      <c r="O49" s="7"/>
      <c r="P49" s="7" t="s">
        <v>515</v>
      </c>
    </row>
    <row r="50" spans="1:16">
      <c r="A50" s="7" t="s">
        <v>561</v>
      </c>
      <c r="B50" s="7" t="s">
        <v>510</v>
      </c>
      <c r="C50" s="7" t="s">
        <v>511</v>
      </c>
      <c r="D50" s="7" t="s">
        <v>512</v>
      </c>
      <c r="E50" s="7" t="s">
        <v>512</v>
      </c>
      <c r="F50" s="7">
        <v>8046</v>
      </c>
      <c r="G50" s="7" t="s">
        <v>513</v>
      </c>
      <c r="H50" s="7">
        <v>12</v>
      </c>
      <c r="I50" s="7">
        <v>10</v>
      </c>
      <c r="J50" s="7" t="s">
        <v>514</v>
      </c>
      <c r="K50" s="7"/>
      <c r="L50" s="7" t="s">
        <v>512</v>
      </c>
      <c r="M50" s="7"/>
      <c r="N50" s="7"/>
      <c r="O50" s="7"/>
      <c r="P50" s="7" t="s">
        <v>515</v>
      </c>
    </row>
    <row r="51" spans="1:16">
      <c r="A51" s="7" t="s">
        <v>562</v>
      </c>
      <c r="B51" s="7" t="s">
        <v>510</v>
      </c>
      <c r="C51" s="7" t="s">
        <v>511</v>
      </c>
      <c r="D51" s="7" t="s">
        <v>512</v>
      </c>
      <c r="E51" s="7" t="s">
        <v>512</v>
      </c>
      <c r="F51" s="7">
        <v>8047</v>
      </c>
      <c r="G51" s="7" t="s">
        <v>513</v>
      </c>
      <c r="H51" s="7">
        <v>12</v>
      </c>
      <c r="I51" s="7">
        <v>10</v>
      </c>
      <c r="J51" s="7" t="s">
        <v>514</v>
      </c>
      <c r="K51" s="7"/>
      <c r="L51" s="7" t="s">
        <v>512</v>
      </c>
      <c r="M51" s="7"/>
      <c r="N51" s="7"/>
      <c r="O51" s="7"/>
      <c r="P51" s="7" t="s">
        <v>515</v>
      </c>
    </row>
    <row r="52" spans="1:16">
      <c r="A52" s="7" t="s">
        <v>563</v>
      </c>
      <c r="B52" s="7" t="s">
        <v>510</v>
      </c>
      <c r="C52" s="7" t="s">
        <v>511</v>
      </c>
      <c r="D52" s="7" t="s">
        <v>512</v>
      </c>
      <c r="E52" s="7" t="s">
        <v>512</v>
      </c>
      <c r="F52" s="7">
        <v>8048</v>
      </c>
      <c r="G52" s="7" t="s">
        <v>513</v>
      </c>
      <c r="H52" s="7">
        <v>12</v>
      </c>
      <c r="I52" s="7">
        <v>10</v>
      </c>
      <c r="J52" s="7" t="s">
        <v>514</v>
      </c>
      <c r="K52" s="7"/>
      <c r="L52" s="7" t="s">
        <v>512</v>
      </c>
      <c r="M52" s="7"/>
      <c r="N52" s="7"/>
      <c r="O52" s="7"/>
      <c r="P52" s="7" t="s">
        <v>515</v>
      </c>
    </row>
    <row r="53" spans="1:16">
      <c r="A53" s="7" t="s">
        <v>564</v>
      </c>
      <c r="B53" s="7" t="s">
        <v>510</v>
      </c>
      <c r="C53" s="7" t="s">
        <v>511</v>
      </c>
      <c r="D53" s="7" t="s">
        <v>512</v>
      </c>
      <c r="E53" s="7" t="s">
        <v>512</v>
      </c>
      <c r="F53" s="7">
        <v>8049</v>
      </c>
      <c r="G53" s="7" t="s">
        <v>513</v>
      </c>
      <c r="H53" s="7">
        <v>12</v>
      </c>
      <c r="I53" s="7">
        <v>10</v>
      </c>
      <c r="J53" s="7" t="s">
        <v>514</v>
      </c>
      <c r="K53" s="7"/>
      <c r="L53" s="7" t="s">
        <v>512</v>
      </c>
      <c r="M53" s="7"/>
      <c r="N53" s="7"/>
      <c r="O53" s="7"/>
      <c r="P53" s="7" t="s">
        <v>515</v>
      </c>
    </row>
    <row r="54" spans="1:16">
      <c r="A54" s="7" t="s">
        <v>565</v>
      </c>
      <c r="B54" s="7" t="s">
        <v>510</v>
      </c>
      <c r="C54" s="7" t="s">
        <v>511</v>
      </c>
      <c r="D54" s="7" t="s">
        <v>512</v>
      </c>
      <c r="E54" s="7" t="s">
        <v>512</v>
      </c>
      <c r="F54" s="7">
        <v>8050</v>
      </c>
      <c r="G54" s="7" t="s">
        <v>513</v>
      </c>
      <c r="H54" s="7">
        <v>12</v>
      </c>
      <c r="I54" s="7">
        <v>10</v>
      </c>
      <c r="J54" s="7" t="s">
        <v>514</v>
      </c>
      <c r="K54" s="7"/>
      <c r="L54" s="7" t="s">
        <v>512</v>
      </c>
      <c r="M54" s="7"/>
      <c r="N54" s="7"/>
      <c r="O54" s="7"/>
      <c r="P54" s="7" t="s">
        <v>515</v>
      </c>
    </row>
    <row r="55" spans="1:16">
      <c r="A55" s="7" t="s">
        <v>566</v>
      </c>
      <c r="B55" s="7" t="s">
        <v>510</v>
      </c>
      <c r="C55" s="7" t="s">
        <v>511</v>
      </c>
      <c r="D55" s="7" t="s">
        <v>512</v>
      </c>
      <c r="E55" s="7" t="s">
        <v>512</v>
      </c>
      <c r="F55" s="7">
        <v>8051</v>
      </c>
      <c r="G55" s="7" t="s">
        <v>513</v>
      </c>
      <c r="H55" s="7">
        <v>12</v>
      </c>
      <c r="I55" s="7">
        <v>10</v>
      </c>
      <c r="J55" s="7" t="s">
        <v>514</v>
      </c>
      <c r="K55" s="7"/>
      <c r="L55" s="7" t="s">
        <v>512</v>
      </c>
      <c r="M55" s="7"/>
      <c r="N55" s="7"/>
      <c r="O55" s="7"/>
      <c r="P55" s="7" t="s">
        <v>515</v>
      </c>
    </row>
    <row r="56" spans="1:16">
      <c r="A56" s="7" t="s">
        <v>567</v>
      </c>
      <c r="B56" s="7" t="s">
        <v>510</v>
      </c>
      <c r="C56" s="7" t="s">
        <v>511</v>
      </c>
      <c r="D56" s="7" t="s">
        <v>512</v>
      </c>
      <c r="E56" s="7" t="s">
        <v>512</v>
      </c>
      <c r="F56" s="7">
        <v>8052</v>
      </c>
      <c r="G56" s="7" t="s">
        <v>513</v>
      </c>
      <c r="H56" s="7">
        <v>12</v>
      </c>
      <c r="I56" s="7">
        <v>10</v>
      </c>
      <c r="J56" s="7" t="s">
        <v>514</v>
      </c>
      <c r="K56" s="7"/>
      <c r="L56" s="7" t="s">
        <v>512</v>
      </c>
      <c r="M56" s="7"/>
      <c r="N56" s="7"/>
      <c r="O56" s="7"/>
      <c r="P56" s="7" t="s">
        <v>515</v>
      </c>
    </row>
    <row r="57" spans="1:16">
      <c r="A57" s="7" t="s">
        <v>568</v>
      </c>
      <c r="B57" s="7" t="s">
        <v>510</v>
      </c>
      <c r="C57" s="7" t="s">
        <v>511</v>
      </c>
      <c r="D57" s="7" t="s">
        <v>512</v>
      </c>
      <c r="E57" s="7" t="s">
        <v>512</v>
      </c>
      <c r="F57" s="7">
        <v>8053</v>
      </c>
      <c r="G57" s="7" t="s">
        <v>513</v>
      </c>
      <c r="H57" s="7">
        <v>12</v>
      </c>
      <c r="I57" s="7">
        <v>10</v>
      </c>
      <c r="J57" s="7" t="s">
        <v>514</v>
      </c>
      <c r="K57" s="7"/>
      <c r="L57" s="7" t="s">
        <v>512</v>
      </c>
      <c r="M57" s="7"/>
      <c r="N57" s="7"/>
      <c r="O57" s="7"/>
      <c r="P57" s="7" t="s">
        <v>515</v>
      </c>
    </row>
    <row r="58" spans="1:16">
      <c r="A58" s="7" t="s">
        <v>569</v>
      </c>
      <c r="B58" s="7" t="s">
        <v>510</v>
      </c>
      <c r="C58" s="7" t="s">
        <v>511</v>
      </c>
      <c r="D58" s="7" t="s">
        <v>512</v>
      </c>
      <c r="E58" s="7" t="s">
        <v>512</v>
      </c>
      <c r="F58" s="7">
        <v>8054</v>
      </c>
      <c r="G58" s="7" t="s">
        <v>513</v>
      </c>
      <c r="H58" s="7">
        <v>12</v>
      </c>
      <c r="I58" s="7">
        <v>10</v>
      </c>
      <c r="J58" s="7" t="s">
        <v>514</v>
      </c>
      <c r="K58" s="7"/>
      <c r="L58" s="7" t="s">
        <v>512</v>
      </c>
      <c r="M58" s="7"/>
      <c r="N58" s="7"/>
      <c r="O58" s="7"/>
      <c r="P58" s="7" t="s">
        <v>515</v>
      </c>
    </row>
    <row r="59" spans="1:16">
      <c r="A59" s="7" t="s">
        <v>570</v>
      </c>
      <c r="B59" s="7" t="s">
        <v>510</v>
      </c>
      <c r="C59" s="7" t="s">
        <v>511</v>
      </c>
      <c r="D59" s="7" t="s">
        <v>512</v>
      </c>
      <c r="E59" s="7" t="s">
        <v>512</v>
      </c>
      <c r="F59" s="7">
        <v>8055</v>
      </c>
      <c r="G59" s="7" t="s">
        <v>513</v>
      </c>
      <c r="H59" s="7">
        <v>12</v>
      </c>
      <c r="I59" s="7">
        <v>10</v>
      </c>
      <c r="J59" s="7" t="s">
        <v>514</v>
      </c>
      <c r="K59" s="7"/>
      <c r="L59" s="7" t="s">
        <v>512</v>
      </c>
      <c r="M59" s="7"/>
      <c r="N59" s="7"/>
      <c r="O59" s="7"/>
      <c r="P59" s="7" t="s">
        <v>515</v>
      </c>
    </row>
    <row r="60" spans="1:16">
      <c r="A60" s="7" t="s">
        <v>571</v>
      </c>
      <c r="B60" s="7" t="s">
        <v>510</v>
      </c>
      <c r="C60" s="7" t="s">
        <v>511</v>
      </c>
      <c r="D60" s="7" t="s">
        <v>512</v>
      </c>
      <c r="E60" s="7" t="s">
        <v>512</v>
      </c>
      <c r="F60" s="7">
        <v>8056</v>
      </c>
      <c r="G60" s="7" t="s">
        <v>513</v>
      </c>
      <c r="H60" s="7">
        <v>12</v>
      </c>
      <c r="I60" s="7">
        <v>10</v>
      </c>
      <c r="J60" s="7" t="s">
        <v>514</v>
      </c>
      <c r="K60" s="7"/>
      <c r="L60" s="7" t="s">
        <v>512</v>
      </c>
      <c r="M60" s="7"/>
      <c r="N60" s="7"/>
      <c r="O60" s="7"/>
      <c r="P60" s="7" t="s">
        <v>515</v>
      </c>
    </row>
    <row r="61" spans="1:16">
      <c r="A61" s="7" t="s">
        <v>572</v>
      </c>
      <c r="B61" s="7" t="s">
        <v>510</v>
      </c>
      <c r="C61" s="7" t="s">
        <v>511</v>
      </c>
      <c r="D61" s="7" t="s">
        <v>512</v>
      </c>
      <c r="E61" s="7" t="s">
        <v>512</v>
      </c>
      <c r="F61" s="7">
        <v>8057</v>
      </c>
      <c r="G61" s="7" t="s">
        <v>513</v>
      </c>
      <c r="H61" s="7">
        <v>12</v>
      </c>
      <c r="I61" s="7">
        <v>10</v>
      </c>
      <c r="J61" s="7" t="s">
        <v>514</v>
      </c>
      <c r="K61" s="7"/>
      <c r="L61" s="7" t="s">
        <v>512</v>
      </c>
      <c r="M61" s="7"/>
      <c r="N61" s="7"/>
      <c r="O61" s="7"/>
      <c r="P61" s="7" t="s">
        <v>515</v>
      </c>
    </row>
    <row r="62" spans="1:16">
      <c r="A62" s="7" t="s">
        <v>573</v>
      </c>
      <c r="B62" s="7" t="s">
        <v>510</v>
      </c>
      <c r="C62" s="7" t="s">
        <v>511</v>
      </c>
      <c r="D62" s="7" t="s">
        <v>512</v>
      </c>
      <c r="E62" s="7" t="s">
        <v>512</v>
      </c>
      <c r="F62" s="7">
        <v>8058</v>
      </c>
      <c r="G62" s="7" t="s">
        <v>513</v>
      </c>
      <c r="H62" s="7">
        <v>12</v>
      </c>
      <c r="I62" s="7">
        <v>10</v>
      </c>
      <c r="J62" s="7" t="s">
        <v>514</v>
      </c>
      <c r="K62" s="7"/>
      <c r="L62" s="7" t="s">
        <v>512</v>
      </c>
      <c r="M62" s="7"/>
      <c r="N62" s="7"/>
      <c r="O62" s="7"/>
      <c r="P62" s="7" t="s">
        <v>515</v>
      </c>
    </row>
    <row r="63" spans="1:16">
      <c r="A63" s="7" t="s">
        <v>574</v>
      </c>
      <c r="B63" s="7" t="s">
        <v>510</v>
      </c>
      <c r="C63" s="7" t="s">
        <v>511</v>
      </c>
      <c r="D63" s="7" t="s">
        <v>512</v>
      </c>
      <c r="E63" s="7" t="s">
        <v>512</v>
      </c>
      <c r="F63" s="7">
        <v>8059</v>
      </c>
      <c r="G63" s="7" t="s">
        <v>513</v>
      </c>
      <c r="H63" s="7">
        <v>12</v>
      </c>
      <c r="I63" s="7">
        <v>10</v>
      </c>
      <c r="J63" s="7" t="s">
        <v>514</v>
      </c>
      <c r="K63" s="7"/>
      <c r="L63" s="7" t="s">
        <v>512</v>
      </c>
      <c r="M63" s="7"/>
      <c r="N63" s="7"/>
      <c r="O63" s="7"/>
      <c r="P63" s="7" t="s">
        <v>515</v>
      </c>
    </row>
    <row r="64" spans="1:16">
      <c r="A64" s="7" t="s">
        <v>575</v>
      </c>
      <c r="B64" s="7" t="s">
        <v>510</v>
      </c>
      <c r="C64" s="7" t="s">
        <v>511</v>
      </c>
      <c r="D64" s="7" t="s">
        <v>512</v>
      </c>
      <c r="E64" s="7" t="s">
        <v>512</v>
      </c>
      <c r="F64" s="7">
        <v>8060</v>
      </c>
      <c r="G64" s="7" t="s">
        <v>513</v>
      </c>
      <c r="H64" s="7">
        <v>12</v>
      </c>
      <c r="I64" s="7">
        <v>10</v>
      </c>
      <c r="J64" s="7" t="s">
        <v>514</v>
      </c>
      <c r="K64" s="7"/>
      <c r="L64" s="7" t="s">
        <v>512</v>
      </c>
      <c r="M64" s="7"/>
      <c r="N64" s="7"/>
      <c r="O64" s="7"/>
      <c r="P64" s="7" t="s">
        <v>515</v>
      </c>
    </row>
    <row r="65" spans="1:16">
      <c r="A65" s="7" t="s">
        <v>576</v>
      </c>
      <c r="B65" s="7" t="s">
        <v>510</v>
      </c>
      <c r="C65" s="7" t="s">
        <v>511</v>
      </c>
      <c r="D65" s="7" t="s">
        <v>512</v>
      </c>
      <c r="E65" s="7" t="s">
        <v>512</v>
      </c>
      <c r="F65" s="7">
        <v>8061</v>
      </c>
      <c r="G65" s="7" t="s">
        <v>513</v>
      </c>
      <c r="H65" s="7">
        <v>12</v>
      </c>
      <c r="I65" s="7">
        <v>10</v>
      </c>
      <c r="J65" s="7" t="s">
        <v>514</v>
      </c>
      <c r="K65" s="7"/>
      <c r="L65" s="7" t="s">
        <v>512</v>
      </c>
      <c r="M65" s="7"/>
      <c r="N65" s="7"/>
      <c r="O65" s="7"/>
      <c r="P65" s="7" t="s">
        <v>515</v>
      </c>
    </row>
    <row r="66" spans="1:16">
      <c r="A66" s="7" t="s">
        <v>577</v>
      </c>
      <c r="B66" s="7" t="s">
        <v>510</v>
      </c>
      <c r="C66" s="7" t="s">
        <v>511</v>
      </c>
      <c r="D66" s="7" t="s">
        <v>512</v>
      </c>
      <c r="E66" s="7" t="s">
        <v>512</v>
      </c>
      <c r="F66" s="7">
        <v>8062</v>
      </c>
      <c r="G66" s="7" t="s">
        <v>513</v>
      </c>
      <c r="H66" s="7">
        <v>12</v>
      </c>
      <c r="I66" s="7">
        <v>10</v>
      </c>
      <c r="J66" s="7" t="s">
        <v>514</v>
      </c>
      <c r="K66" s="7"/>
      <c r="L66" s="7" t="s">
        <v>512</v>
      </c>
      <c r="M66" s="7"/>
      <c r="N66" s="7"/>
      <c r="O66" s="7"/>
      <c r="P66" s="7" t="s">
        <v>515</v>
      </c>
    </row>
    <row r="67" spans="1:16">
      <c r="A67" s="7" t="s">
        <v>578</v>
      </c>
      <c r="B67" s="7" t="s">
        <v>510</v>
      </c>
      <c r="C67" s="7" t="s">
        <v>511</v>
      </c>
      <c r="D67" s="7" t="s">
        <v>512</v>
      </c>
      <c r="E67" s="7" t="s">
        <v>512</v>
      </c>
      <c r="F67" s="7">
        <v>8063</v>
      </c>
      <c r="G67" s="7" t="s">
        <v>513</v>
      </c>
      <c r="H67" s="7">
        <v>12</v>
      </c>
      <c r="I67" s="7">
        <v>10</v>
      </c>
      <c r="J67" s="7" t="s">
        <v>514</v>
      </c>
      <c r="K67" s="7"/>
      <c r="L67" s="7" t="s">
        <v>512</v>
      </c>
      <c r="M67" s="7"/>
      <c r="N67" s="7"/>
      <c r="O67" s="7"/>
      <c r="P67" s="7" t="s">
        <v>515</v>
      </c>
    </row>
    <row r="68" spans="1:16">
      <c r="A68" s="7" t="s">
        <v>579</v>
      </c>
      <c r="B68" s="7" t="s">
        <v>510</v>
      </c>
      <c r="C68" s="7" t="s">
        <v>511</v>
      </c>
      <c r="D68" s="7" t="s">
        <v>512</v>
      </c>
      <c r="E68" s="7" t="s">
        <v>512</v>
      </c>
      <c r="F68" s="7">
        <v>8064</v>
      </c>
      <c r="G68" s="7" t="s">
        <v>513</v>
      </c>
      <c r="H68" s="7">
        <v>12</v>
      </c>
      <c r="I68" s="7">
        <v>10</v>
      </c>
      <c r="J68" s="7" t="s">
        <v>514</v>
      </c>
      <c r="K68" s="7"/>
      <c r="L68" s="7" t="s">
        <v>512</v>
      </c>
      <c r="M68" s="7"/>
      <c r="N68" s="7"/>
      <c r="O68" s="7"/>
      <c r="P68" s="7" t="s">
        <v>515</v>
      </c>
    </row>
    <row r="69" spans="1:16">
      <c r="A69" s="7" t="s">
        <v>580</v>
      </c>
      <c r="B69" s="7" t="s">
        <v>510</v>
      </c>
      <c r="C69" s="7" t="s">
        <v>511</v>
      </c>
      <c r="D69" s="7" t="s">
        <v>512</v>
      </c>
      <c r="E69" s="7" t="s">
        <v>512</v>
      </c>
      <c r="F69" s="7">
        <v>8065</v>
      </c>
      <c r="G69" s="7" t="s">
        <v>513</v>
      </c>
      <c r="H69" s="7">
        <v>12</v>
      </c>
      <c r="I69" s="7">
        <v>10</v>
      </c>
      <c r="J69" s="7" t="s">
        <v>514</v>
      </c>
      <c r="K69" s="7"/>
      <c r="L69" s="7" t="s">
        <v>512</v>
      </c>
      <c r="M69" s="7"/>
      <c r="N69" s="7"/>
      <c r="O69" s="7"/>
      <c r="P69" s="7" t="s">
        <v>515</v>
      </c>
    </row>
    <row r="70" spans="1:16">
      <c r="A70" s="7" t="s">
        <v>581</v>
      </c>
      <c r="B70" s="7" t="s">
        <v>510</v>
      </c>
      <c r="C70" s="7" t="s">
        <v>511</v>
      </c>
      <c r="D70" s="7" t="s">
        <v>512</v>
      </c>
      <c r="E70" s="7" t="s">
        <v>512</v>
      </c>
      <c r="F70" s="7">
        <v>8066</v>
      </c>
      <c r="G70" s="7" t="s">
        <v>513</v>
      </c>
      <c r="H70" s="7">
        <v>12</v>
      </c>
      <c r="I70" s="7">
        <v>10</v>
      </c>
      <c r="J70" s="7" t="s">
        <v>514</v>
      </c>
      <c r="K70" s="7"/>
      <c r="L70" s="7" t="s">
        <v>512</v>
      </c>
      <c r="M70" s="7"/>
      <c r="N70" s="7"/>
      <c r="O70" s="7"/>
      <c r="P70" s="7" t="s">
        <v>515</v>
      </c>
    </row>
    <row r="71" spans="1:16">
      <c r="A71" s="7" t="s">
        <v>582</v>
      </c>
      <c r="B71" s="7" t="s">
        <v>510</v>
      </c>
      <c r="C71" s="7" t="s">
        <v>511</v>
      </c>
      <c r="D71" s="7" t="s">
        <v>512</v>
      </c>
      <c r="E71" s="7" t="s">
        <v>512</v>
      </c>
      <c r="F71" s="7">
        <v>8067</v>
      </c>
      <c r="G71" s="7" t="s">
        <v>513</v>
      </c>
      <c r="H71" s="7">
        <v>12</v>
      </c>
      <c r="I71" s="7">
        <v>10</v>
      </c>
      <c r="J71" s="7" t="s">
        <v>514</v>
      </c>
      <c r="K71" s="7"/>
      <c r="L71" s="7" t="s">
        <v>512</v>
      </c>
      <c r="M71" s="7"/>
      <c r="N71" s="7"/>
      <c r="O71" s="7"/>
      <c r="P71" s="7" t="s">
        <v>515</v>
      </c>
    </row>
    <row r="72" spans="1:16">
      <c r="A72" s="7" t="s">
        <v>583</v>
      </c>
      <c r="B72" s="7" t="s">
        <v>510</v>
      </c>
      <c r="C72" s="7" t="s">
        <v>511</v>
      </c>
      <c r="D72" s="7" t="s">
        <v>512</v>
      </c>
      <c r="E72" s="7" t="s">
        <v>512</v>
      </c>
      <c r="F72" s="7">
        <v>8068</v>
      </c>
      <c r="G72" s="7" t="s">
        <v>513</v>
      </c>
      <c r="H72" s="7">
        <v>12</v>
      </c>
      <c r="I72" s="7">
        <v>10</v>
      </c>
      <c r="J72" s="7" t="s">
        <v>514</v>
      </c>
      <c r="K72" s="7"/>
      <c r="L72" s="7" t="s">
        <v>512</v>
      </c>
      <c r="M72" s="7"/>
      <c r="N72" s="7"/>
      <c r="O72" s="7"/>
      <c r="P72" s="7" t="s">
        <v>515</v>
      </c>
    </row>
    <row r="73" spans="1:16">
      <c r="A73" s="7" t="s">
        <v>584</v>
      </c>
      <c r="B73" s="7" t="s">
        <v>510</v>
      </c>
      <c r="C73" s="7" t="s">
        <v>511</v>
      </c>
      <c r="D73" s="7" t="s">
        <v>512</v>
      </c>
      <c r="E73" s="7" t="s">
        <v>512</v>
      </c>
      <c r="F73" s="7">
        <v>8069</v>
      </c>
      <c r="G73" s="7" t="s">
        <v>513</v>
      </c>
      <c r="H73" s="7">
        <v>12</v>
      </c>
      <c r="I73" s="7">
        <v>10</v>
      </c>
      <c r="J73" s="7" t="s">
        <v>514</v>
      </c>
      <c r="K73" s="7"/>
      <c r="L73" s="7" t="s">
        <v>512</v>
      </c>
      <c r="M73" s="7"/>
      <c r="N73" s="7"/>
      <c r="O73" s="7"/>
      <c r="P73" s="7" t="s">
        <v>515</v>
      </c>
    </row>
    <row r="74" spans="1:16">
      <c r="A74" s="7" t="s">
        <v>585</v>
      </c>
      <c r="B74" s="7" t="s">
        <v>510</v>
      </c>
      <c r="C74" s="7" t="s">
        <v>511</v>
      </c>
      <c r="D74" s="7" t="s">
        <v>512</v>
      </c>
      <c r="E74" s="7" t="s">
        <v>512</v>
      </c>
      <c r="F74" s="7">
        <v>8070</v>
      </c>
      <c r="G74" s="7" t="s">
        <v>513</v>
      </c>
      <c r="H74" s="7">
        <v>12</v>
      </c>
      <c r="I74" s="7">
        <v>10</v>
      </c>
      <c r="J74" s="7" t="s">
        <v>514</v>
      </c>
      <c r="K74" s="7"/>
      <c r="L74" s="7" t="s">
        <v>512</v>
      </c>
      <c r="M74" s="7"/>
      <c r="N74" s="7"/>
      <c r="O74" s="7"/>
      <c r="P74" s="7" t="s">
        <v>515</v>
      </c>
    </row>
    <row r="75" spans="1:16">
      <c r="A75" s="7" t="s">
        <v>586</v>
      </c>
      <c r="B75" s="7" t="s">
        <v>510</v>
      </c>
      <c r="C75" s="7" t="s">
        <v>511</v>
      </c>
      <c r="D75" s="7" t="s">
        <v>512</v>
      </c>
      <c r="E75" s="7" t="s">
        <v>512</v>
      </c>
      <c r="F75" s="7">
        <v>8071</v>
      </c>
      <c r="G75" s="7" t="s">
        <v>513</v>
      </c>
      <c r="H75" s="7">
        <v>12</v>
      </c>
      <c r="I75" s="7">
        <v>10</v>
      </c>
      <c r="J75" s="7" t="s">
        <v>514</v>
      </c>
      <c r="K75" s="7"/>
      <c r="L75" s="7" t="s">
        <v>512</v>
      </c>
      <c r="M75" s="7"/>
      <c r="N75" s="7"/>
      <c r="O75" s="7"/>
      <c r="P75" s="7" t="s">
        <v>515</v>
      </c>
    </row>
    <row r="76" spans="1:16">
      <c r="A76" s="7" t="s">
        <v>587</v>
      </c>
      <c r="B76" s="7" t="s">
        <v>510</v>
      </c>
      <c r="C76" s="7" t="s">
        <v>511</v>
      </c>
      <c r="D76" s="7" t="s">
        <v>512</v>
      </c>
      <c r="E76" s="7" t="s">
        <v>512</v>
      </c>
      <c r="F76" s="7">
        <v>8072</v>
      </c>
      <c r="G76" s="7" t="s">
        <v>513</v>
      </c>
      <c r="H76" s="7">
        <v>12</v>
      </c>
      <c r="I76" s="7">
        <v>10</v>
      </c>
      <c r="J76" s="7" t="s">
        <v>514</v>
      </c>
      <c r="K76" s="7"/>
      <c r="L76" s="7" t="s">
        <v>512</v>
      </c>
      <c r="M76" s="7"/>
      <c r="N76" s="7"/>
      <c r="O76" s="7"/>
      <c r="P76" s="7" t="s">
        <v>515</v>
      </c>
    </row>
    <row r="77" spans="1:16">
      <c r="A77" s="7" t="s">
        <v>588</v>
      </c>
      <c r="B77" s="7" t="s">
        <v>510</v>
      </c>
      <c r="C77" s="7" t="s">
        <v>511</v>
      </c>
      <c r="D77" s="7" t="s">
        <v>512</v>
      </c>
      <c r="E77" s="7" t="s">
        <v>512</v>
      </c>
      <c r="F77" s="7">
        <v>8073</v>
      </c>
      <c r="G77" s="7" t="s">
        <v>513</v>
      </c>
      <c r="H77" s="7">
        <v>12</v>
      </c>
      <c r="I77" s="7">
        <v>10</v>
      </c>
      <c r="J77" s="7" t="s">
        <v>514</v>
      </c>
      <c r="K77" s="7"/>
      <c r="L77" s="7" t="s">
        <v>512</v>
      </c>
      <c r="M77" s="7"/>
      <c r="N77" s="7"/>
      <c r="O77" s="7"/>
      <c r="P77" s="7" t="s">
        <v>515</v>
      </c>
    </row>
    <row r="78" spans="1:16">
      <c r="A78" s="7" t="s">
        <v>589</v>
      </c>
      <c r="B78" s="7" t="s">
        <v>510</v>
      </c>
      <c r="C78" s="7" t="s">
        <v>511</v>
      </c>
      <c r="D78" s="7" t="s">
        <v>512</v>
      </c>
      <c r="E78" s="7" t="s">
        <v>512</v>
      </c>
      <c r="F78" s="7">
        <v>8074</v>
      </c>
      <c r="G78" s="7" t="s">
        <v>513</v>
      </c>
      <c r="H78" s="7">
        <v>12</v>
      </c>
      <c r="I78" s="7">
        <v>10</v>
      </c>
      <c r="J78" s="7" t="s">
        <v>514</v>
      </c>
      <c r="K78" s="7"/>
      <c r="L78" s="7" t="s">
        <v>512</v>
      </c>
      <c r="M78" s="7"/>
      <c r="N78" s="7"/>
      <c r="O78" s="7"/>
      <c r="P78" s="7" t="s">
        <v>515</v>
      </c>
    </row>
    <row r="79" spans="1:16">
      <c r="A79" s="7" t="s">
        <v>590</v>
      </c>
      <c r="B79" s="7" t="s">
        <v>510</v>
      </c>
      <c r="C79" s="7" t="s">
        <v>511</v>
      </c>
      <c r="D79" s="7" t="s">
        <v>512</v>
      </c>
      <c r="E79" s="7" t="s">
        <v>512</v>
      </c>
      <c r="F79" s="7">
        <v>8075</v>
      </c>
      <c r="G79" s="7" t="s">
        <v>513</v>
      </c>
      <c r="H79" s="7">
        <v>12</v>
      </c>
      <c r="I79" s="7">
        <v>10</v>
      </c>
      <c r="J79" s="7" t="s">
        <v>514</v>
      </c>
      <c r="K79" s="7"/>
      <c r="L79" s="7" t="s">
        <v>512</v>
      </c>
      <c r="M79" s="7"/>
      <c r="N79" s="7"/>
      <c r="O79" s="7"/>
      <c r="P79" s="7" t="s">
        <v>515</v>
      </c>
    </row>
    <row r="80" spans="1:16">
      <c r="A80" s="7" t="s">
        <v>591</v>
      </c>
      <c r="B80" s="7" t="s">
        <v>510</v>
      </c>
      <c r="C80" s="7" t="s">
        <v>511</v>
      </c>
      <c r="D80" s="7" t="s">
        <v>512</v>
      </c>
      <c r="E80" s="7" t="s">
        <v>512</v>
      </c>
      <c r="F80" s="7">
        <v>8076</v>
      </c>
      <c r="G80" s="7" t="s">
        <v>513</v>
      </c>
      <c r="H80" s="7">
        <v>12</v>
      </c>
      <c r="I80" s="7">
        <v>10</v>
      </c>
      <c r="J80" s="7" t="s">
        <v>514</v>
      </c>
      <c r="K80" s="7"/>
      <c r="L80" s="7" t="s">
        <v>512</v>
      </c>
      <c r="M80" s="7"/>
      <c r="N80" s="7"/>
      <c r="O80" s="7"/>
      <c r="P80" s="7" t="s">
        <v>515</v>
      </c>
    </row>
    <row r="81" spans="1:16">
      <c r="A81" s="7" t="s">
        <v>592</v>
      </c>
      <c r="B81" s="7" t="s">
        <v>510</v>
      </c>
      <c r="C81" s="7" t="s">
        <v>511</v>
      </c>
      <c r="D81" s="7" t="s">
        <v>512</v>
      </c>
      <c r="E81" s="7" t="s">
        <v>512</v>
      </c>
      <c r="F81" s="7">
        <v>8077</v>
      </c>
      <c r="G81" s="7" t="s">
        <v>513</v>
      </c>
      <c r="H81" s="7">
        <v>12</v>
      </c>
      <c r="I81" s="7">
        <v>10</v>
      </c>
      <c r="J81" s="7" t="s">
        <v>514</v>
      </c>
      <c r="K81" s="7"/>
      <c r="L81" s="7" t="s">
        <v>512</v>
      </c>
      <c r="M81" s="7"/>
      <c r="N81" s="7"/>
      <c r="O81" s="7"/>
      <c r="P81" s="7" t="s">
        <v>515</v>
      </c>
    </row>
    <row r="82" spans="1:16" s="184" customFormat="1">
      <c r="A82" s="184" t="s">
        <v>593</v>
      </c>
      <c r="B82" s="165" t="s">
        <v>510</v>
      </c>
      <c r="C82" s="165" t="s">
        <v>511</v>
      </c>
      <c r="D82" s="165" t="s">
        <v>512</v>
      </c>
      <c r="E82" s="165" t="s">
        <v>512</v>
      </c>
      <c r="F82" s="165">
        <v>8078</v>
      </c>
      <c r="G82" s="165" t="s">
        <v>513</v>
      </c>
      <c r="H82" s="165">
        <v>12</v>
      </c>
      <c r="I82" s="165">
        <v>10</v>
      </c>
      <c r="J82" s="165" t="s">
        <v>514</v>
      </c>
      <c r="K82" s="165"/>
      <c r="L82" s="165" t="s">
        <v>512</v>
      </c>
      <c r="M82" s="165"/>
      <c r="N82" s="165"/>
      <c r="P82" s="165" t="s">
        <v>515</v>
      </c>
    </row>
    <row r="83" spans="1:16" s="184" customFormat="1">
      <c r="A83" s="184" t="s">
        <v>594</v>
      </c>
      <c r="B83" s="165" t="s">
        <v>510</v>
      </c>
      <c r="C83" s="165" t="s">
        <v>511</v>
      </c>
      <c r="D83" s="165" t="s">
        <v>512</v>
      </c>
      <c r="E83" s="165" t="s">
        <v>512</v>
      </c>
      <c r="F83" s="165">
        <v>8079</v>
      </c>
      <c r="G83" s="165" t="s">
        <v>513</v>
      </c>
      <c r="H83" s="165">
        <v>12</v>
      </c>
      <c r="I83" s="165">
        <v>10</v>
      </c>
      <c r="J83" s="165" t="s">
        <v>514</v>
      </c>
      <c r="K83" s="165"/>
      <c r="L83" s="165" t="s">
        <v>512</v>
      </c>
      <c r="M83" s="165"/>
      <c r="N83" s="165"/>
      <c r="P83" s="165" t="s">
        <v>515</v>
      </c>
    </row>
    <row r="84" spans="1:16">
      <c r="A84" s="184" t="s">
        <v>595</v>
      </c>
      <c r="B84" s="165" t="s">
        <v>510</v>
      </c>
      <c r="C84" s="165" t="s">
        <v>511</v>
      </c>
      <c r="D84" s="165" t="s">
        <v>512</v>
      </c>
      <c r="E84" s="165" t="s">
        <v>512</v>
      </c>
      <c r="F84" s="165">
        <v>8080</v>
      </c>
      <c r="G84" s="165" t="s">
        <v>513</v>
      </c>
      <c r="H84" s="165">
        <v>12</v>
      </c>
      <c r="I84" s="165">
        <v>10</v>
      </c>
      <c r="J84" s="165" t="s">
        <v>514</v>
      </c>
      <c r="K84" s="165"/>
      <c r="L84" s="165" t="s">
        <v>512</v>
      </c>
      <c r="M84" s="165"/>
      <c r="N84" s="165"/>
      <c r="O84" s="184"/>
      <c r="P84" s="165" t="s">
        <v>515</v>
      </c>
    </row>
    <row r="85" spans="1:16">
      <c r="A85" t="s">
        <v>596</v>
      </c>
      <c r="B85" s="7" t="s">
        <v>510</v>
      </c>
      <c r="C85" s="7" t="s">
        <v>511</v>
      </c>
      <c r="D85" s="7" t="s">
        <v>512</v>
      </c>
      <c r="E85" s="7" t="s">
        <v>512</v>
      </c>
      <c r="F85" s="7">
        <v>8081</v>
      </c>
      <c r="G85" s="7" t="s">
        <v>513</v>
      </c>
      <c r="H85" s="7">
        <v>12</v>
      </c>
      <c r="I85" s="7">
        <v>10</v>
      </c>
      <c r="J85" s="7" t="s">
        <v>514</v>
      </c>
      <c r="K85" s="7"/>
      <c r="L85" s="7" t="s">
        <v>512</v>
      </c>
      <c r="M85" s="7"/>
      <c r="N85" s="7"/>
      <c r="P85" s="7" t="s">
        <v>515</v>
      </c>
    </row>
    <row r="86" spans="1:16">
      <c r="A86" t="s">
        <v>597</v>
      </c>
      <c r="B86" s="7" t="s">
        <v>510</v>
      </c>
      <c r="C86" s="7" t="s">
        <v>511</v>
      </c>
      <c r="D86" s="7" t="s">
        <v>512</v>
      </c>
      <c r="E86" s="7" t="s">
        <v>512</v>
      </c>
      <c r="F86" s="7">
        <v>8082</v>
      </c>
      <c r="G86" s="7" t="s">
        <v>513</v>
      </c>
      <c r="H86" s="7">
        <v>12</v>
      </c>
      <c r="I86" s="7">
        <v>10</v>
      </c>
      <c r="J86" s="7" t="s">
        <v>514</v>
      </c>
      <c r="K86" s="7"/>
      <c r="L86" s="7" t="s">
        <v>512</v>
      </c>
      <c r="M86" s="7"/>
      <c r="N86" s="7"/>
      <c r="P86" s="7" t="s">
        <v>515</v>
      </c>
    </row>
    <row r="87" spans="1:16">
      <c r="A87" t="s">
        <v>598</v>
      </c>
      <c r="B87" s="7" t="s">
        <v>510</v>
      </c>
      <c r="C87" s="7" t="s">
        <v>511</v>
      </c>
      <c r="D87" s="7" t="s">
        <v>512</v>
      </c>
      <c r="E87" s="7" t="s">
        <v>512</v>
      </c>
      <c r="F87" s="7">
        <v>8083</v>
      </c>
      <c r="G87" s="7" t="s">
        <v>513</v>
      </c>
      <c r="H87" s="7">
        <v>12</v>
      </c>
      <c r="I87" s="7">
        <v>10</v>
      </c>
      <c r="J87" s="7" t="s">
        <v>514</v>
      </c>
      <c r="K87" s="7"/>
      <c r="L87" s="7" t="s">
        <v>512</v>
      </c>
      <c r="M87" s="7"/>
      <c r="N87" s="7"/>
      <c r="P87" s="7" t="s">
        <v>515</v>
      </c>
    </row>
    <row r="88" spans="1:16">
      <c r="A88" t="s">
        <v>599</v>
      </c>
      <c r="B88" s="7" t="s">
        <v>510</v>
      </c>
      <c r="C88" s="7" t="s">
        <v>511</v>
      </c>
      <c r="D88" s="7" t="s">
        <v>512</v>
      </c>
      <c r="E88" s="7" t="s">
        <v>512</v>
      </c>
      <c r="F88" s="7">
        <v>8084</v>
      </c>
      <c r="G88" s="7" t="s">
        <v>513</v>
      </c>
      <c r="H88" s="7">
        <v>12</v>
      </c>
      <c r="I88" s="7">
        <v>10</v>
      </c>
      <c r="J88" s="7" t="s">
        <v>514</v>
      </c>
      <c r="K88" s="7"/>
      <c r="L88" s="7" t="s">
        <v>512</v>
      </c>
      <c r="M88" s="7"/>
      <c r="N88" s="7"/>
      <c r="P88" s="7" t="s">
        <v>515</v>
      </c>
    </row>
    <row r="89" spans="1:16">
      <c r="A89" t="s">
        <v>600</v>
      </c>
      <c r="B89" s="7" t="s">
        <v>510</v>
      </c>
      <c r="C89" s="7" t="s">
        <v>511</v>
      </c>
      <c r="D89" s="7" t="s">
        <v>512</v>
      </c>
      <c r="E89" s="7" t="s">
        <v>512</v>
      </c>
      <c r="F89" s="7">
        <v>8085</v>
      </c>
      <c r="G89" s="7" t="s">
        <v>513</v>
      </c>
      <c r="H89" s="7">
        <v>12</v>
      </c>
      <c r="I89" s="7">
        <v>10</v>
      </c>
      <c r="J89" s="7" t="s">
        <v>514</v>
      </c>
      <c r="K89" s="7"/>
      <c r="L89" s="7" t="s">
        <v>512</v>
      </c>
      <c r="M89" s="7"/>
      <c r="N89" s="7"/>
      <c r="P89" s="7" t="s">
        <v>515</v>
      </c>
    </row>
    <row r="90" spans="1:16">
      <c r="A90" t="s">
        <v>601</v>
      </c>
      <c r="B90" s="7" t="s">
        <v>510</v>
      </c>
      <c r="C90" s="7" t="s">
        <v>511</v>
      </c>
      <c r="D90" s="7" t="s">
        <v>512</v>
      </c>
      <c r="E90" s="7" t="s">
        <v>512</v>
      </c>
      <c r="F90" s="7">
        <v>8086</v>
      </c>
      <c r="G90" s="7" t="s">
        <v>513</v>
      </c>
      <c r="H90" s="7">
        <v>12</v>
      </c>
      <c r="I90" s="7">
        <v>10</v>
      </c>
      <c r="J90" s="7" t="s">
        <v>514</v>
      </c>
      <c r="K90" s="7"/>
      <c r="L90" s="7" t="s">
        <v>512</v>
      </c>
      <c r="M90" s="7"/>
      <c r="N90" s="7"/>
      <c r="P90" s="7" t="s">
        <v>515</v>
      </c>
    </row>
    <row r="91" spans="1:16">
      <c r="A91" t="s">
        <v>602</v>
      </c>
      <c r="B91" s="7" t="s">
        <v>510</v>
      </c>
      <c r="C91" s="7" t="s">
        <v>511</v>
      </c>
      <c r="D91" s="7" t="s">
        <v>512</v>
      </c>
      <c r="E91" s="7" t="s">
        <v>512</v>
      </c>
      <c r="F91" s="7">
        <v>8087</v>
      </c>
      <c r="G91" s="7" t="s">
        <v>513</v>
      </c>
      <c r="H91" s="7">
        <v>12</v>
      </c>
      <c r="I91" s="7">
        <v>10</v>
      </c>
      <c r="J91" s="7" t="s">
        <v>514</v>
      </c>
      <c r="K91" s="7"/>
      <c r="L91" s="7" t="s">
        <v>512</v>
      </c>
      <c r="M91" s="7"/>
      <c r="N91" s="7"/>
      <c r="P91" s="7" t="s">
        <v>515</v>
      </c>
    </row>
    <row r="92" spans="1:16">
      <c r="A92" t="s">
        <v>603</v>
      </c>
      <c r="B92" s="7" t="s">
        <v>510</v>
      </c>
      <c r="C92" s="7" t="s">
        <v>511</v>
      </c>
      <c r="D92" s="7" t="s">
        <v>512</v>
      </c>
      <c r="E92" s="7" t="s">
        <v>512</v>
      </c>
      <c r="F92" s="7">
        <v>8088</v>
      </c>
      <c r="G92" s="7" t="s">
        <v>513</v>
      </c>
      <c r="H92" s="7">
        <v>12</v>
      </c>
      <c r="I92" s="7">
        <v>10</v>
      </c>
      <c r="J92" s="7" t="s">
        <v>514</v>
      </c>
      <c r="K92" s="7"/>
      <c r="L92" s="7" t="s">
        <v>512</v>
      </c>
      <c r="M92" s="7"/>
      <c r="N92" s="7"/>
      <c r="P92" s="7" t="s">
        <v>515</v>
      </c>
    </row>
    <row r="93" spans="1:16">
      <c r="A93" t="s">
        <v>604</v>
      </c>
      <c r="B93" s="7" t="s">
        <v>510</v>
      </c>
      <c r="C93" s="7" t="s">
        <v>511</v>
      </c>
      <c r="D93" s="7" t="s">
        <v>512</v>
      </c>
      <c r="E93" s="7" t="s">
        <v>512</v>
      </c>
      <c r="F93" s="7">
        <v>8089</v>
      </c>
      <c r="G93" s="7" t="s">
        <v>513</v>
      </c>
      <c r="H93" s="7">
        <v>12</v>
      </c>
      <c r="I93" s="7">
        <v>10</v>
      </c>
      <c r="J93" s="7" t="s">
        <v>514</v>
      </c>
      <c r="K93" s="7"/>
      <c r="L93" s="7" t="s">
        <v>512</v>
      </c>
      <c r="M93" s="7"/>
      <c r="N93" s="7"/>
      <c r="P93" s="7" t="s">
        <v>515</v>
      </c>
    </row>
    <row r="94" spans="1:16">
      <c r="A94" t="s">
        <v>605</v>
      </c>
      <c r="B94" s="7" t="s">
        <v>510</v>
      </c>
      <c r="C94" s="7" t="s">
        <v>511</v>
      </c>
      <c r="D94" s="7" t="s">
        <v>512</v>
      </c>
      <c r="E94" s="7" t="s">
        <v>512</v>
      </c>
      <c r="F94" s="7">
        <v>8090</v>
      </c>
      <c r="G94" s="7" t="s">
        <v>513</v>
      </c>
      <c r="H94" s="7">
        <v>12</v>
      </c>
      <c r="I94" s="7">
        <v>10</v>
      </c>
      <c r="J94" s="7" t="s">
        <v>514</v>
      </c>
      <c r="K94" s="7"/>
      <c r="L94" s="7" t="s">
        <v>512</v>
      </c>
      <c r="M94" s="7"/>
      <c r="N94" s="7"/>
      <c r="P94" s="7" t="s">
        <v>515</v>
      </c>
    </row>
    <row r="95" spans="1:16">
      <c r="A95" t="s">
        <v>606</v>
      </c>
      <c r="B95" s="7" t="s">
        <v>510</v>
      </c>
      <c r="C95" s="7" t="s">
        <v>511</v>
      </c>
      <c r="D95" s="7" t="s">
        <v>512</v>
      </c>
      <c r="E95" s="7" t="s">
        <v>512</v>
      </c>
      <c r="F95" s="7">
        <v>8091</v>
      </c>
      <c r="G95" s="7" t="s">
        <v>513</v>
      </c>
      <c r="H95" s="7">
        <v>12</v>
      </c>
      <c r="I95" s="7">
        <v>10</v>
      </c>
      <c r="J95" s="7" t="s">
        <v>514</v>
      </c>
      <c r="K95" s="7"/>
      <c r="L95" s="7" t="s">
        <v>512</v>
      </c>
      <c r="M95" s="7"/>
      <c r="N95" s="7"/>
      <c r="P95" s="7" t="s">
        <v>515</v>
      </c>
    </row>
    <row r="96" spans="1:16">
      <c r="A96" t="s">
        <v>607</v>
      </c>
      <c r="B96" s="7" t="s">
        <v>510</v>
      </c>
      <c r="C96" s="7" t="s">
        <v>511</v>
      </c>
      <c r="D96" s="7" t="s">
        <v>512</v>
      </c>
      <c r="E96" s="7" t="s">
        <v>512</v>
      </c>
      <c r="F96" s="7">
        <v>8092</v>
      </c>
      <c r="G96" s="7" t="s">
        <v>513</v>
      </c>
      <c r="H96" s="7">
        <v>12</v>
      </c>
      <c r="I96" s="7">
        <v>10</v>
      </c>
      <c r="J96" s="7" t="s">
        <v>514</v>
      </c>
      <c r="K96" s="7"/>
      <c r="L96" s="7" t="s">
        <v>512</v>
      </c>
      <c r="M96" s="7"/>
      <c r="N96" s="7"/>
      <c r="P96" s="7" t="s">
        <v>515</v>
      </c>
    </row>
    <row r="97" spans="1:16">
      <c r="A97" t="s">
        <v>608</v>
      </c>
      <c r="B97" s="7" t="s">
        <v>510</v>
      </c>
      <c r="C97" s="7" t="s">
        <v>511</v>
      </c>
      <c r="D97" s="7" t="s">
        <v>512</v>
      </c>
      <c r="E97" s="7" t="s">
        <v>512</v>
      </c>
      <c r="F97" s="7">
        <v>8093</v>
      </c>
      <c r="G97" s="7" t="s">
        <v>513</v>
      </c>
      <c r="H97" s="7">
        <v>12</v>
      </c>
      <c r="I97" s="7">
        <v>10</v>
      </c>
      <c r="J97" s="7" t="s">
        <v>514</v>
      </c>
      <c r="K97" s="7"/>
      <c r="L97" s="7" t="s">
        <v>512</v>
      </c>
      <c r="M97" s="7"/>
      <c r="N97" s="7"/>
      <c r="P97" s="7" t="s">
        <v>515</v>
      </c>
    </row>
    <row r="98" spans="1:16">
      <c r="A98" t="s">
        <v>609</v>
      </c>
      <c r="B98" s="7" t="s">
        <v>510</v>
      </c>
      <c r="C98" s="7" t="s">
        <v>511</v>
      </c>
      <c r="D98" s="7" t="s">
        <v>512</v>
      </c>
      <c r="E98" s="7" t="s">
        <v>512</v>
      </c>
      <c r="F98" s="7">
        <v>8094</v>
      </c>
      <c r="G98" s="7" t="s">
        <v>513</v>
      </c>
      <c r="H98" s="7">
        <v>12</v>
      </c>
      <c r="I98" s="7">
        <v>10</v>
      </c>
      <c r="J98" s="7" t="s">
        <v>514</v>
      </c>
      <c r="K98" s="7"/>
      <c r="L98" s="7" t="s">
        <v>512</v>
      </c>
      <c r="M98" s="7"/>
      <c r="N98" s="7"/>
      <c r="P98" s="7" t="s">
        <v>515</v>
      </c>
    </row>
    <row r="99" spans="1:16">
      <c r="A99" t="s">
        <v>610</v>
      </c>
      <c r="B99" s="7" t="s">
        <v>510</v>
      </c>
      <c r="C99" s="7" t="s">
        <v>511</v>
      </c>
      <c r="D99" s="7" t="s">
        <v>512</v>
      </c>
      <c r="E99" s="7" t="s">
        <v>512</v>
      </c>
      <c r="F99" s="7">
        <v>8095</v>
      </c>
      <c r="G99" s="7" t="s">
        <v>513</v>
      </c>
      <c r="H99" s="7">
        <v>12</v>
      </c>
      <c r="I99" s="7">
        <v>10</v>
      </c>
      <c r="J99" s="7" t="s">
        <v>514</v>
      </c>
      <c r="K99" s="7"/>
      <c r="L99" s="7" t="s">
        <v>512</v>
      </c>
      <c r="M99" s="7"/>
      <c r="N99" s="7"/>
      <c r="P99" s="7" t="s">
        <v>515</v>
      </c>
    </row>
    <row r="100" spans="1:16">
      <c r="A100" t="s">
        <v>611</v>
      </c>
      <c r="B100" s="7" t="s">
        <v>510</v>
      </c>
      <c r="C100" s="7" t="s">
        <v>511</v>
      </c>
      <c r="D100" s="7" t="s">
        <v>512</v>
      </c>
      <c r="E100" s="7" t="s">
        <v>512</v>
      </c>
      <c r="F100" s="7">
        <v>8096</v>
      </c>
      <c r="G100" s="7" t="s">
        <v>513</v>
      </c>
      <c r="H100" s="7">
        <v>12</v>
      </c>
      <c r="I100" s="7">
        <v>10</v>
      </c>
      <c r="J100" s="7" t="s">
        <v>514</v>
      </c>
      <c r="K100" s="7"/>
      <c r="L100" s="7" t="s">
        <v>512</v>
      </c>
      <c r="M100" s="7"/>
      <c r="N100" s="7"/>
      <c r="P100" s="7" t="s">
        <v>515</v>
      </c>
    </row>
    <row r="101" spans="1:16">
      <c r="A101" t="s">
        <v>612</v>
      </c>
      <c r="B101" s="7" t="s">
        <v>510</v>
      </c>
      <c r="C101" s="7" t="s">
        <v>511</v>
      </c>
      <c r="D101" s="7" t="s">
        <v>512</v>
      </c>
      <c r="E101" s="7" t="s">
        <v>512</v>
      </c>
      <c r="F101" s="7">
        <v>8097</v>
      </c>
      <c r="G101" s="7" t="s">
        <v>513</v>
      </c>
      <c r="H101" s="7">
        <v>12</v>
      </c>
      <c r="I101" s="7">
        <v>10</v>
      </c>
      <c r="J101" s="7" t="s">
        <v>514</v>
      </c>
      <c r="K101" s="7"/>
      <c r="L101" s="7" t="s">
        <v>512</v>
      </c>
      <c r="M101" s="7"/>
      <c r="N101" s="7"/>
      <c r="P101" s="7" t="s">
        <v>515</v>
      </c>
    </row>
    <row r="102" spans="1:16">
      <c r="A102" t="s">
        <v>613</v>
      </c>
      <c r="B102" s="7" t="s">
        <v>510</v>
      </c>
      <c r="C102" s="7" t="s">
        <v>511</v>
      </c>
      <c r="D102" s="7" t="s">
        <v>512</v>
      </c>
      <c r="E102" s="7" t="s">
        <v>512</v>
      </c>
      <c r="F102" s="7">
        <v>8098</v>
      </c>
      <c r="G102" s="7" t="s">
        <v>513</v>
      </c>
      <c r="H102" s="7">
        <v>12</v>
      </c>
      <c r="I102" s="7">
        <v>10</v>
      </c>
      <c r="J102" s="7" t="s">
        <v>514</v>
      </c>
      <c r="K102" s="7"/>
      <c r="L102" s="7" t="s">
        <v>512</v>
      </c>
      <c r="M102" s="7"/>
      <c r="N102" s="7"/>
      <c r="P102" s="7" t="s">
        <v>515</v>
      </c>
    </row>
    <row r="103" spans="1:16">
      <c r="A103" t="s">
        <v>614</v>
      </c>
      <c r="B103" s="7" t="s">
        <v>510</v>
      </c>
      <c r="C103" s="7" t="s">
        <v>511</v>
      </c>
      <c r="D103" s="7" t="s">
        <v>512</v>
      </c>
      <c r="E103" s="7" t="s">
        <v>512</v>
      </c>
      <c r="F103" s="7">
        <v>8099</v>
      </c>
      <c r="G103" s="7" t="s">
        <v>513</v>
      </c>
      <c r="H103" s="7">
        <v>12</v>
      </c>
      <c r="I103" s="7">
        <v>10</v>
      </c>
      <c r="J103" s="7" t="s">
        <v>514</v>
      </c>
      <c r="K103" s="7"/>
      <c r="L103" s="7" t="s">
        <v>512</v>
      </c>
      <c r="M103" s="7"/>
      <c r="N103" s="7"/>
      <c r="P103" s="7" t="s">
        <v>515</v>
      </c>
    </row>
    <row r="104" spans="1:16">
      <c r="A104" t="s">
        <v>615</v>
      </c>
      <c r="B104" s="7" t="s">
        <v>510</v>
      </c>
      <c r="C104" s="7" t="s">
        <v>511</v>
      </c>
      <c r="D104" s="7" t="s">
        <v>512</v>
      </c>
      <c r="E104" s="7" t="s">
        <v>512</v>
      </c>
      <c r="F104" s="7">
        <v>8100</v>
      </c>
      <c r="G104" s="7" t="s">
        <v>513</v>
      </c>
      <c r="H104" s="7">
        <v>12</v>
      </c>
      <c r="I104" s="7">
        <v>10</v>
      </c>
      <c r="J104" s="7" t="s">
        <v>514</v>
      </c>
      <c r="K104" s="7"/>
      <c r="L104" s="7" t="s">
        <v>512</v>
      </c>
      <c r="M104" s="7"/>
      <c r="N104" s="7"/>
      <c r="P104" s="7" t="s">
        <v>515</v>
      </c>
    </row>
    <row r="105" spans="1:16">
      <c r="A105" t="s">
        <v>616</v>
      </c>
      <c r="B105" s="7" t="s">
        <v>510</v>
      </c>
      <c r="C105" s="7" t="s">
        <v>511</v>
      </c>
      <c r="D105" s="7" t="s">
        <v>512</v>
      </c>
      <c r="E105" s="7" t="s">
        <v>512</v>
      </c>
      <c r="F105" s="7">
        <v>8101</v>
      </c>
      <c r="G105" s="7" t="s">
        <v>513</v>
      </c>
      <c r="H105" s="7">
        <v>12</v>
      </c>
      <c r="I105" s="7">
        <v>10</v>
      </c>
      <c r="J105" s="7" t="s">
        <v>514</v>
      </c>
      <c r="K105" s="7"/>
      <c r="L105" s="7" t="s">
        <v>512</v>
      </c>
      <c r="M105" s="7"/>
      <c r="N105" s="7"/>
      <c r="P105" s="7" t="s">
        <v>515</v>
      </c>
    </row>
    <row r="106" spans="1:16">
      <c r="A106" t="s">
        <v>617</v>
      </c>
      <c r="B106" s="7" t="s">
        <v>510</v>
      </c>
      <c r="C106" s="7" t="s">
        <v>511</v>
      </c>
      <c r="D106" s="7" t="s">
        <v>512</v>
      </c>
      <c r="E106" s="7" t="s">
        <v>512</v>
      </c>
      <c r="F106" s="7">
        <v>8102</v>
      </c>
      <c r="G106" s="7" t="s">
        <v>513</v>
      </c>
      <c r="H106" s="7">
        <v>12</v>
      </c>
      <c r="I106" s="7">
        <v>10</v>
      </c>
      <c r="J106" s="7" t="s">
        <v>514</v>
      </c>
      <c r="K106" s="7"/>
      <c r="L106" s="7" t="s">
        <v>512</v>
      </c>
      <c r="M106" s="7"/>
      <c r="N106" s="7"/>
      <c r="P106" s="7" t="s">
        <v>515</v>
      </c>
    </row>
    <row r="107" spans="1:16">
      <c r="A107" t="s">
        <v>618</v>
      </c>
      <c r="B107" s="7" t="s">
        <v>510</v>
      </c>
      <c r="C107" s="7" t="s">
        <v>511</v>
      </c>
      <c r="D107" s="7" t="s">
        <v>512</v>
      </c>
      <c r="E107" s="7" t="s">
        <v>512</v>
      </c>
      <c r="F107" s="7">
        <v>8103</v>
      </c>
      <c r="G107" s="7" t="s">
        <v>513</v>
      </c>
      <c r="H107" s="7">
        <v>12</v>
      </c>
      <c r="I107" s="7">
        <v>10</v>
      </c>
      <c r="J107" s="7" t="s">
        <v>514</v>
      </c>
      <c r="K107" s="7"/>
      <c r="L107" s="7" t="s">
        <v>512</v>
      </c>
      <c r="M107" s="7"/>
      <c r="N107" s="7"/>
      <c r="P107" s="7" t="s">
        <v>515</v>
      </c>
    </row>
    <row r="108" spans="1:16">
      <c r="A108" t="s">
        <v>619</v>
      </c>
      <c r="B108" s="7" t="s">
        <v>510</v>
      </c>
      <c r="C108" s="7" t="s">
        <v>511</v>
      </c>
      <c r="D108" s="7" t="s">
        <v>512</v>
      </c>
      <c r="E108" s="7" t="s">
        <v>512</v>
      </c>
      <c r="F108" s="7">
        <v>8104</v>
      </c>
      <c r="G108" s="7" t="s">
        <v>513</v>
      </c>
      <c r="H108" s="7">
        <v>12</v>
      </c>
      <c r="I108" s="7">
        <v>10</v>
      </c>
      <c r="J108" s="7" t="s">
        <v>514</v>
      </c>
      <c r="K108" s="7"/>
      <c r="L108" s="7" t="s">
        <v>512</v>
      </c>
      <c r="M108" s="7"/>
      <c r="N108" s="7"/>
      <c r="P108" s="7" t="s">
        <v>515</v>
      </c>
    </row>
    <row r="109" spans="1:16">
      <c r="A109" t="s">
        <v>620</v>
      </c>
      <c r="B109" s="7" t="s">
        <v>510</v>
      </c>
      <c r="C109" s="7" t="s">
        <v>511</v>
      </c>
      <c r="D109" s="7" t="s">
        <v>512</v>
      </c>
      <c r="E109" s="7" t="s">
        <v>512</v>
      </c>
      <c r="F109" s="7">
        <v>8105</v>
      </c>
      <c r="G109" s="7" t="s">
        <v>513</v>
      </c>
      <c r="H109" s="7">
        <v>12</v>
      </c>
      <c r="I109" s="7">
        <v>10</v>
      </c>
      <c r="J109" s="7" t="s">
        <v>514</v>
      </c>
      <c r="K109" s="7"/>
      <c r="L109" s="7" t="s">
        <v>512</v>
      </c>
      <c r="M109" s="7"/>
      <c r="N109" s="7"/>
      <c r="P109" s="7" t="s">
        <v>515</v>
      </c>
    </row>
    <row r="110" spans="1:16">
      <c r="A110" t="s">
        <v>621</v>
      </c>
      <c r="B110" s="7" t="s">
        <v>510</v>
      </c>
      <c r="C110" s="7" t="s">
        <v>511</v>
      </c>
      <c r="D110" s="7" t="s">
        <v>512</v>
      </c>
      <c r="E110" s="7" t="s">
        <v>512</v>
      </c>
      <c r="F110" s="7">
        <v>8106</v>
      </c>
      <c r="G110" s="7" t="s">
        <v>513</v>
      </c>
      <c r="H110" s="7">
        <v>12</v>
      </c>
      <c r="I110" s="7">
        <v>10</v>
      </c>
      <c r="J110" s="7" t="s">
        <v>514</v>
      </c>
      <c r="K110" s="7"/>
      <c r="L110" s="7" t="s">
        <v>512</v>
      </c>
      <c r="M110" s="7"/>
      <c r="N110" s="7"/>
      <c r="P110" s="7" t="s">
        <v>515</v>
      </c>
    </row>
    <row r="111" spans="1:16">
      <c r="A111" t="s">
        <v>622</v>
      </c>
      <c r="B111" s="7" t="s">
        <v>510</v>
      </c>
      <c r="C111" s="7" t="s">
        <v>511</v>
      </c>
      <c r="D111" s="7" t="s">
        <v>512</v>
      </c>
      <c r="E111" s="7" t="s">
        <v>512</v>
      </c>
      <c r="F111" s="7">
        <v>8107</v>
      </c>
      <c r="G111" s="7" t="s">
        <v>513</v>
      </c>
      <c r="H111" s="7">
        <v>12</v>
      </c>
      <c r="I111" s="7">
        <v>10</v>
      </c>
      <c r="J111" s="7" t="s">
        <v>514</v>
      </c>
      <c r="K111" s="7"/>
      <c r="L111" s="7" t="s">
        <v>512</v>
      </c>
      <c r="M111" s="7"/>
      <c r="N111" s="7"/>
      <c r="P111" s="7" t="s">
        <v>515</v>
      </c>
    </row>
    <row r="112" spans="1:16">
      <c r="A112" t="s">
        <v>623</v>
      </c>
      <c r="B112" s="7" t="s">
        <v>510</v>
      </c>
      <c r="C112" s="7" t="s">
        <v>511</v>
      </c>
      <c r="D112" s="7" t="s">
        <v>512</v>
      </c>
      <c r="E112" s="7" t="s">
        <v>512</v>
      </c>
      <c r="F112" s="7">
        <v>8108</v>
      </c>
      <c r="G112" s="7" t="s">
        <v>513</v>
      </c>
      <c r="H112" s="7">
        <v>12</v>
      </c>
      <c r="I112" s="7">
        <v>10</v>
      </c>
      <c r="J112" s="7" t="s">
        <v>514</v>
      </c>
      <c r="K112" s="7"/>
      <c r="L112" s="7" t="s">
        <v>512</v>
      </c>
      <c r="M112" s="7"/>
      <c r="N112" s="7"/>
      <c r="P112" s="7" t="s">
        <v>515</v>
      </c>
    </row>
    <row r="113" spans="1:16">
      <c r="A113" t="s">
        <v>624</v>
      </c>
      <c r="B113" s="7" t="s">
        <v>510</v>
      </c>
      <c r="C113" s="7" t="s">
        <v>511</v>
      </c>
      <c r="D113" s="7" t="s">
        <v>512</v>
      </c>
      <c r="E113" s="7" t="s">
        <v>512</v>
      </c>
      <c r="F113" s="7">
        <v>8109</v>
      </c>
      <c r="G113" s="7" t="s">
        <v>513</v>
      </c>
      <c r="H113" s="7">
        <v>12</v>
      </c>
      <c r="I113" s="7">
        <v>10</v>
      </c>
      <c r="J113" s="7" t="s">
        <v>514</v>
      </c>
      <c r="K113" s="7"/>
      <c r="L113" s="7" t="s">
        <v>512</v>
      </c>
      <c r="M113" s="7"/>
      <c r="N113" s="7"/>
      <c r="P113" s="7" t="s">
        <v>515</v>
      </c>
    </row>
    <row r="114" spans="1:16">
      <c r="A114" t="s">
        <v>625</v>
      </c>
      <c r="B114" s="7" t="s">
        <v>510</v>
      </c>
      <c r="C114" s="7" t="s">
        <v>511</v>
      </c>
      <c r="D114" s="7" t="s">
        <v>512</v>
      </c>
      <c r="E114" s="7" t="s">
        <v>512</v>
      </c>
      <c r="F114" s="7">
        <v>8110</v>
      </c>
      <c r="G114" s="7" t="s">
        <v>513</v>
      </c>
      <c r="H114" s="7">
        <v>12</v>
      </c>
      <c r="I114" s="7">
        <v>10</v>
      </c>
      <c r="J114" s="7" t="s">
        <v>514</v>
      </c>
      <c r="K114" s="7"/>
      <c r="L114" s="7" t="s">
        <v>512</v>
      </c>
      <c r="M114" s="7"/>
      <c r="N114" s="7"/>
      <c r="P114" s="7" t="s">
        <v>515</v>
      </c>
    </row>
    <row r="115" spans="1:16">
      <c r="A115" t="s">
        <v>626</v>
      </c>
      <c r="B115" s="7" t="s">
        <v>510</v>
      </c>
      <c r="C115" s="7" t="s">
        <v>511</v>
      </c>
      <c r="D115" s="7" t="s">
        <v>512</v>
      </c>
      <c r="E115" s="7" t="s">
        <v>512</v>
      </c>
      <c r="F115" s="7">
        <v>8111</v>
      </c>
      <c r="G115" s="7" t="s">
        <v>513</v>
      </c>
      <c r="H115" s="7">
        <v>12</v>
      </c>
      <c r="I115" s="7">
        <v>10</v>
      </c>
      <c r="J115" s="7" t="s">
        <v>514</v>
      </c>
      <c r="K115" s="7"/>
      <c r="L115" s="7" t="s">
        <v>512</v>
      </c>
      <c r="M115" s="7"/>
      <c r="N115" s="7"/>
      <c r="P115" s="7" t="s">
        <v>515</v>
      </c>
    </row>
    <row r="116" spans="1:16">
      <c r="A116" t="s">
        <v>627</v>
      </c>
      <c r="B116" s="7" t="s">
        <v>510</v>
      </c>
      <c r="C116" s="7" t="s">
        <v>511</v>
      </c>
      <c r="D116" s="7" t="s">
        <v>512</v>
      </c>
      <c r="E116" s="7" t="s">
        <v>512</v>
      </c>
      <c r="F116" s="7">
        <v>8112</v>
      </c>
      <c r="G116" s="7" t="s">
        <v>513</v>
      </c>
      <c r="H116" s="7">
        <v>12</v>
      </c>
      <c r="I116" s="7">
        <v>10</v>
      </c>
      <c r="J116" s="7" t="s">
        <v>514</v>
      </c>
      <c r="K116" s="7"/>
      <c r="L116" s="7" t="s">
        <v>512</v>
      </c>
      <c r="M116" s="7"/>
      <c r="N116" s="7"/>
      <c r="P116" s="7" t="s">
        <v>515</v>
      </c>
    </row>
    <row r="117" spans="1:16">
      <c r="A117" t="s">
        <v>628</v>
      </c>
      <c r="B117" s="7" t="s">
        <v>510</v>
      </c>
      <c r="C117" s="7" t="s">
        <v>511</v>
      </c>
      <c r="D117" s="7" t="s">
        <v>512</v>
      </c>
      <c r="E117" s="7" t="s">
        <v>512</v>
      </c>
      <c r="F117" s="7">
        <v>8113</v>
      </c>
      <c r="G117" s="7" t="s">
        <v>513</v>
      </c>
      <c r="H117" s="7">
        <v>12</v>
      </c>
      <c r="I117" s="7">
        <v>10</v>
      </c>
      <c r="J117" s="7" t="s">
        <v>514</v>
      </c>
      <c r="K117" s="7"/>
      <c r="L117" s="7" t="s">
        <v>512</v>
      </c>
      <c r="M117" s="7"/>
      <c r="N117" s="7"/>
      <c r="P117" s="7" t="s">
        <v>515</v>
      </c>
    </row>
    <row r="118" spans="1:16">
      <c r="A118" t="s">
        <v>629</v>
      </c>
      <c r="B118" s="7" t="s">
        <v>510</v>
      </c>
      <c r="C118" s="7" t="s">
        <v>511</v>
      </c>
      <c r="D118" s="7" t="s">
        <v>512</v>
      </c>
      <c r="E118" s="7" t="s">
        <v>512</v>
      </c>
      <c r="F118" s="7">
        <v>8114</v>
      </c>
      <c r="G118" s="7" t="s">
        <v>513</v>
      </c>
      <c r="H118" s="7">
        <v>12</v>
      </c>
      <c r="I118" s="7">
        <v>10</v>
      </c>
      <c r="J118" s="7" t="s">
        <v>514</v>
      </c>
      <c r="K118" s="7"/>
      <c r="L118" s="7" t="s">
        <v>512</v>
      </c>
      <c r="M118" s="7"/>
      <c r="N118" s="7"/>
      <c r="P118" s="7" t="s">
        <v>515</v>
      </c>
    </row>
    <row r="119" spans="1:16">
      <c r="A119" t="s">
        <v>630</v>
      </c>
      <c r="B119" s="7" t="s">
        <v>510</v>
      </c>
      <c r="C119" s="7" t="s">
        <v>511</v>
      </c>
      <c r="D119" s="7" t="s">
        <v>512</v>
      </c>
      <c r="E119" s="7" t="s">
        <v>512</v>
      </c>
      <c r="F119" s="7">
        <v>8115</v>
      </c>
      <c r="G119" s="7" t="s">
        <v>513</v>
      </c>
      <c r="H119" s="7">
        <v>12</v>
      </c>
      <c r="I119" s="7">
        <v>10</v>
      </c>
      <c r="J119" s="7" t="s">
        <v>514</v>
      </c>
      <c r="K119" s="7"/>
      <c r="L119" s="7" t="s">
        <v>512</v>
      </c>
      <c r="M119" s="7"/>
      <c r="N119" s="7"/>
      <c r="P119" s="7" t="s">
        <v>515</v>
      </c>
    </row>
    <row r="120" spans="1:16">
      <c r="A120" t="s">
        <v>631</v>
      </c>
      <c r="B120" s="7" t="s">
        <v>510</v>
      </c>
      <c r="C120" s="7" t="s">
        <v>511</v>
      </c>
      <c r="D120" s="7" t="s">
        <v>512</v>
      </c>
      <c r="E120" s="7" t="s">
        <v>512</v>
      </c>
      <c r="F120" s="7">
        <v>8116</v>
      </c>
      <c r="G120" s="7" t="s">
        <v>513</v>
      </c>
      <c r="H120" s="7">
        <v>12</v>
      </c>
      <c r="I120" s="7">
        <v>10</v>
      </c>
      <c r="J120" s="7" t="s">
        <v>514</v>
      </c>
      <c r="K120" s="7"/>
      <c r="L120" s="7" t="s">
        <v>512</v>
      </c>
      <c r="M120" s="7"/>
      <c r="N120" s="7"/>
      <c r="P120" s="7" t="s">
        <v>515</v>
      </c>
    </row>
    <row r="121" spans="1:16">
      <c r="A121" t="s">
        <v>632</v>
      </c>
      <c r="B121" s="7" t="s">
        <v>510</v>
      </c>
      <c r="C121" s="7" t="s">
        <v>511</v>
      </c>
      <c r="D121" s="7" t="s">
        <v>512</v>
      </c>
      <c r="E121" s="7" t="s">
        <v>512</v>
      </c>
      <c r="F121" s="7">
        <v>8117</v>
      </c>
      <c r="G121" s="7" t="s">
        <v>513</v>
      </c>
      <c r="H121" s="7">
        <v>12</v>
      </c>
      <c r="I121" s="7">
        <v>10</v>
      </c>
      <c r="J121" s="7" t="s">
        <v>514</v>
      </c>
      <c r="K121" s="7"/>
      <c r="L121" s="7" t="s">
        <v>512</v>
      </c>
      <c r="M121" s="7"/>
      <c r="N121" s="7"/>
      <c r="P121" s="7" t="s">
        <v>515</v>
      </c>
    </row>
    <row r="122" spans="1:16">
      <c r="A122" t="s">
        <v>633</v>
      </c>
      <c r="B122" s="7" t="s">
        <v>510</v>
      </c>
      <c r="C122" s="7" t="s">
        <v>511</v>
      </c>
      <c r="D122" s="7" t="s">
        <v>512</v>
      </c>
      <c r="E122" s="7" t="s">
        <v>512</v>
      </c>
      <c r="F122" s="7">
        <v>8118</v>
      </c>
      <c r="G122" s="7" t="s">
        <v>513</v>
      </c>
      <c r="H122" s="7">
        <v>12</v>
      </c>
      <c r="I122" s="7">
        <v>10</v>
      </c>
      <c r="J122" s="7" t="s">
        <v>514</v>
      </c>
      <c r="K122" s="7"/>
      <c r="L122" s="7" t="s">
        <v>512</v>
      </c>
      <c r="M122" s="7"/>
      <c r="N122" s="7"/>
      <c r="P122" s="7" t="s">
        <v>515</v>
      </c>
    </row>
    <row r="123" spans="1:16">
      <c r="A123" t="s">
        <v>634</v>
      </c>
      <c r="B123" s="7" t="s">
        <v>510</v>
      </c>
      <c r="C123" s="7" t="s">
        <v>511</v>
      </c>
      <c r="D123" s="7" t="s">
        <v>512</v>
      </c>
      <c r="E123" s="7" t="s">
        <v>512</v>
      </c>
      <c r="F123" s="7">
        <v>8119</v>
      </c>
      <c r="G123" s="7" t="s">
        <v>513</v>
      </c>
      <c r="H123" s="7">
        <v>12</v>
      </c>
      <c r="I123" s="7">
        <v>10</v>
      </c>
      <c r="J123" s="7" t="s">
        <v>514</v>
      </c>
      <c r="K123" s="7"/>
      <c r="L123" s="7" t="s">
        <v>512</v>
      </c>
      <c r="M123" s="7"/>
      <c r="N123" s="7"/>
      <c r="P123" s="7" t="s">
        <v>515</v>
      </c>
    </row>
    <row r="124" spans="1:16">
      <c r="A124" t="s">
        <v>635</v>
      </c>
      <c r="B124" s="7" t="s">
        <v>510</v>
      </c>
      <c r="C124" s="7" t="s">
        <v>511</v>
      </c>
      <c r="D124" s="7" t="s">
        <v>512</v>
      </c>
      <c r="E124" s="7" t="s">
        <v>512</v>
      </c>
      <c r="F124" s="7">
        <v>8120</v>
      </c>
      <c r="G124" s="7" t="s">
        <v>513</v>
      </c>
      <c r="H124" s="7">
        <v>12</v>
      </c>
      <c r="I124" s="7">
        <v>10</v>
      </c>
      <c r="J124" s="7" t="s">
        <v>514</v>
      </c>
      <c r="K124" s="7"/>
      <c r="L124" s="7" t="s">
        <v>512</v>
      </c>
      <c r="M124" s="7"/>
      <c r="N124" s="7"/>
      <c r="P124" s="7" t="s">
        <v>515</v>
      </c>
    </row>
    <row r="125" spans="1:16">
      <c r="A125" t="s">
        <v>636</v>
      </c>
      <c r="B125" s="7" t="s">
        <v>510</v>
      </c>
      <c r="C125" s="7" t="s">
        <v>511</v>
      </c>
      <c r="D125" s="7" t="s">
        <v>512</v>
      </c>
      <c r="E125" s="7" t="s">
        <v>512</v>
      </c>
      <c r="F125" s="7">
        <v>8121</v>
      </c>
      <c r="G125" s="7" t="s">
        <v>513</v>
      </c>
      <c r="H125" s="7">
        <v>12</v>
      </c>
      <c r="I125" s="7">
        <v>10</v>
      </c>
      <c r="J125" s="7" t="s">
        <v>514</v>
      </c>
      <c r="K125" s="7"/>
      <c r="L125" s="7" t="s">
        <v>512</v>
      </c>
      <c r="M125" s="7"/>
      <c r="N125" s="7"/>
      <c r="P125" s="7" t="s">
        <v>515</v>
      </c>
    </row>
    <row r="126" spans="1:16">
      <c r="A126" t="s">
        <v>637</v>
      </c>
      <c r="B126" s="7" t="s">
        <v>510</v>
      </c>
      <c r="C126" s="7" t="s">
        <v>511</v>
      </c>
      <c r="D126" s="7" t="s">
        <v>512</v>
      </c>
      <c r="E126" s="7" t="s">
        <v>512</v>
      </c>
      <c r="F126" s="7">
        <v>8122</v>
      </c>
      <c r="G126" s="7" t="s">
        <v>513</v>
      </c>
      <c r="H126" s="7">
        <v>12</v>
      </c>
      <c r="I126" s="7">
        <v>10</v>
      </c>
      <c r="J126" s="7" t="s">
        <v>514</v>
      </c>
      <c r="K126" s="7"/>
      <c r="L126" s="7" t="s">
        <v>512</v>
      </c>
      <c r="M126" s="7"/>
      <c r="N126" s="7"/>
      <c r="P126" s="7" t="s">
        <v>515</v>
      </c>
    </row>
    <row r="127" spans="1:16">
      <c r="A127" t="s">
        <v>638</v>
      </c>
      <c r="B127" s="7" t="s">
        <v>510</v>
      </c>
      <c r="C127" s="7" t="s">
        <v>511</v>
      </c>
      <c r="D127" s="7" t="s">
        <v>512</v>
      </c>
      <c r="E127" s="7" t="s">
        <v>512</v>
      </c>
      <c r="F127" s="7">
        <v>8123</v>
      </c>
      <c r="G127" s="7" t="s">
        <v>513</v>
      </c>
      <c r="H127" s="7">
        <v>12</v>
      </c>
      <c r="I127" s="7">
        <v>10</v>
      </c>
      <c r="J127" s="7" t="s">
        <v>514</v>
      </c>
      <c r="K127" s="7"/>
      <c r="L127" s="7" t="s">
        <v>512</v>
      </c>
      <c r="M127" s="7"/>
      <c r="N127" s="7"/>
      <c r="P127" s="7" t="s">
        <v>515</v>
      </c>
    </row>
    <row r="128" spans="1:16">
      <c r="A128" t="s">
        <v>639</v>
      </c>
      <c r="B128" s="7" t="s">
        <v>510</v>
      </c>
      <c r="C128" s="7" t="s">
        <v>511</v>
      </c>
      <c r="D128" s="7" t="s">
        <v>512</v>
      </c>
      <c r="E128" s="7" t="s">
        <v>512</v>
      </c>
      <c r="F128" s="7">
        <v>8124</v>
      </c>
      <c r="G128" s="7" t="s">
        <v>513</v>
      </c>
      <c r="H128" s="7">
        <v>12</v>
      </c>
      <c r="I128" s="7">
        <v>10</v>
      </c>
      <c r="J128" s="7" t="s">
        <v>514</v>
      </c>
      <c r="K128" s="7"/>
      <c r="L128" s="7" t="s">
        <v>512</v>
      </c>
      <c r="M128" s="7"/>
      <c r="N128" s="7"/>
      <c r="P128" s="7" t="s">
        <v>515</v>
      </c>
    </row>
    <row r="129" spans="1:16">
      <c r="A129" t="s">
        <v>640</v>
      </c>
      <c r="B129" s="7" t="s">
        <v>510</v>
      </c>
      <c r="C129" s="7" t="s">
        <v>511</v>
      </c>
      <c r="D129" s="7" t="s">
        <v>512</v>
      </c>
      <c r="E129" s="7" t="s">
        <v>512</v>
      </c>
      <c r="F129" s="7">
        <v>8125</v>
      </c>
      <c r="G129" s="7" t="s">
        <v>513</v>
      </c>
      <c r="H129" s="7">
        <v>12</v>
      </c>
      <c r="I129" s="7">
        <v>10</v>
      </c>
      <c r="J129" s="7" t="s">
        <v>514</v>
      </c>
      <c r="K129" s="7"/>
      <c r="L129" s="7" t="s">
        <v>512</v>
      </c>
      <c r="M129" s="7"/>
      <c r="N129" s="7"/>
      <c r="P129" s="7" t="s">
        <v>515</v>
      </c>
    </row>
    <row r="130" spans="1:16">
      <c r="A130" t="s">
        <v>641</v>
      </c>
      <c r="B130" s="7" t="s">
        <v>510</v>
      </c>
      <c r="C130" s="7" t="s">
        <v>511</v>
      </c>
      <c r="D130" s="7" t="s">
        <v>512</v>
      </c>
      <c r="E130" s="7" t="s">
        <v>512</v>
      </c>
      <c r="F130" s="7">
        <v>8126</v>
      </c>
      <c r="G130" s="7" t="s">
        <v>513</v>
      </c>
      <c r="H130" s="7">
        <v>12</v>
      </c>
      <c r="I130" s="7">
        <v>10</v>
      </c>
      <c r="J130" s="7" t="s">
        <v>514</v>
      </c>
      <c r="K130" s="7"/>
      <c r="L130" s="7" t="s">
        <v>512</v>
      </c>
      <c r="M130" s="7"/>
      <c r="N130" s="7"/>
      <c r="P130" s="7" t="s">
        <v>515</v>
      </c>
    </row>
    <row r="131" spans="1:16">
      <c r="A131" t="s">
        <v>642</v>
      </c>
      <c r="B131" s="7" t="s">
        <v>510</v>
      </c>
      <c r="C131" s="7" t="s">
        <v>511</v>
      </c>
      <c r="D131" s="7" t="s">
        <v>512</v>
      </c>
      <c r="E131" s="7" t="s">
        <v>512</v>
      </c>
      <c r="F131" s="7">
        <v>8127</v>
      </c>
      <c r="G131" s="7" t="s">
        <v>513</v>
      </c>
      <c r="H131" s="7">
        <v>12</v>
      </c>
      <c r="I131" s="7">
        <v>10</v>
      </c>
      <c r="J131" s="7" t="s">
        <v>514</v>
      </c>
      <c r="K131" s="7"/>
      <c r="L131" s="7" t="s">
        <v>512</v>
      </c>
      <c r="M131" s="7"/>
      <c r="N131" s="7"/>
      <c r="P131" s="7" t="s">
        <v>515</v>
      </c>
    </row>
    <row r="132" spans="1:16">
      <c r="A132" t="s">
        <v>643</v>
      </c>
      <c r="B132" s="7" t="s">
        <v>510</v>
      </c>
      <c r="C132" s="7" t="s">
        <v>511</v>
      </c>
      <c r="D132" s="7" t="s">
        <v>512</v>
      </c>
      <c r="E132" s="7" t="s">
        <v>512</v>
      </c>
      <c r="F132" s="7">
        <v>8128</v>
      </c>
      <c r="G132" s="7" t="s">
        <v>513</v>
      </c>
      <c r="H132" s="7">
        <v>12</v>
      </c>
      <c r="I132" s="7">
        <v>10</v>
      </c>
      <c r="J132" s="7" t="s">
        <v>514</v>
      </c>
      <c r="K132" s="7"/>
      <c r="L132" s="7" t="s">
        <v>512</v>
      </c>
      <c r="M132" s="7"/>
      <c r="N132" s="7"/>
      <c r="P132" s="7" t="s">
        <v>515</v>
      </c>
    </row>
    <row r="133" spans="1:16">
      <c r="A133" t="s">
        <v>644</v>
      </c>
      <c r="B133" s="7" t="s">
        <v>510</v>
      </c>
      <c r="C133" s="7" t="s">
        <v>511</v>
      </c>
      <c r="D133" s="7" t="s">
        <v>512</v>
      </c>
      <c r="E133" s="7" t="s">
        <v>512</v>
      </c>
      <c r="F133" s="7">
        <v>8129</v>
      </c>
      <c r="G133" s="7" t="s">
        <v>513</v>
      </c>
      <c r="H133" s="7">
        <v>12</v>
      </c>
      <c r="I133" s="7">
        <v>10</v>
      </c>
      <c r="J133" s="7" t="s">
        <v>514</v>
      </c>
      <c r="K133" s="7"/>
      <c r="L133" s="7" t="s">
        <v>512</v>
      </c>
      <c r="M133" s="7"/>
      <c r="N133" s="7"/>
      <c r="P133" s="7" t="s">
        <v>515</v>
      </c>
    </row>
    <row r="134" spans="1:16">
      <c r="A134" t="s">
        <v>645</v>
      </c>
      <c r="B134" s="7" t="s">
        <v>510</v>
      </c>
      <c r="C134" s="7" t="s">
        <v>511</v>
      </c>
      <c r="D134" s="7" t="s">
        <v>512</v>
      </c>
      <c r="E134" s="7" t="s">
        <v>512</v>
      </c>
      <c r="F134" s="7">
        <v>8130</v>
      </c>
      <c r="G134" s="7" t="s">
        <v>513</v>
      </c>
      <c r="H134" s="7">
        <v>12</v>
      </c>
      <c r="I134" s="7">
        <v>10</v>
      </c>
      <c r="J134" s="7" t="s">
        <v>514</v>
      </c>
      <c r="K134" s="7"/>
      <c r="L134" s="7" t="s">
        <v>512</v>
      </c>
      <c r="M134" s="7"/>
      <c r="N134" s="7"/>
      <c r="P134" s="7" t="s">
        <v>515</v>
      </c>
    </row>
    <row r="135" spans="1:16">
      <c r="A135" t="s">
        <v>646</v>
      </c>
      <c r="B135" s="7" t="s">
        <v>510</v>
      </c>
      <c r="C135" s="7" t="s">
        <v>511</v>
      </c>
      <c r="D135" s="7" t="s">
        <v>512</v>
      </c>
      <c r="E135" s="7" t="s">
        <v>512</v>
      </c>
      <c r="F135" s="7">
        <v>8131</v>
      </c>
      <c r="G135" s="7" t="s">
        <v>513</v>
      </c>
      <c r="H135" s="7">
        <v>12</v>
      </c>
      <c r="I135" s="7">
        <v>10</v>
      </c>
      <c r="J135" s="7" t="s">
        <v>514</v>
      </c>
      <c r="K135" s="7"/>
      <c r="L135" s="7" t="s">
        <v>512</v>
      </c>
      <c r="M135" s="7"/>
      <c r="N135" s="7"/>
      <c r="P135" s="7" t="s">
        <v>515</v>
      </c>
    </row>
    <row r="136" spans="1:16">
      <c r="A136" t="s">
        <v>647</v>
      </c>
      <c r="B136" s="7" t="s">
        <v>510</v>
      </c>
      <c r="C136" s="7" t="s">
        <v>511</v>
      </c>
      <c r="D136" s="7" t="s">
        <v>512</v>
      </c>
      <c r="E136" s="7" t="s">
        <v>512</v>
      </c>
      <c r="F136" s="7">
        <v>8132</v>
      </c>
      <c r="G136" s="7" t="s">
        <v>513</v>
      </c>
      <c r="H136" s="7">
        <v>12</v>
      </c>
      <c r="I136" s="7">
        <v>10</v>
      </c>
      <c r="J136" s="7" t="s">
        <v>514</v>
      </c>
      <c r="K136" s="7"/>
      <c r="L136" s="7" t="s">
        <v>512</v>
      </c>
      <c r="M136" s="7"/>
      <c r="N136" s="7"/>
      <c r="P136" s="7" t="s">
        <v>515</v>
      </c>
    </row>
    <row r="137" spans="1:16">
      <c r="A137" t="s">
        <v>648</v>
      </c>
      <c r="B137" s="7" t="s">
        <v>510</v>
      </c>
      <c r="C137" s="7" t="s">
        <v>511</v>
      </c>
      <c r="D137" s="7" t="s">
        <v>512</v>
      </c>
      <c r="E137" s="7" t="s">
        <v>512</v>
      </c>
      <c r="F137" s="7">
        <v>8133</v>
      </c>
      <c r="G137" s="7" t="s">
        <v>513</v>
      </c>
      <c r="H137" s="7">
        <v>12</v>
      </c>
      <c r="I137" s="7">
        <v>10</v>
      </c>
      <c r="J137" s="7" t="s">
        <v>514</v>
      </c>
      <c r="K137" s="7"/>
      <c r="L137" s="7" t="s">
        <v>512</v>
      </c>
      <c r="M137" s="7"/>
      <c r="N137" s="7"/>
      <c r="P137" s="7" t="s">
        <v>515</v>
      </c>
    </row>
    <row r="138" spans="1:16">
      <c r="A138" t="s">
        <v>649</v>
      </c>
      <c r="B138" s="7" t="s">
        <v>510</v>
      </c>
      <c r="C138" s="7" t="s">
        <v>511</v>
      </c>
      <c r="D138" s="7" t="s">
        <v>512</v>
      </c>
      <c r="E138" s="7" t="s">
        <v>512</v>
      </c>
      <c r="F138" s="7">
        <v>8134</v>
      </c>
      <c r="G138" s="7" t="s">
        <v>513</v>
      </c>
      <c r="H138" s="7">
        <v>12</v>
      </c>
      <c r="I138" s="7">
        <v>10</v>
      </c>
      <c r="J138" s="7" t="s">
        <v>514</v>
      </c>
      <c r="K138" s="7"/>
      <c r="L138" s="7" t="s">
        <v>512</v>
      </c>
      <c r="M138" s="7"/>
      <c r="N138" s="7"/>
      <c r="P138" s="7" t="s">
        <v>515</v>
      </c>
    </row>
    <row r="139" spans="1:16">
      <c r="A139" t="s">
        <v>650</v>
      </c>
      <c r="B139" s="7" t="s">
        <v>510</v>
      </c>
      <c r="C139" s="7" t="s">
        <v>511</v>
      </c>
      <c r="D139" s="7" t="s">
        <v>512</v>
      </c>
      <c r="E139" s="7" t="s">
        <v>512</v>
      </c>
      <c r="F139" s="7">
        <v>8135</v>
      </c>
      <c r="G139" s="7" t="s">
        <v>513</v>
      </c>
      <c r="H139" s="7">
        <v>12</v>
      </c>
      <c r="I139" s="7">
        <v>10</v>
      </c>
      <c r="J139" s="7" t="s">
        <v>514</v>
      </c>
      <c r="K139" s="7"/>
      <c r="L139" s="7" t="s">
        <v>512</v>
      </c>
      <c r="M139" s="7"/>
      <c r="N139" s="7"/>
      <c r="P139" s="7" t="s">
        <v>515</v>
      </c>
    </row>
    <row r="140" spans="1:16">
      <c r="A140" t="s">
        <v>651</v>
      </c>
      <c r="B140" s="7" t="s">
        <v>510</v>
      </c>
      <c r="C140" s="7" t="s">
        <v>511</v>
      </c>
      <c r="D140" s="7" t="s">
        <v>512</v>
      </c>
      <c r="E140" s="7" t="s">
        <v>512</v>
      </c>
      <c r="F140" s="7">
        <v>8136</v>
      </c>
      <c r="G140" s="7" t="s">
        <v>513</v>
      </c>
      <c r="H140" s="7">
        <v>12</v>
      </c>
      <c r="I140" s="7">
        <v>10</v>
      </c>
      <c r="J140" s="7" t="s">
        <v>514</v>
      </c>
      <c r="K140" s="7"/>
      <c r="L140" s="7" t="s">
        <v>512</v>
      </c>
      <c r="M140" s="7"/>
      <c r="N140" s="7"/>
      <c r="P140" s="7" t="s">
        <v>515</v>
      </c>
    </row>
    <row r="141" spans="1:16">
      <c r="A141" t="s">
        <v>652</v>
      </c>
      <c r="B141" s="7" t="s">
        <v>510</v>
      </c>
      <c r="C141" s="7" t="s">
        <v>511</v>
      </c>
      <c r="D141" s="7" t="s">
        <v>512</v>
      </c>
      <c r="E141" s="7" t="s">
        <v>512</v>
      </c>
      <c r="F141" s="7">
        <v>8137</v>
      </c>
      <c r="G141" s="7" t="s">
        <v>513</v>
      </c>
      <c r="H141" s="7">
        <v>12</v>
      </c>
      <c r="I141" s="7">
        <v>10</v>
      </c>
      <c r="J141" s="7" t="s">
        <v>514</v>
      </c>
      <c r="K141" s="7"/>
      <c r="L141" s="7" t="s">
        <v>512</v>
      </c>
      <c r="M141" s="7"/>
      <c r="N141" s="7"/>
      <c r="P141" s="7" t="s">
        <v>515</v>
      </c>
    </row>
    <row r="142" spans="1:16">
      <c r="A142" t="s">
        <v>653</v>
      </c>
      <c r="B142" s="7" t="s">
        <v>510</v>
      </c>
      <c r="C142" s="7" t="s">
        <v>511</v>
      </c>
      <c r="D142" s="7" t="s">
        <v>512</v>
      </c>
      <c r="E142" s="7" t="s">
        <v>512</v>
      </c>
      <c r="F142" s="7">
        <v>8138</v>
      </c>
      <c r="G142" s="7" t="s">
        <v>513</v>
      </c>
      <c r="H142" s="7">
        <v>12</v>
      </c>
      <c r="I142" s="7">
        <v>10</v>
      </c>
      <c r="J142" s="7" t="s">
        <v>514</v>
      </c>
      <c r="K142" s="7"/>
      <c r="L142" s="7" t="s">
        <v>512</v>
      </c>
      <c r="M142" s="7"/>
      <c r="N142" s="7"/>
      <c r="P142" s="7" t="s">
        <v>515</v>
      </c>
    </row>
    <row r="143" spans="1:16">
      <c r="A143" t="s">
        <v>654</v>
      </c>
      <c r="B143" s="7" t="s">
        <v>510</v>
      </c>
      <c r="C143" s="7" t="s">
        <v>511</v>
      </c>
      <c r="D143" s="7" t="s">
        <v>512</v>
      </c>
      <c r="E143" s="7" t="s">
        <v>512</v>
      </c>
      <c r="F143" s="7">
        <v>8139</v>
      </c>
      <c r="G143" s="7" t="s">
        <v>513</v>
      </c>
      <c r="H143" s="7">
        <v>12</v>
      </c>
      <c r="I143" s="7">
        <v>10</v>
      </c>
      <c r="J143" s="7" t="s">
        <v>514</v>
      </c>
      <c r="K143" s="7"/>
      <c r="L143" s="7" t="s">
        <v>512</v>
      </c>
      <c r="M143" s="7"/>
      <c r="N143" s="7"/>
      <c r="P143" s="7" t="s">
        <v>515</v>
      </c>
    </row>
    <row r="144" spans="1:16">
      <c r="A144" t="s">
        <v>655</v>
      </c>
      <c r="B144" s="7" t="s">
        <v>510</v>
      </c>
      <c r="C144" s="7" t="s">
        <v>511</v>
      </c>
      <c r="D144" s="7" t="s">
        <v>512</v>
      </c>
      <c r="E144" s="7" t="s">
        <v>512</v>
      </c>
      <c r="F144" s="7">
        <v>8140</v>
      </c>
      <c r="G144" s="7" t="s">
        <v>513</v>
      </c>
      <c r="H144" s="7">
        <v>12</v>
      </c>
      <c r="I144" s="7">
        <v>10</v>
      </c>
      <c r="J144" s="7" t="s">
        <v>514</v>
      </c>
      <c r="K144" s="7"/>
      <c r="L144" s="7" t="s">
        <v>512</v>
      </c>
      <c r="M144" s="7"/>
      <c r="N144" s="7"/>
      <c r="P144" s="7" t="s">
        <v>515</v>
      </c>
    </row>
    <row r="145" spans="1:16">
      <c r="A145" t="s">
        <v>656</v>
      </c>
      <c r="B145" s="7" t="s">
        <v>510</v>
      </c>
      <c r="C145" s="7" t="s">
        <v>511</v>
      </c>
      <c r="D145" s="7" t="s">
        <v>512</v>
      </c>
      <c r="E145" s="7" t="s">
        <v>512</v>
      </c>
      <c r="F145" s="7">
        <v>8141</v>
      </c>
      <c r="G145" s="7" t="s">
        <v>513</v>
      </c>
      <c r="H145" s="7">
        <v>12</v>
      </c>
      <c r="I145" s="7">
        <v>10</v>
      </c>
      <c r="J145" s="7" t="s">
        <v>514</v>
      </c>
      <c r="K145" s="7"/>
      <c r="L145" s="7" t="s">
        <v>512</v>
      </c>
      <c r="M145" s="7"/>
      <c r="N145" s="7"/>
      <c r="P145" s="7" t="s">
        <v>515</v>
      </c>
    </row>
    <row r="146" spans="1:16">
      <c r="A146" t="s">
        <v>657</v>
      </c>
      <c r="B146" s="7" t="s">
        <v>510</v>
      </c>
      <c r="C146" s="7" t="s">
        <v>511</v>
      </c>
      <c r="D146" s="7" t="s">
        <v>512</v>
      </c>
      <c r="E146" s="7" t="s">
        <v>512</v>
      </c>
      <c r="F146" s="7">
        <v>8142</v>
      </c>
      <c r="G146" s="7" t="s">
        <v>513</v>
      </c>
      <c r="H146" s="7">
        <v>12</v>
      </c>
      <c r="I146" s="7">
        <v>10</v>
      </c>
      <c r="J146" s="7" t="s">
        <v>514</v>
      </c>
      <c r="K146" s="7"/>
      <c r="L146" s="7" t="s">
        <v>512</v>
      </c>
      <c r="M146" s="7"/>
      <c r="N146" s="7"/>
      <c r="P146" s="7" t="s">
        <v>515</v>
      </c>
    </row>
    <row r="147" spans="1:16">
      <c r="A147" t="s">
        <v>658</v>
      </c>
      <c r="B147" s="7" t="s">
        <v>510</v>
      </c>
      <c r="C147" s="7" t="s">
        <v>511</v>
      </c>
      <c r="D147" s="7" t="s">
        <v>512</v>
      </c>
      <c r="E147" s="7" t="s">
        <v>512</v>
      </c>
      <c r="F147" s="7">
        <v>8143</v>
      </c>
      <c r="G147" s="7" t="s">
        <v>513</v>
      </c>
      <c r="H147" s="7">
        <v>12</v>
      </c>
      <c r="I147" s="7">
        <v>10</v>
      </c>
      <c r="J147" s="7" t="s">
        <v>514</v>
      </c>
      <c r="K147" s="7"/>
      <c r="L147" s="7" t="s">
        <v>512</v>
      </c>
      <c r="M147" s="7"/>
      <c r="N147" s="7"/>
      <c r="P147" s="7" t="s">
        <v>515</v>
      </c>
    </row>
    <row r="148" spans="1:16">
      <c r="A148" t="s">
        <v>659</v>
      </c>
      <c r="B148" s="7" t="s">
        <v>510</v>
      </c>
      <c r="C148" s="7" t="s">
        <v>511</v>
      </c>
      <c r="D148" s="7" t="s">
        <v>512</v>
      </c>
      <c r="E148" s="7" t="s">
        <v>512</v>
      </c>
      <c r="F148" s="7">
        <v>8144</v>
      </c>
      <c r="G148" s="7" t="s">
        <v>513</v>
      </c>
      <c r="H148" s="7">
        <v>12</v>
      </c>
      <c r="I148" s="7">
        <v>10</v>
      </c>
      <c r="J148" s="7" t="s">
        <v>514</v>
      </c>
      <c r="K148" s="7"/>
      <c r="L148" s="7" t="s">
        <v>512</v>
      </c>
      <c r="M148" s="7"/>
      <c r="N148" s="7"/>
      <c r="P148" s="7" t="s">
        <v>515</v>
      </c>
    </row>
    <row r="149" spans="1:16">
      <c r="A149" t="s">
        <v>660</v>
      </c>
      <c r="B149" s="7" t="s">
        <v>510</v>
      </c>
      <c r="C149" s="7" t="s">
        <v>511</v>
      </c>
      <c r="D149" s="7" t="s">
        <v>512</v>
      </c>
      <c r="E149" s="7" t="s">
        <v>512</v>
      </c>
      <c r="F149" s="7">
        <v>8145</v>
      </c>
      <c r="G149" s="7" t="s">
        <v>513</v>
      </c>
      <c r="H149" s="7">
        <v>12</v>
      </c>
      <c r="I149" s="7">
        <v>10</v>
      </c>
      <c r="J149" s="7" t="s">
        <v>514</v>
      </c>
      <c r="K149" s="7"/>
      <c r="L149" s="7" t="s">
        <v>512</v>
      </c>
      <c r="M149" s="7"/>
      <c r="N149" s="7"/>
      <c r="P149" s="7" t="s">
        <v>515</v>
      </c>
    </row>
    <row r="150" spans="1:16">
      <c r="A150" t="s">
        <v>661</v>
      </c>
      <c r="B150" s="7" t="s">
        <v>510</v>
      </c>
      <c r="C150" s="7" t="s">
        <v>511</v>
      </c>
      <c r="D150" s="7" t="s">
        <v>512</v>
      </c>
      <c r="E150" s="7" t="s">
        <v>512</v>
      </c>
      <c r="F150" s="7">
        <v>8146</v>
      </c>
      <c r="G150" s="7" t="s">
        <v>513</v>
      </c>
      <c r="H150" s="7">
        <v>12</v>
      </c>
      <c r="I150" s="7">
        <v>10</v>
      </c>
      <c r="J150" s="7" t="s">
        <v>514</v>
      </c>
      <c r="K150" s="7"/>
      <c r="L150" s="7" t="s">
        <v>512</v>
      </c>
      <c r="M150" s="7"/>
      <c r="N150" s="7"/>
      <c r="P150" s="7" t="s">
        <v>515</v>
      </c>
    </row>
    <row r="151" spans="1:16">
      <c r="A151" t="s">
        <v>662</v>
      </c>
      <c r="B151" s="7" t="s">
        <v>510</v>
      </c>
      <c r="C151" s="7" t="s">
        <v>511</v>
      </c>
      <c r="D151" s="7" t="s">
        <v>512</v>
      </c>
      <c r="E151" s="7" t="s">
        <v>512</v>
      </c>
      <c r="F151" s="7">
        <v>8147</v>
      </c>
      <c r="G151" s="7" t="s">
        <v>513</v>
      </c>
      <c r="H151" s="7">
        <v>12</v>
      </c>
      <c r="I151" s="7">
        <v>10</v>
      </c>
      <c r="J151" s="7" t="s">
        <v>514</v>
      </c>
      <c r="K151" s="7"/>
      <c r="L151" s="7" t="s">
        <v>512</v>
      </c>
      <c r="M151" s="7"/>
      <c r="N151" s="7"/>
      <c r="P151" s="7" t="s">
        <v>515</v>
      </c>
    </row>
    <row r="152" spans="1:16">
      <c r="A152" t="s">
        <v>663</v>
      </c>
      <c r="B152" s="7" t="s">
        <v>510</v>
      </c>
      <c r="C152" s="7" t="s">
        <v>511</v>
      </c>
      <c r="D152" s="7" t="s">
        <v>512</v>
      </c>
      <c r="E152" s="7" t="s">
        <v>512</v>
      </c>
      <c r="F152" s="7">
        <v>8148</v>
      </c>
      <c r="G152" s="7" t="s">
        <v>513</v>
      </c>
      <c r="H152" s="7">
        <v>12</v>
      </c>
      <c r="I152" s="7">
        <v>10</v>
      </c>
      <c r="J152" s="7" t="s">
        <v>514</v>
      </c>
      <c r="K152" s="7"/>
      <c r="L152" s="7" t="s">
        <v>512</v>
      </c>
      <c r="M152" s="7"/>
      <c r="N152" s="7"/>
      <c r="P152" s="7" t="s">
        <v>515</v>
      </c>
    </row>
    <row r="153" spans="1:16">
      <c r="A153" t="s">
        <v>664</v>
      </c>
      <c r="B153" s="7" t="s">
        <v>510</v>
      </c>
      <c r="C153" s="7" t="s">
        <v>511</v>
      </c>
      <c r="D153" s="7" t="s">
        <v>512</v>
      </c>
      <c r="E153" s="7" t="s">
        <v>512</v>
      </c>
      <c r="F153" s="7">
        <v>8149</v>
      </c>
      <c r="G153" s="7" t="s">
        <v>513</v>
      </c>
      <c r="H153" s="7">
        <v>12</v>
      </c>
      <c r="I153" s="7">
        <v>10</v>
      </c>
      <c r="J153" s="7" t="s">
        <v>514</v>
      </c>
      <c r="K153" s="7"/>
      <c r="L153" s="7" t="s">
        <v>512</v>
      </c>
      <c r="M153" s="7"/>
      <c r="N153" s="7"/>
      <c r="P153" s="7" t="s">
        <v>515</v>
      </c>
    </row>
    <row r="154" spans="1:16">
      <c r="A154" t="s">
        <v>665</v>
      </c>
      <c r="B154" s="7" t="s">
        <v>510</v>
      </c>
      <c r="C154" s="7" t="s">
        <v>511</v>
      </c>
      <c r="D154" s="7" t="s">
        <v>512</v>
      </c>
      <c r="E154" s="7" t="s">
        <v>512</v>
      </c>
      <c r="F154" s="7">
        <v>8150</v>
      </c>
      <c r="G154" s="7" t="s">
        <v>513</v>
      </c>
      <c r="H154" s="7">
        <v>12</v>
      </c>
      <c r="I154" s="7">
        <v>10</v>
      </c>
      <c r="J154" s="7" t="s">
        <v>514</v>
      </c>
      <c r="K154" s="7"/>
      <c r="L154" s="7" t="s">
        <v>512</v>
      </c>
      <c r="M154" s="7"/>
      <c r="N154" s="7"/>
      <c r="P154" s="7" t="s">
        <v>515</v>
      </c>
    </row>
    <row r="155" spans="1:16">
      <c r="A155" t="s">
        <v>666</v>
      </c>
      <c r="B155" s="7" t="s">
        <v>510</v>
      </c>
      <c r="C155" s="7" t="s">
        <v>511</v>
      </c>
      <c r="D155" s="7" t="s">
        <v>512</v>
      </c>
      <c r="E155" s="7" t="s">
        <v>512</v>
      </c>
      <c r="F155" s="7">
        <v>8151</v>
      </c>
      <c r="G155" s="7" t="s">
        <v>513</v>
      </c>
      <c r="H155" s="7">
        <v>12</v>
      </c>
      <c r="I155" s="7">
        <v>10</v>
      </c>
      <c r="J155" s="7" t="s">
        <v>514</v>
      </c>
      <c r="K155" s="7"/>
      <c r="L155" s="7" t="s">
        <v>512</v>
      </c>
      <c r="M155" s="7"/>
      <c r="N155" s="7"/>
      <c r="P155" s="7" t="s">
        <v>515</v>
      </c>
    </row>
    <row r="156" spans="1:16">
      <c r="A156" t="s">
        <v>667</v>
      </c>
      <c r="B156" s="7" t="s">
        <v>510</v>
      </c>
      <c r="C156" s="7" t="s">
        <v>511</v>
      </c>
      <c r="D156" s="7" t="s">
        <v>512</v>
      </c>
      <c r="E156" s="7" t="s">
        <v>512</v>
      </c>
      <c r="F156" s="7">
        <v>8152</v>
      </c>
      <c r="G156" s="7" t="s">
        <v>513</v>
      </c>
      <c r="H156" s="7">
        <v>12</v>
      </c>
      <c r="I156" s="7">
        <v>10</v>
      </c>
      <c r="J156" s="7" t="s">
        <v>514</v>
      </c>
      <c r="K156" s="7"/>
      <c r="L156" s="7" t="s">
        <v>512</v>
      </c>
      <c r="M156" s="7"/>
      <c r="N156" s="7"/>
      <c r="P156" s="7" t="s">
        <v>515</v>
      </c>
    </row>
    <row r="157" spans="1:16">
      <c r="A157" t="s">
        <v>668</v>
      </c>
      <c r="B157" s="7" t="s">
        <v>510</v>
      </c>
      <c r="C157" s="7" t="s">
        <v>511</v>
      </c>
      <c r="D157" s="7" t="s">
        <v>512</v>
      </c>
      <c r="E157" s="7" t="s">
        <v>512</v>
      </c>
      <c r="F157" s="7">
        <v>8153</v>
      </c>
      <c r="G157" s="7" t="s">
        <v>513</v>
      </c>
      <c r="H157" s="7">
        <v>12</v>
      </c>
      <c r="I157" s="7">
        <v>10</v>
      </c>
      <c r="J157" s="7" t="s">
        <v>514</v>
      </c>
      <c r="K157" s="7"/>
      <c r="L157" s="7" t="s">
        <v>512</v>
      </c>
      <c r="M157" s="7"/>
      <c r="N157" s="7"/>
      <c r="P157" s="7" t="s">
        <v>515</v>
      </c>
    </row>
    <row r="158" spans="1:16">
      <c r="A158" t="s">
        <v>669</v>
      </c>
      <c r="B158" s="7" t="s">
        <v>510</v>
      </c>
      <c r="C158" s="7" t="s">
        <v>511</v>
      </c>
      <c r="D158" s="7" t="s">
        <v>512</v>
      </c>
      <c r="E158" s="7" t="s">
        <v>512</v>
      </c>
      <c r="F158" s="7">
        <v>8154</v>
      </c>
      <c r="G158" s="7" t="s">
        <v>513</v>
      </c>
      <c r="H158" s="7">
        <v>12</v>
      </c>
      <c r="I158" s="7">
        <v>10</v>
      </c>
      <c r="J158" s="7" t="s">
        <v>514</v>
      </c>
      <c r="K158" s="7"/>
      <c r="L158" s="7" t="s">
        <v>512</v>
      </c>
      <c r="M158" s="7"/>
      <c r="N158" s="7"/>
      <c r="P158" s="7" t="s">
        <v>515</v>
      </c>
    </row>
    <row r="159" spans="1:16">
      <c r="A159" t="s">
        <v>670</v>
      </c>
      <c r="B159" s="7" t="s">
        <v>510</v>
      </c>
      <c r="C159" s="7" t="s">
        <v>511</v>
      </c>
      <c r="D159" s="7" t="s">
        <v>512</v>
      </c>
      <c r="E159" s="7" t="s">
        <v>512</v>
      </c>
      <c r="F159" s="7">
        <v>8155</v>
      </c>
      <c r="G159" s="7" t="s">
        <v>513</v>
      </c>
      <c r="H159" s="7">
        <v>12</v>
      </c>
      <c r="I159" s="7">
        <v>10</v>
      </c>
      <c r="J159" s="7" t="s">
        <v>514</v>
      </c>
      <c r="K159" s="7"/>
      <c r="L159" s="7" t="s">
        <v>512</v>
      </c>
      <c r="M159" s="7"/>
      <c r="N159" s="7"/>
      <c r="P159" s="7" t="s">
        <v>515</v>
      </c>
    </row>
    <row r="160" spans="1:16">
      <c r="A160" t="s">
        <v>671</v>
      </c>
      <c r="B160" s="7" t="s">
        <v>510</v>
      </c>
      <c r="C160" s="7" t="s">
        <v>511</v>
      </c>
      <c r="D160" s="7" t="s">
        <v>512</v>
      </c>
      <c r="E160" s="7" t="s">
        <v>512</v>
      </c>
      <c r="F160" s="7">
        <v>8156</v>
      </c>
      <c r="G160" s="7" t="s">
        <v>513</v>
      </c>
      <c r="H160" s="7">
        <v>12</v>
      </c>
      <c r="I160" s="7">
        <v>10</v>
      </c>
      <c r="J160" s="7" t="s">
        <v>514</v>
      </c>
      <c r="K160" s="7"/>
      <c r="L160" s="7" t="s">
        <v>512</v>
      </c>
      <c r="M160" s="7"/>
      <c r="N160" s="7"/>
      <c r="P160" s="7" t="s">
        <v>515</v>
      </c>
    </row>
    <row r="161" spans="1:16">
      <c r="A161" t="s">
        <v>672</v>
      </c>
      <c r="B161" s="7" t="s">
        <v>510</v>
      </c>
      <c r="C161" s="7" t="s">
        <v>511</v>
      </c>
      <c r="D161" s="7" t="s">
        <v>512</v>
      </c>
      <c r="E161" s="7" t="s">
        <v>512</v>
      </c>
      <c r="F161" s="7">
        <v>8157</v>
      </c>
      <c r="G161" s="7" t="s">
        <v>513</v>
      </c>
      <c r="H161" s="7">
        <v>12</v>
      </c>
      <c r="I161" s="7">
        <v>10</v>
      </c>
      <c r="J161" s="7" t="s">
        <v>514</v>
      </c>
      <c r="K161" s="7"/>
      <c r="L161" s="7" t="s">
        <v>512</v>
      </c>
      <c r="M161" s="7"/>
      <c r="N161" s="7"/>
      <c r="P161" s="7" t="s">
        <v>515</v>
      </c>
    </row>
    <row r="162" spans="1:16">
      <c r="A162" s="184" t="s">
        <v>673</v>
      </c>
      <c r="B162" s="165" t="s">
        <v>510</v>
      </c>
      <c r="C162" s="165" t="s">
        <v>511</v>
      </c>
      <c r="D162" s="165" t="s">
        <v>512</v>
      </c>
      <c r="E162" s="165" t="s">
        <v>512</v>
      </c>
      <c r="F162" s="165">
        <v>8158</v>
      </c>
      <c r="G162" s="165" t="s">
        <v>513</v>
      </c>
      <c r="H162" s="165">
        <v>12</v>
      </c>
      <c r="I162" s="165">
        <v>10</v>
      </c>
      <c r="J162" s="165" t="s">
        <v>514</v>
      </c>
      <c r="K162" s="165"/>
      <c r="L162" s="165" t="s">
        <v>512</v>
      </c>
      <c r="M162" s="165"/>
      <c r="N162" s="165"/>
      <c r="O162" s="184"/>
      <c r="P162" s="165" t="s">
        <v>515</v>
      </c>
    </row>
    <row r="163" spans="1:16">
      <c r="A163" t="s">
        <v>674</v>
      </c>
      <c r="B163" s="7" t="s">
        <v>510</v>
      </c>
      <c r="C163" s="7" t="s">
        <v>511</v>
      </c>
      <c r="D163" s="7" t="s">
        <v>512</v>
      </c>
      <c r="E163" s="7" t="s">
        <v>512</v>
      </c>
      <c r="F163" s="7">
        <v>8159</v>
      </c>
      <c r="G163" s="7" t="s">
        <v>513</v>
      </c>
      <c r="H163" s="7">
        <v>12</v>
      </c>
      <c r="I163" s="7">
        <v>10</v>
      </c>
      <c r="J163" s="7" t="s">
        <v>514</v>
      </c>
      <c r="K163" s="7"/>
      <c r="L163" s="7" t="s">
        <v>512</v>
      </c>
      <c r="M163" s="7"/>
      <c r="N163" s="7"/>
      <c r="P163" s="7" t="s">
        <v>515</v>
      </c>
    </row>
    <row r="164" spans="1:16">
      <c r="A164" t="s">
        <v>675</v>
      </c>
      <c r="B164" s="7" t="s">
        <v>510</v>
      </c>
      <c r="C164" s="7" t="s">
        <v>511</v>
      </c>
      <c r="D164" s="7" t="s">
        <v>512</v>
      </c>
      <c r="E164" s="7" t="s">
        <v>512</v>
      </c>
      <c r="F164" s="7">
        <v>8160</v>
      </c>
      <c r="G164" s="7" t="s">
        <v>513</v>
      </c>
      <c r="H164" s="7">
        <v>12</v>
      </c>
      <c r="I164" s="7">
        <v>10</v>
      </c>
      <c r="J164" s="7" t="s">
        <v>514</v>
      </c>
      <c r="K164" s="7"/>
      <c r="L164" s="7" t="s">
        <v>512</v>
      </c>
      <c r="M164" s="7"/>
      <c r="N164" s="7"/>
      <c r="P164" s="7" t="s">
        <v>515</v>
      </c>
    </row>
    <row r="165" spans="1:16">
      <c r="A165" t="s">
        <v>676</v>
      </c>
      <c r="B165" s="7" t="s">
        <v>510</v>
      </c>
      <c r="C165" s="7" t="s">
        <v>511</v>
      </c>
      <c r="D165" s="7" t="s">
        <v>512</v>
      </c>
      <c r="E165" s="7" t="s">
        <v>512</v>
      </c>
      <c r="F165" s="7">
        <v>8161</v>
      </c>
      <c r="G165" s="7" t="s">
        <v>513</v>
      </c>
      <c r="H165" s="7">
        <v>12</v>
      </c>
      <c r="I165" s="7">
        <v>10</v>
      </c>
      <c r="J165" s="7" t="s">
        <v>514</v>
      </c>
      <c r="K165" s="7"/>
      <c r="L165" s="7" t="s">
        <v>512</v>
      </c>
      <c r="M165" s="7"/>
      <c r="N165" s="7"/>
      <c r="P165" s="7" t="s">
        <v>515</v>
      </c>
    </row>
    <row r="166" spans="1:16">
      <c r="A166" t="s">
        <v>677</v>
      </c>
      <c r="B166" s="7" t="s">
        <v>510</v>
      </c>
      <c r="C166" s="7" t="s">
        <v>511</v>
      </c>
      <c r="D166" s="7" t="s">
        <v>512</v>
      </c>
      <c r="E166" s="7" t="s">
        <v>512</v>
      </c>
      <c r="F166" s="7">
        <v>8162</v>
      </c>
      <c r="G166" s="7" t="s">
        <v>513</v>
      </c>
      <c r="H166" s="7">
        <v>12</v>
      </c>
      <c r="I166" s="7">
        <v>10</v>
      </c>
      <c r="J166" s="7" t="s">
        <v>514</v>
      </c>
      <c r="K166" s="7"/>
      <c r="L166" s="7" t="s">
        <v>512</v>
      </c>
      <c r="M166" s="7"/>
      <c r="N166" s="7"/>
      <c r="P166" s="7" t="s">
        <v>515</v>
      </c>
    </row>
    <row r="167" spans="1:16">
      <c r="A167" t="s">
        <v>678</v>
      </c>
      <c r="B167" s="7" t="s">
        <v>510</v>
      </c>
      <c r="C167" s="7" t="s">
        <v>511</v>
      </c>
      <c r="D167" s="7" t="s">
        <v>512</v>
      </c>
      <c r="E167" s="7" t="s">
        <v>512</v>
      </c>
      <c r="F167" s="7">
        <v>8163</v>
      </c>
      <c r="G167" s="7" t="s">
        <v>513</v>
      </c>
      <c r="H167" s="7">
        <v>12</v>
      </c>
      <c r="I167" s="7">
        <v>10</v>
      </c>
      <c r="J167" s="7" t="s">
        <v>514</v>
      </c>
      <c r="K167" s="7"/>
      <c r="L167" s="7" t="s">
        <v>512</v>
      </c>
      <c r="M167" s="7"/>
      <c r="N167" s="7"/>
      <c r="P167" s="7" t="s">
        <v>515</v>
      </c>
    </row>
    <row r="168" spans="1:16">
      <c r="A168" t="s">
        <v>679</v>
      </c>
      <c r="B168" s="7" t="s">
        <v>510</v>
      </c>
      <c r="C168" s="7" t="s">
        <v>511</v>
      </c>
      <c r="D168" s="7" t="s">
        <v>512</v>
      </c>
      <c r="E168" s="7" t="s">
        <v>512</v>
      </c>
      <c r="F168" s="7">
        <v>8164</v>
      </c>
      <c r="G168" s="7" t="s">
        <v>513</v>
      </c>
      <c r="H168" s="7">
        <v>12</v>
      </c>
      <c r="I168" s="7">
        <v>10</v>
      </c>
      <c r="J168" s="7" t="s">
        <v>514</v>
      </c>
      <c r="K168" s="7"/>
      <c r="L168" s="7" t="s">
        <v>512</v>
      </c>
      <c r="M168" s="7"/>
      <c r="N168" s="7"/>
      <c r="P168" s="7" t="s">
        <v>515</v>
      </c>
    </row>
    <row r="169" spans="1:16">
      <c r="A169" t="s">
        <v>680</v>
      </c>
      <c r="B169" s="7" t="s">
        <v>510</v>
      </c>
      <c r="C169" s="7" t="s">
        <v>511</v>
      </c>
      <c r="D169" s="7" t="s">
        <v>512</v>
      </c>
      <c r="E169" s="7" t="s">
        <v>512</v>
      </c>
      <c r="F169" s="7">
        <v>8165</v>
      </c>
      <c r="G169" s="7" t="s">
        <v>513</v>
      </c>
      <c r="H169" s="7">
        <v>12</v>
      </c>
      <c r="I169" s="7">
        <v>10</v>
      </c>
      <c r="J169" s="7" t="s">
        <v>514</v>
      </c>
      <c r="K169" s="7"/>
      <c r="L169" s="7" t="s">
        <v>512</v>
      </c>
      <c r="M169" s="7"/>
      <c r="N169" s="7"/>
      <c r="P169" s="7" t="s">
        <v>515</v>
      </c>
    </row>
    <row r="170" spans="1:16">
      <c r="A170" t="s">
        <v>681</v>
      </c>
      <c r="B170" s="7" t="s">
        <v>510</v>
      </c>
      <c r="C170" s="7" t="s">
        <v>511</v>
      </c>
      <c r="D170" s="7" t="s">
        <v>512</v>
      </c>
      <c r="E170" s="7" t="s">
        <v>512</v>
      </c>
      <c r="F170" s="7">
        <v>8166</v>
      </c>
      <c r="G170" s="7" t="s">
        <v>513</v>
      </c>
      <c r="H170" s="7">
        <v>12</v>
      </c>
      <c r="I170" s="7">
        <v>10</v>
      </c>
      <c r="J170" s="7" t="s">
        <v>514</v>
      </c>
      <c r="K170" s="7"/>
      <c r="L170" s="7" t="s">
        <v>512</v>
      </c>
      <c r="M170" s="7"/>
      <c r="N170" s="7"/>
      <c r="P170" s="7" t="s">
        <v>515</v>
      </c>
    </row>
    <row r="171" spans="1:16">
      <c r="A171" t="s">
        <v>682</v>
      </c>
      <c r="B171" s="7" t="s">
        <v>510</v>
      </c>
      <c r="C171" s="7" t="s">
        <v>511</v>
      </c>
      <c r="D171" s="7" t="s">
        <v>512</v>
      </c>
      <c r="E171" s="7" t="s">
        <v>512</v>
      </c>
      <c r="F171" s="7">
        <v>8167</v>
      </c>
      <c r="G171" s="7" t="s">
        <v>513</v>
      </c>
      <c r="H171" s="7">
        <v>12</v>
      </c>
      <c r="I171" s="7">
        <v>10</v>
      </c>
      <c r="J171" s="7" t="s">
        <v>514</v>
      </c>
      <c r="K171" s="7"/>
      <c r="L171" s="7" t="s">
        <v>512</v>
      </c>
      <c r="M171" s="7"/>
      <c r="N171" s="7"/>
      <c r="P171" s="7" t="s">
        <v>515</v>
      </c>
    </row>
    <row r="172" spans="1:16">
      <c r="A172" t="s">
        <v>683</v>
      </c>
      <c r="B172" s="7" t="s">
        <v>510</v>
      </c>
      <c r="C172" s="7" t="s">
        <v>511</v>
      </c>
      <c r="D172" s="7" t="s">
        <v>512</v>
      </c>
      <c r="E172" s="7" t="s">
        <v>512</v>
      </c>
      <c r="F172" s="7">
        <v>8168</v>
      </c>
      <c r="G172" s="7" t="s">
        <v>513</v>
      </c>
      <c r="H172" s="7">
        <v>12</v>
      </c>
      <c r="I172" s="7">
        <v>10</v>
      </c>
      <c r="J172" s="7" t="s">
        <v>514</v>
      </c>
      <c r="K172" s="7"/>
      <c r="L172" s="7" t="s">
        <v>512</v>
      </c>
      <c r="M172" s="7"/>
      <c r="N172" s="7"/>
      <c r="P172" s="7" t="s">
        <v>515</v>
      </c>
    </row>
    <row r="173" spans="1:16">
      <c r="A173" t="s">
        <v>684</v>
      </c>
      <c r="B173" s="7" t="s">
        <v>510</v>
      </c>
      <c r="C173" s="7" t="s">
        <v>511</v>
      </c>
      <c r="D173" s="7" t="s">
        <v>512</v>
      </c>
      <c r="E173" s="7" t="s">
        <v>512</v>
      </c>
      <c r="F173" s="7">
        <v>8169</v>
      </c>
      <c r="G173" s="7" t="s">
        <v>513</v>
      </c>
      <c r="H173" s="7">
        <v>12</v>
      </c>
      <c r="I173" s="7">
        <v>10</v>
      </c>
      <c r="J173" s="7" t="s">
        <v>514</v>
      </c>
      <c r="K173" s="7"/>
      <c r="L173" s="7" t="s">
        <v>512</v>
      </c>
      <c r="M173" s="7"/>
      <c r="N173" s="7"/>
      <c r="P173" s="7" t="s">
        <v>515</v>
      </c>
    </row>
    <row r="174" spans="1:16">
      <c r="A174" t="s">
        <v>685</v>
      </c>
      <c r="B174" s="7" t="s">
        <v>510</v>
      </c>
      <c r="C174" s="7" t="s">
        <v>511</v>
      </c>
      <c r="D174" s="7" t="s">
        <v>512</v>
      </c>
      <c r="E174" s="7" t="s">
        <v>512</v>
      </c>
      <c r="F174" s="7">
        <v>8170</v>
      </c>
      <c r="G174" s="7" t="s">
        <v>513</v>
      </c>
      <c r="H174" s="7">
        <v>12</v>
      </c>
      <c r="I174" s="7">
        <v>10</v>
      </c>
      <c r="J174" s="7" t="s">
        <v>514</v>
      </c>
      <c r="K174" s="7"/>
      <c r="L174" s="7" t="s">
        <v>512</v>
      </c>
      <c r="M174" s="7"/>
      <c r="N174" s="7"/>
      <c r="P174" s="7" t="s">
        <v>515</v>
      </c>
    </row>
    <row r="175" spans="1:16">
      <c r="A175" t="s">
        <v>686</v>
      </c>
      <c r="B175" s="7" t="s">
        <v>510</v>
      </c>
      <c r="C175" s="7" t="s">
        <v>511</v>
      </c>
      <c r="D175" s="7" t="s">
        <v>512</v>
      </c>
      <c r="E175" s="7" t="s">
        <v>512</v>
      </c>
      <c r="F175" s="7">
        <v>8171</v>
      </c>
      <c r="G175" s="7" t="s">
        <v>513</v>
      </c>
      <c r="H175" s="7">
        <v>12</v>
      </c>
      <c r="I175" s="7">
        <v>10</v>
      </c>
      <c r="J175" s="7" t="s">
        <v>514</v>
      </c>
      <c r="K175" s="7"/>
      <c r="L175" s="7" t="s">
        <v>512</v>
      </c>
      <c r="M175" s="7"/>
      <c r="N175" s="7"/>
      <c r="P175" s="7" t="s">
        <v>515</v>
      </c>
    </row>
    <row r="176" spans="1:16">
      <c r="A176" t="s">
        <v>687</v>
      </c>
      <c r="B176" s="7" t="s">
        <v>510</v>
      </c>
      <c r="C176" s="7" t="s">
        <v>511</v>
      </c>
      <c r="D176" s="7" t="s">
        <v>512</v>
      </c>
      <c r="E176" s="7" t="s">
        <v>512</v>
      </c>
      <c r="F176" s="7">
        <v>8172</v>
      </c>
      <c r="G176" s="7" t="s">
        <v>513</v>
      </c>
      <c r="H176" s="7">
        <v>12</v>
      </c>
      <c r="I176" s="7">
        <v>10</v>
      </c>
      <c r="J176" s="7" t="s">
        <v>514</v>
      </c>
      <c r="K176" s="7"/>
      <c r="L176" s="7" t="s">
        <v>512</v>
      </c>
      <c r="M176" s="7"/>
      <c r="N176" s="7"/>
      <c r="P176" s="7" t="s">
        <v>515</v>
      </c>
    </row>
    <row r="177" spans="1:16">
      <c r="A177" t="s">
        <v>688</v>
      </c>
      <c r="B177" s="7" t="s">
        <v>510</v>
      </c>
      <c r="C177" s="7" t="s">
        <v>511</v>
      </c>
      <c r="D177" s="7" t="s">
        <v>512</v>
      </c>
      <c r="E177" s="7" t="s">
        <v>512</v>
      </c>
      <c r="F177" s="7">
        <v>8173</v>
      </c>
      <c r="G177" s="7" t="s">
        <v>513</v>
      </c>
      <c r="H177" s="7">
        <v>12</v>
      </c>
      <c r="I177" s="7">
        <v>10</v>
      </c>
      <c r="J177" s="7" t="s">
        <v>514</v>
      </c>
      <c r="K177" s="7"/>
      <c r="L177" s="7" t="s">
        <v>512</v>
      </c>
      <c r="M177" s="7"/>
      <c r="N177" s="7"/>
      <c r="P177" s="7" t="s">
        <v>515</v>
      </c>
    </row>
    <row r="178" spans="1:16">
      <c r="A178" t="s">
        <v>689</v>
      </c>
      <c r="B178" s="7" t="s">
        <v>510</v>
      </c>
      <c r="C178" s="7" t="s">
        <v>511</v>
      </c>
      <c r="D178" s="7" t="s">
        <v>512</v>
      </c>
      <c r="E178" s="7" t="s">
        <v>512</v>
      </c>
      <c r="F178" s="7">
        <v>8174</v>
      </c>
      <c r="G178" s="7" t="s">
        <v>513</v>
      </c>
      <c r="H178" s="7">
        <v>12</v>
      </c>
      <c r="I178" s="7">
        <v>10</v>
      </c>
      <c r="J178" s="7" t="s">
        <v>514</v>
      </c>
      <c r="K178" s="7"/>
      <c r="L178" s="7" t="s">
        <v>512</v>
      </c>
      <c r="M178" s="7"/>
      <c r="N178" s="7"/>
      <c r="P178" s="7" t="s">
        <v>515</v>
      </c>
    </row>
    <row r="179" spans="1:16">
      <c r="A179" t="s">
        <v>690</v>
      </c>
      <c r="B179" s="7" t="s">
        <v>510</v>
      </c>
      <c r="C179" s="7" t="s">
        <v>511</v>
      </c>
      <c r="D179" s="7" t="s">
        <v>512</v>
      </c>
      <c r="E179" s="7" t="s">
        <v>512</v>
      </c>
      <c r="F179" s="7">
        <v>8175</v>
      </c>
      <c r="G179" s="7" t="s">
        <v>513</v>
      </c>
      <c r="H179" s="7">
        <v>12</v>
      </c>
      <c r="I179" s="7">
        <v>10</v>
      </c>
      <c r="J179" s="7" t="s">
        <v>514</v>
      </c>
      <c r="K179" s="7"/>
      <c r="L179" s="7" t="s">
        <v>512</v>
      </c>
      <c r="M179" s="7"/>
      <c r="N179" s="7"/>
      <c r="P179" s="7" t="s">
        <v>515</v>
      </c>
    </row>
    <row r="180" spans="1:16">
      <c r="A180" t="s">
        <v>691</v>
      </c>
      <c r="B180" s="7" t="s">
        <v>510</v>
      </c>
      <c r="C180" s="7" t="s">
        <v>511</v>
      </c>
      <c r="D180" s="7" t="s">
        <v>512</v>
      </c>
      <c r="E180" s="7" t="s">
        <v>512</v>
      </c>
      <c r="F180" s="7">
        <v>8176</v>
      </c>
      <c r="G180" s="7" t="s">
        <v>513</v>
      </c>
      <c r="H180" s="7">
        <v>12</v>
      </c>
      <c r="I180" s="7">
        <v>10</v>
      </c>
      <c r="J180" s="7" t="s">
        <v>514</v>
      </c>
      <c r="K180" s="7"/>
      <c r="L180" s="7" t="s">
        <v>512</v>
      </c>
      <c r="M180" s="7"/>
      <c r="N180" s="7"/>
      <c r="P180" s="7" t="s">
        <v>515</v>
      </c>
    </row>
    <row r="181" spans="1:16">
      <c r="A181" t="s">
        <v>692</v>
      </c>
      <c r="B181" s="7" t="s">
        <v>510</v>
      </c>
      <c r="C181" s="7" t="s">
        <v>511</v>
      </c>
      <c r="D181" s="7" t="s">
        <v>512</v>
      </c>
      <c r="E181" s="7" t="s">
        <v>512</v>
      </c>
      <c r="F181" s="7">
        <v>8177</v>
      </c>
      <c r="G181" s="7" t="s">
        <v>513</v>
      </c>
      <c r="H181" s="7">
        <v>12</v>
      </c>
      <c r="I181" s="7">
        <v>10</v>
      </c>
      <c r="J181" s="7" t="s">
        <v>514</v>
      </c>
      <c r="K181" s="7"/>
      <c r="L181" s="7" t="s">
        <v>512</v>
      </c>
      <c r="M181" s="7"/>
      <c r="N181" s="7"/>
      <c r="P181" s="7" t="s">
        <v>515</v>
      </c>
    </row>
    <row r="182" spans="1:16">
      <c r="A182" t="s">
        <v>693</v>
      </c>
      <c r="B182" s="7" t="s">
        <v>510</v>
      </c>
      <c r="C182" s="7" t="s">
        <v>511</v>
      </c>
      <c r="D182" s="7" t="s">
        <v>512</v>
      </c>
      <c r="E182" s="7" t="s">
        <v>512</v>
      </c>
      <c r="F182" s="7">
        <v>8178</v>
      </c>
      <c r="G182" s="7" t="s">
        <v>513</v>
      </c>
      <c r="H182" s="7">
        <v>12</v>
      </c>
      <c r="I182" s="7">
        <v>10</v>
      </c>
      <c r="J182" s="7" t="s">
        <v>514</v>
      </c>
      <c r="K182" s="7"/>
      <c r="L182" s="7" t="s">
        <v>512</v>
      </c>
      <c r="M182" s="7"/>
      <c r="N182" s="7"/>
      <c r="P182" s="7" t="s">
        <v>515</v>
      </c>
    </row>
    <row r="183" spans="1:16">
      <c r="A183" t="s">
        <v>694</v>
      </c>
      <c r="B183" s="7" t="s">
        <v>510</v>
      </c>
      <c r="C183" s="7" t="s">
        <v>511</v>
      </c>
      <c r="D183" s="7" t="s">
        <v>512</v>
      </c>
      <c r="E183" s="7" t="s">
        <v>512</v>
      </c>
      <c r="F183" s="7">
        <v>8179</v>
      </c>
      <c r="G183" s="7" t="s">
        <v>513</v>
      </c>
      <c r="H183" s="7">
        <v>12</v>
      </c>
      <c r="I183" s="7">
        <v>10</v>
      </c>
      <c r="J183" s="7" t="s">
        <v>514</v>
      </c>
      <c r="K183" s="7"/>
      <c r="L183" s="7" t="s">
        <v>512</v>
      </c>
      <c r="M183" s="7"/>
      <c r="N183" s="7"/>
      <c r="P183" s="7" t="s">
        <v>515</v>
      </c>
    </row>
    <row r="184" spans="1:16">
      <c r="A184" t="s">
        <v>695</v>
      </c>
      <c r="B184" s="7" t="s">
        <v>510</v>
      </c>
      <c r="C184" s="7" t="s">
        <v>511</v>
      </c>
      <c r="D184" s="7" t="s">
        <v>512</v>
      </c>
      <c r="E184" s="7" t="s">
        <v>512</v>
      </c>
      <c r="F184" s="7">
        <v>8180</v>
      </c>
      <c r="G184" s="7" t="s">
        <v>513</v>
      </c>
      <c r="H184" s="7">
        <v>12</v>
      </c>
      <c r="I184" s="7">
        <v>10</v>
      </c>
      <c r="J184" s="7" t="s">
        <v>514</v>
      </c>
      <c r="K184" s="7"/>
      <c r="L184" s="7" t="s">
        <v>512</v>
      </c>
      <c r="M184" s="7"/>
      <c r="N184" s="7"/>
      <c r="P184" s="7" t="s">
        <v>515</v>
      </c>
    </row>
    <row r="185" spans="1:16">
      <c r="A185" t="s">
        <v>696</v>
      </c>
      <c r="B185" s="7" t="s">
        <v>510</v>
      </c>
      <c r="C185" s="7" t="s">
        <v>511</v>
      </c>
      <c r="D185" s="7" t="s">
        <v>512</v>
      </c>
      <c r="E185" s="7" t="s">
        <v>512</v>
      </c>
      <c r="F185" s="7">
        <v>8181</v>
      </c>
      <c r="G185" s="7" t="s">
        <v>513</v>
      </c>
      <c r="H185" s="7">
        <v>12</v>
      </c>
      <c r="I185" s="7">
        <v>10</v>
      </c>
      <c r="J185" s="7" t="s">
        <v>514</v>
      </c>
      <c r="K185" s="7"/>
      <c r="L185" s="7" t="s">
        <v>512</v>
      </c>
      <c r="M185" s="7"/>
      <c r="N185" s="7"/>
      <c r="P185" s="7" t="s">
        <v>515</v>
      </c>
    </row>
    <row r="186" spans="1:16">
      <c r="A186" t="s">
        <v>697</v>
      </c>
      <c r="B186" s="7" t="s">
        <v>510</v>
      </c>
      <c r="C186" s="7" t="s">
        <v>511</v>
      </c>
      <c r="D186" s="7" t="s">
        <v>512</v>
      </c>
      <c r="E186" s="7" t="s">
        <v>512</v>
      </c>
      <c r="F186" s="7">
        <v>8182</v>
      </c>
      <c r="G186" s="7" t="s">
        <v>513</v>
      </c>
      <c r="H186" s="7">
        <v>12</v>
      </c>
      <c r="I186" s="7">
        <v>10</v>
      </c>
      <c r="J186" s="7" t="s">
        <v>514</v>
      </c>
      <c r="K186" s="7"/>
      <c r="L186" s="7" t="s">
        <v>512</v>
      </c>
      <c r="M186" s="7"/>
      <c r="N186" s="7"/>
      <c r="P186" s="7" t="s">
        <v>515</v>
      </c>
    </row>
    <row r="187" spans="1:16">
      <c r="A187" t="s">
        <v>698</v>
      </c>
      <c r="B187" s="7" t="s">
        <v>510</v>
      </c>
      <c r="C187" s="7" t="s">
        <v>511</v>
      </c>
      <c r="D187" s="7" t="s">
        <v>512</v>
      </c>
      <c r="E187" s="7" t="s">
        <v>512</v>
      </c>
      <c r="F187" s="7">
        <v>8183</v>
      </c>
      <c r="G187" s="7" t="s">
        <v>513</v>
      </c>
      <c r="H187" s="7">
        <v>12</v>
      </c>
      <c r="I187" s="7">
        <v>10</v>
      </c>
      <c r="J187" s="7" t="s">
        <v>514</v>
      </c>
      <c r="K187" s="7"/>
      <c r="L187" s="7" t="s">
        <v>512</v>
      </c>
      <c r="M187" s="7"/>
      <c r="N187" s="7"/>
      <c r="P187" s="7" t="s">
        <v>515</v>
      </c>
    </row>
    <row r="188" spans="1:16">
      <c r="A188" t="s">
        <v>699</v>
      </c>
      <c r="B188" s="7" t="s">
        <v>510</v>
      </c>
      <c r="C188" s="7" t="s">
        <v>511</v>
      </c>
      <c r="D188" s="7" t="s">
        <v>512</v>
      </c>
      <c r="E188" s="7" t="s">
        <v>512</v>
      </c>
      <c r="F188" s="7">
        <v>8184</v>
      </c>
      <c r="G188" s="7" t="s">
        <v>513</v>
      </c>
      <c r="H188" s="7">
        <v>12</v>
      </c>
      <c r="I188" s="7">
        <v>10</v>
      </c>
      <c r="J188" s="7" t="s">
        <v>514</v>
      </c>
      <c r="K188" s="7"/>
      <c r="L188" s="7" t="s">
        <v>512</v>
      </c>
      <c r="M188" s="7"/>
      <c r="N188" s="7"/>
      <c r="P188" s="7" t="s">
        <v>515</v>
      </c>
    </row>
    <row r="189" spans="1:16">
      <c r="A189" t="s">
        <v>700</v>
      </c>
      <c r="B189" s="7" t="s">
        <v>510</v>
      </c>
      <c r="C189" s="7" t="s">
        <v>511</v>
      </c>
      <c r="D189" s="7" t="s">
        <v>512</v>
      </c>
      <c r="E189" s="7" t="s">
        <v>512</v>
      </c>
      <c r="F189" s="7">
        <v>8185</v>
      </c>
      <c r="G189" s="7" t="s">
        <v>513</v>
      </c>
      <c r="H189" s="7">
        <v>12</v>
      </c>
      <c r="I189" s="7">
        <v>10</v>
      </c>
      <c r="J189" s="7" t="s">
        <v>514</v>
      </c>
      <c r="K189" s="7"/>
      <c r="L189" s="7" t="s">
        <v>512</v>
      </c>
      <c r="M189" s="7"/>
      <c r="N189" s="7"/>
      <c r="P189" s="7" t="s">
        <v>515</v>
      </c>
    </row>
    <row r="190" spans="1:16">
      <c r="A190" t="s">
        <v>701</v>
      </c>
      <c r="B190" s="7" t="s">
        <v>510</v>
      </c>
      <c r="C190" s="7" t="s">
        <v>511</v>
      </c>
      <c r="D190" s="7" t="s">
        <v>512</v>
      </c>
      <c r="E190" s="7" t="s">
        <v>512</v>
      </c>
      <c r="F190" s="7">
        <v>8186</v>
      </c>
      <c r="G190" s="7" t="s">
        <v>513</v>
      </c>
      <c r="H190" s="7">
        <v>12</v>
      </c>
      <c r="I190" s="7">
        <v>10</v>
      </c>
      <c r="J190" s="7" t="s">
        <v>514</v>
      </c>
      <c r="K190" s="7"/>
      <c r="L190" s="7" t="s">
        <v>512</v>
      </c>
      <c r="M190" s="7"/>
      <c r="N190" s="7"/>
      <c r="P190" s="7" t="s">
        <v>515</v>
      </c>
    </row>
    <row r="191" spans="1:16">
      <c r="A191" t="s">
        <v>702</v>
      </c>
      <c r="B191" s="7" t="s">
        <v>510</v>
      </c>
      <c r="C191" s="7" t="s">
        <v>511</v>
      </c>
      <c r="D191" s="7" t="s">
        <v>512</v>
      </c>
      <c r="E191" s="7" t="s">
        <v>512</v>
      </c>
      <c r="F191" s="7">
        <v>8187</v>
      </c>
      <c r="G191" s="7" t="s">
        <v>513</v>
      </c>
      <c r="H191" s="7">
        <v>12</v>
      </c>
      <c r="I191" s="7">
        <v>10</v>
      </c>
      <c r="J191" s="7" t="s">
        <v>514</v>
      </c>
      <c r="K191" s="7"/>
      <c r="L191" s="7" t="s">
        <v>512</v>
      </c>
      <c r="M191" s="7"/>
      <c r="N191" s="7"/>
      <c r="P191" s="7" t="s">
        <v>515</v>
      </c>
    </row>
    <row r="192" spans="1:16">
      <c r="A192" t="s">
        <v>703</v>
      </c>
      <c r="B192" s="7" t="s">
        <v>510</v>
      </c>
      <c r="C192" s="7" t="s">
        <v>511</v>
      </c>
      <c r="D192" s="7" t="s">
        <v>512</v>
      </c>
      <c r="E192" s="7" t="s">
        <v>512</v>
      </c>
      <c r="F192" s="7">
        <v>8188</v>
      </c>
      <c r="G192" s="7" t="s">
        <v>513</v>
      </c>
      <c r="H192" s="7">
        <v>12</v>
      </c>
      <c r="I192" s="7">
        <v>10</v>
      </c>
      <c r="J192" s="7" t="s">
        <v>514</v>
      </c>
      <c r="K192" s="7"/>
      <c r="L192" s="7" t="s">
        <v>512</v>
      </c>
      <c r="M192" s="7"/>
      <c r="N192" s="7"/>
      <c r="P192" s="7" t="s">
        <v>515</v>
      </c>
    </row>
    <row r="193" spans="1:16">
      <c r="A193" t="s">
        <v>704</v>
      </c>
      <c r="B193" s="7" t="s">
        <v>510</v>
      </c>
      <c r="C193" s="7" t="s">
        <v>511</v>
      </c>
      <c r="D193" s="7" t="s">
        <v>512</v>
      </c>
      <c r="E193" s="7" t="s">
        <v>512</v>
      </c>
      <c r="F193" s="7">
        <v>8189</v>
      </c>
      <c r="G193" s="7" t="s">
        <v>513</v>
      </c>
      <c r="H193" s="7">
        <v>12</v>
      </c>
      <c r="I193" s="7">
        <v>10</v>
      </c>
      <c r="J193" s="7" t="s">
        <v>514</v>
      </c>
      <c r="K193" s="7"/>
      <c r="L193" s="7" t="s">
        <v>512</v>
      </c>
      <c r="M193" s="7"/>
      <c r="N193" s="7"/>
      <c r="P193" s="7" t="s">
        <v>515</v>
      </c>
    </row>
    <row r="194" spans="1:16">
      <c r="A194" t="s">
        <v>705</v>
      </c>
      <c r="B194" s="7" t="s">
        <v>510</v>
      </c>
      <c r="C194" s="7" t="s">
        <v>511</v>
      </c>
      <c r="D194" s="7" t="s">
        <v>512</v>
      </c>
      <c r="E194" s="7" t="s">
        <v>512</v>
      </c>
      <c r="F194" s="7">
        <v>8190</v>
      </c>
      <c r="G194" s="7" t="s">
        <v>513</v>
      </c>
      <c r="H194" s="7">
        <v>12</v>
      </c>
      <c r="I194" s="7">
        <v>10</v>
      </c>
      <c r="J194" s="7" t="s">
        <v>514</v>
      </c>
      <c r="K194" s="7"/>
      <c r="L194" s="7" t="s">
        <v>512</v>
      </c>
      <c r="M194" s="7"/>
      <c r="N194" s="7"/>
      <c r="P194" s="7" t="s">
        <v>515</v>
      </c>
    </row>
    <row r="195" spans="1:16">
      <c r="A195" t="s">
        <v>706</v>
      </c>
      <c r="B195" s="7" t="s">
        <v>510</v>
      </c>
      <c r="C195" s="7" t="s">
        <v>511</v>
      </c>
      <c r="D195" s="7" t="s">
        <v>512</v>
      </c>
      <c r="E195" s="7" t="s">
        <v>512</v>
      </c>
      <c r="F195" s="7">
        <v>8191</v>
      </c>
      <c r="G195" s="7" t="s">
        <v>513</v>
      </c>
      <c r="H195" s="7">
        <v>12</v>
      </c>
      <c r="I195" s="7">
        <v>10</v>
      </c>
      <c r="J195" s="7" t="s">
        <v>514</v>
      </c>
      <c r="K195" s="7"/>
      <c r="L195" s="7" t="s">
        <v>512</v>
      </c>
      <c r="M195" s="7"/>
      <c r="N195" s="7"/>
      <c r="P195" s="7" t="s">
        <v>515</v>
      </c>
    </row>
    <row r="196" spans="1:16">
      <c r="A196" t="s">
        <v>707</v>
      </c>
      <c r="B196" s="7" t="s">
        <v>510</v>
      </c>
      <c r="C196" s="7" t="s">
        <v>511</v>
      </c>
      <c r="D196" s="7" t="s">
        <v>512</v>
      </c>
      <c r="E196" s="7" t="s">
        <v>512</v>
      </c>
      <c r="F196" s="7">
        <v>8192</v>
      </c>
      <c r="G196" s="7" t="s">
        <v>513</v>
      </c>
      <c r="H196" s="7">
        <v>12</v>
      </c>
      <c r="I196" s="7">
        <v>10</v>
      </c>
      <c r="J196" s="7" t="s">
        <v>514</v>
      </c>
      <c r="K196" s="7"/>
      <c r="L196" s="7" t="s">
        <v>512</v>
      </c>
      <c r="M196" s="7"/>
      <c r="N196" s="7"/>
      <c r="P196" s="7" t="s">
        <v>515</v>
      </c>
    </row>
    <row r="197" spans="1:16">
      <c r="A197" t="s">
        <v>708</v>
      </c>
      <c r="B197" s="7" t="s">
        <v>510</v>
      </c>
      <c r="C197" s="7" t="s">
        <v>511</v>
      </c>
      <c r="D197" s="7" t="s">
        <v>512</v>
      </c>
      <c r="E197" s="7" t="s">
        <v>512</v>
      </c>
      <c r="F197" s="7">
        <v>8193</v>
      </c>
      <c r="G197" s="7" t="s">
        <v>513</v>
      </c>
      <c r="H197" s="7">
        <v>12</v>
      </c>
      <c r="I197" s="7">
        <v>10</v>
      </c>
      <c r="J197" s="7" t="s">
        <v>514</v>
      </c>
      <c r="K197" s="7"/>
      <c r="L197" s="7" t="s">
        <v>512</v>
      </c>
      <c r="M197" s="7"/>
      <c r="N197" s="7"/>
      <c r="P197" s="7" t="s">
        <v>515</v>
      </c>
    </row>
    <row r="198" spans="1:16">
      <c r="A198" t="s">
        <v>709</v>
      </c>
      <c r="B198" s="7" t="s">
        <v>510</v>
      </c>
      <c r="C198" s="7" t="s">
        <v>511</v>
      </c>
      <c r="D198" s="7" t="s">
        <v>512</v>
      </c>
      <c r="E198" s="7" t="s">
        <v>512</v>
      </c>
      <c r="F198" s="7">
        <v>8194</v>
      </c>
      <c r="G198" s="7" t="s">
        <v>513</v>
      </c>
      <c r="H198" s="7">
        <v>12</v>
      </c>
      <c r="I198" s="7">
        <v>10</v>
      </c>
      <c r="J198" s="7" t="s">
        <v>514</v>
      </c>
      <c r="K198" s="7"/>
      <c r="L198" s="7" t="s">
        <v>512</v>
      </c>
      <c r="M198" s="7"/>
      <c r="N198" s="7"/>
      <c r="P198" s="7" t="s">
        <v>515</v>
      </c>
    </row>
    <row r="199" spans="1:16">
      <c r="A199" t="s">
        <v>710</v>
      </c>
      <c r="B199" s="7" t="s">
        <v>510</v>
      </c>
      <c r="C199" s="7" t="s">
        <v>511</v>
      </c>
      <c r="D199" s="7" t="s">
        <v>512</v>
      </c>
      <c r="E199" s="7" t="s">
        <v>512</v>
      </c>
      <c r="F199" s="7">
        <v>8195</v>
      </c>
      <c r="G199" s="7" t="s">
        <v>513</v>
      </c>
      <c r="H199" s="7">
        <v>12</v>
      </c>
      <c r="I199" s="7">
        <v>10</v>
      </c>
      <c r="J199" s="7" t="s">
        <v>514</v>
      </c>
      <c r="K199" s="7"/>
      <c r="L199" s="7" t="s">
        <v>512</v>
      </c>
      <c r="M199" s="7"/>
      <c r="N199" s="7"/>
      <c r="P199" s="7" t="s">
        <v>515</v>
      </c>
    </row>
    <row r="200" spans="1:16">
      <c r="A200" t="s">
        <v>711</v>
      </c>
      <c r="B200" s="7" t="s">
        <v>510</v>
      </c>
      <c r="C200" s="7" t="s">
        <v>511</v>
      </c>
      <c r="D200" s="7" t="s">
        <v>512</v>
      </c>
      <c r="E200" s="7" t="s">
        <v>512</v>
      </c>
      <c r="F200" s="7">
        <v>8196</v>
      </c>
      <c r="G200" s="7" t="s">
        <v>513</v>
      </c>
      <c r="H200" s="7">
        <v>12</v>
      </c>
      <c r="I200" s="7">
        <v>10</v>
      </c>
      <c r="J200" s="7" t="s">
        <v>514</v>
      </c>
      <c r="K200" s="7"/>
      <c r="L200" s="7" t="s">
        <v>512</v>
      </c>
      <c r="M200" s="7"/>
      <c r="N200" s="7"/>
      <c r="P200" s="7" t="s">
        <v>515</v>
      </c>
    </row>
    <row r="201" spans="1:16">
      <c r="A201" t="s">
        <v>712</v>
      </c>
      <c r="B201" s="7" t="s">
        <v>510</v>
      </c>
      <c r="C201" s="7" t="s">
        <v>511</v>
      </c>
      <c r="D201" s="7" t="s">
        <v>512</v>
      </c>
      <c r="E201" s="7" t="s">
        <v>512</v>
      </c>
      <c r="F201" s="7">
        <v>8197</v>
      </c>
      <c r="G201" s="7" t="s">
        <v>513</v>
      </c>
      <c r="H201" s="7">
        <v>12</v>
      </c>
      <c r="I201" s="7">
        <v>10</v>
      </c>
      <c r="J201" s="7" t="s">
        <v>514</v>
      </c>
      <c r="K201" s="7"/>
      <c r="L201" s="7" t="s">
        <v>512</v>
      </c>
      <c r="N201" s="7"/>
      <c r="P201" s="7" t="s">
        <v>515</v>
      </c>
    </row>
    <row r="202" spans="1:16">
      <c r="A202" s="7" t="s">
        <v>713</v>
      </c>
      <c r="B202" s="7" t="s">
        <v>510</v>
      </c>
      <c r="C202" s="7" t="s">
        <v>511</v>
      </c>
      <c r="D202" s="7" t="s">
        <v>512</v>
      </c>
      <c r="E202" s="7" t="s">
        <v>512</v>
      </c>
      <c r="F202">
        <v>8198</v>
      </c>
      <c r="G202" s="7" t="s">
        <v>513</v>
      </c>
      <c r="H202" s="7">
        <v>12</v>
      </c>
      <c r="I202" s="7">
        <v>10</v>
      </c>
      <c r="J202" s="7" t="s">
        <v>514</v>
      </c>
      <c r="K202" s="7"/>
      <c r="L202" s="7" t="s">
        <v>512</v>
      </c>
      <c r="N202" s="7"/>
      <c r="P202" s="7" t="s">
        <v>515</v>
      </c>
    </row>
  </sheetData>
  <hyperlinks>
    <hyperlink ref="B1" r:id="rId1" display="https://help.mypurecloud.com/articles/about-groups/" xr:uid="{6139A21A-1F50-4C78-AE99-07F053268587}"/>
    <hyperlink ref="B2" r:id="rId2" display="https://help.mypurecloud.com/articles/setting-groups-admins/" xr:uid="{1F882CC4-E0AB-485C-AFE3-E5CB7466534F}"/>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56B86-207D-410C-A679-6F2CBFF53C75}">
  <sheetPr>
    <tabColor rgb="FF92D050"/>
  </sheetPr>
  <dimension ref="A1:P202"/>
  <sheetViews>
    <sheetView workbookViewId="0">
      <pane ySplit="3" topLeftCell="A48" activePane="bottomLeft" state="frozen"/>
      <selection pane="bottomLeft" activeCell="A185" sqref="A185"/>
    </sheetView>
  </sheetViews>
  <sheetFormatPr defaultColWidth="9.140625" defaultRowHeight="15"/>
  <cols>
    <col min="1" max="1" width="44.7109375" bestFit="1" customWidth="1"/>
    <col min="2" max="2" width="11.7109375" customWidth="1"/>
    <col min="3" max="3" width="29.42578125" customWidth="1"/>
    <col min="4" max="4" width="19.28515625" customWidth="1"/>
    <col min="5" max="5" width="21.140625" customWidth="1"/>
    <col min="6" max="6" width="21" customWidth="1"/>
    <col min="7" max="7" width="16.5703125" customWidth="1"/>
    <col min="8" max="8" width="14.5703125" customWidth="1"/>
    <col min="9" max="9" width="13.7109375" customWidth="1"/>
    <col min="11" max="11" width="17.5703125" customWidth="1"/>
    <col min="13" max="13" width="16.85546875" customWidth="1"/>
    <col min="14" max="14" width="20.42578125" customWidth="1"/>
    <col min="15" max="15" width="39.85546875" style="31" customWidth="1"/>
    <col min="16" max="16" width="76.28515625" style="31" customWidth="1"/>
  </cols>
  <sheetData>
    <row r="1" spans="1:16" ht="18.75">
      <c r="A1" s="16" t="s">
        <v>466</v>
      </c>
      <c r="B1" s="5" t="s">
        <v>503</v>
      </c>
    </row>
    <row r="2" spans="1:16">
      <c r="B2" s="5" t="s">
        <v>504</v>
      </c>
    </row>
    <row r="3" spans="1:16" ht="30">
      <c r="A3" s="21" t="s">
        <v>468</v>
      </c>
      <c r="B3" s="21" t="s">
        <v>264</v>
      </c>
      <c r="C3" s="21" t="s">
        <v>505</v>
      </c>
      <c r="D3" s="21" t="s">
        <v>506</v>
      </c>
      <c r="E3" s="21" t="s">
        <v>476</v>
      </c>
      <c r="F3" s="21" t="s">
        <v>478</v>
      </c>
      <c r="G3" s="21" t="s">
        <v>507</v>
      </c>
      <c r="H3" s="21" t="s">
        <v>482</v>
      </c>
      <c r="I3" s="21" t="s">
        <v>485</v>
      </c>
      <c r="J3" s="21" t="s">
        <v>488</v>
      </c>
      <c r="K3" s="21" t="s">
        <v>508</v>
      </c>
      <c r="L3" s="21" t="s">
        <v>412</v>
      </c>
      <c r="M3" s="21" t="s">
        <v>491</v>
      </c>
      <c r="N3" s="21" t="s">
        <v>493</v>
      </c>
      <c r="O3" s="153" t="s">
        <v>495</v>
      </c>
      <c r="P3" s="153" t="s">
        <v>502</v>
      </c>
    </row>
    <row r="4" spans="1:16" ht="70.5" customHeight="1">
      <c r="A4" s="165" t="s">
        <v>509</v>
      </c>
      <c r="B4" s="7" t="s">
        <v>510</v>
      </c>
      <c r="C4" s="7" t="s">
        <v>511</v>
      </c>
      <c r="D4" s="7" t="s">
        <v>512</v>
      </c>
      <c r="E4" s="7" t="s">
        <v>512</v>
      </c>
      <c r="F4" s="7">
        <v>8000</v>
      </c>
      <c r="G4" s="7" t="s">
        <v>513</v>
      </c>
      <c r="H4" s="7">
        <v>12</v>
      </c>
      <c r="I4" s="7">
        <v>10</v>
      </c>
      <c r="J4" s="7" t="s">
        <v>514</v>
      </c>
      <c r="K4" s="7"/>
      <c r="L4" s="7" t="s">
        <v>512</v>
      </c>
      <c r="M4" s="7"/>
      <c r="N4" s="7"/>
      <c r="O4" s="166" t="s">
        <v>714</v>
      </c>
      <c r="P4" s="167" t="s">
        <v>715</v>
      </c>
    </row>
    <row r="5" spans="1:16" ht="30">
      <c r="A5" s="165" t="s">
        <v>516</v>
      </c>
      <c r="B5" s="7" t="s">
        <v>510</v>
      </c>
      <c r="C5" s="7" t="s">
        <v>511</v>
      </c>
      <c r="D5" s="7" t="s">
        <v>512</v>
      </c>
      <c r="E5" s="7" t="s">
        <v>512</v>
      </c>
      <c r="F5" s="7">
        <v>8001</v>
      </c>
      <c r="G5" s="7" t="s">
        <v>513</v>
      </c>
      <c r="H5" s="7">
        <v>12</v>
      </c>
      <c r="I5" s="7">
        <v>10</v>
      </c>
      <c r="J5" s="7" t="s">
        <v>514</v>
      </c>
      <c r="K5" s="7"/>
      <c r="L5" s="7" t="s">
        <v>512</v>
      </c>
      <c r="M5" s="7"/>
      <c r="N5" s="7"/>
      <c r="O5" s="166" t="s">
        <v>716</v>
      </c>
      <c r="P5" s="167" t="s">
        <v>715</v>
      </c>
    </row>
    <row r="6" spans="1:16" ht="38.25">
      <c r="A6" s="165" t="s">
        <v>517</v>
      </c>
      <c r="B6" s="7" t="s">
        <v>510</v>
      </c>
      <c r="C6" s="7" t="s">
        <v>511</v>
      </c>
      <c r="D6" s="7" t="s">
        <v>512</v>
      </c>
      <c r="E6" s="7" t="s">
        <v>512</v>
      </c>
      <c r="F6" s="7">
        <v>8002</v>
      </c>
      <c r="G6" s="7" t="s">
        <v>513</v>
      </c>
      <c r="H6" s="7">
        <v>12</v>
      </c>
      <c r="I6" s="7">
        <v>10</v>
      </c>
      <c r="J6" s="7" t="s">
        <v>514</v>
      </c>
      <c r="K6" s="7"/>
      <c r="L6" s="7" t="s">
        <v>512</v>
      </c>
      <c r="M6" s="7"/>
      <c r="N6" s="7"/>
      <c r="O6" s="166" t="s">
        <v>717</v>
      </c>
      <c r="P6" s="167" t="s">
        <v>715</v>
      </c>
    </row>
    <row r="7" spans="1:16" ht="51">
      <c r="A7" s="165" t="s">
        <v>518</v>
      </c>
      <c r="B7" s="7" t="s">
        <v>510</v>
      </c>
      <c r="C7" s="7" t="s">
        <v>511</v>
      </c>
      <c r="D7" s="7" t="s">
        <v>512</v>
      </c>
      <c r="E7" s="7" t="s">
        <v>512</v>
      </c>
      <c r="F7" s="7">
        <v>8003</v>
      </c>
      <c r="G7" s="7" t="s">
        <v>513</v>
      </c>
      <c r="H7" s="7">
        <v>12</v>
      </c>
      <c r="I7" s="7">
        <v>10</v>
      </c>
      <c r="J7" s="7" t="s">
        <v>514</v>
      </c>
      <c r="K7" s="7"/>
      <c r="L7" s="7" t="s">
        <v>512</v>
      </c>
      <c r="M7" s="7"/>
      <c r="N7" s="7"/>
      <c r="O7" s="166" t="s">
        <v>718</v>
      </c>
      <c r="P7" s="167" t="s">
        <v>715</v>
      </c>
    </row>
    <row r="8" spans="1:16" ht="76.5">
      <c r="A8" s="165" t="s">
        <v>519</v>
      </c>
      <c r="B8" s="7" t="s">
        <v>510</v>
      </c>
      <c r="C8" s="7" t="s">
        <v>511</v>
      </c>
      <c r="D8" s="7" t="s">
        <v>512</v>
      </c>
      <c r="E8" s="7" t="s">
        <v>512</v>
      </c>
      <c r="F8" s="7">
        <v>8004</v>
      </c>
      <c r="G8" s="7" t="s">
        <v>513</v>
      </c>
      <c r="H8" s="7">
        <v>12</v>
      </c>
      <c r="I8" s="7">
        <v>10</v>
      </c>
      <c r="J8" s="7" t="s">
        <v>514</v>
      </c>
      <c r="K8" s="7"/>
      <c r="L8" s="7" t="s">
        <v>512</v>
      </c>
      <c r="M8" s="7"/>
      <c r="N8" s="7"/>
      <c r="O8" s="166" t="s">
        <v>719</v>
      </c>
      <c r="P8" s="167" t="s">
        <v>715</v>
      </c>
    </row>
    <row r="9" spans="1:16" ht="127.5">
      <c r="A9" s="165" t="s">
        <v>520</v>
      </c>
      <c r="B9" s="7" t="s">
        <v>510</v>
      </c>
      <c r="C9" s="7" t="s">
        <v>511</v>
      </c>
      <c r="D9" s="7" t="s">
        <v>512</v>
      </c>
      <c r="E9" s="7" t="s">
        <v>512</v>
      </c>
      <c r="F9" s="7">
        <v>8005</v>
      </c>
      <c r="G9" s="7" t="s">
        <v>513</v>
      </c>
      <c r="H9" s="7">
        <v>12</v>
      </c>
      <c r="I9" s="7">
        <v>10</v>
      </c>
      <c r="J9" s="7" t="s">
        <v>514</v>
      </c>
      <c r="K9" s="7"/>
      <c r="L9" s="7" t="s">
        <v>512</v>
      </c>
      <c r="M9" s="7"/>
      <c r="N9" s="7"/>
      <c r="O9" s="166" t="s">
        <v>720</v>
      </c>
      <c r="P9" s="167" t="s">
        <v>715</v>
      </c>
    </row>
    <row r="10" spans="1:16" ht="51">
      <c r="A10" s="165" t="s">
        <v>521</v>
      </c>
      <c r="B10" s="7" t="s">
        <v>510</v>
      </c>
      <c r="C10" s="7" t="s">
        <v>511</v>
      </c>
      <c r="D10" s="7" t="s">
        <v>512</v>
      </c>
      <c r="E10" s="7" t="s">
        <v>512</v>
      </c>
      <c r="F10" s="7">
        <v>8006</v>
      </c>
      <c r="G10" s="7" t="s">
        <v>513</v>
      </c>
      <c r="H10" s="7">
        <v>12</v>
      </c>
      <c r="I10" s="7">
        <v>10</v>
      </c>
      <c r="J10" s="7" t="s">
        <v>514</v>
      </c>
      <c r="K10" s="7"/>
      <c r="L10" s="7" t="s">
        <v>512</v>
      </c>
      <c r="M10" s="7"/>
      <c r="N10" s="7"/>
      <c r="O10" s="166" t="s">
        <v>721</v>
      </c>
      <c r="P10" s="167" t="s">
        <v>715</v>
      </c>
    </row>
    <row r="11" spans="1:16" ht="30">
      <c r="A11" s="165" t="s">
        <v>522</v>
      </c>
      <c r="B11" s="7" t="s">
        <v>510</v>
      </c>
      <c r="C11" s="7" t="s">
        <v>511</v>
      </c>
      <c r="D11" s="7" t="s">
        <v>512</v>
      </c>
      <c r="E11" s="7" t="s">
        <v>512</v>
      </c>
      <c r="F11" s="7">
        <v>8007</v>
      </c>
      <c r="G11" s="7" t="s">
        <v>513</v>
      </c>
      <c r="H11" s="7">
        <v>12</v>
      </c>
      <c r="I11" s="7">
        <v>10</v>
      </c>
      <c r="J11" s="7" t="s">
        <v>514</v>
      </c>
      <c r="K11" s="7"/>
      <c r="L11" s="7" t="s">
        <v>512</v>
      </c>
      <c r="M11" s="7"/>
      <c r="N11" s="7"/>
      <c r="O11" s="166" t="s">
        <v>722</v>
      </c>
      <c r="P11" s="167" t="s">
        <v>715</v>
      </c>
    </row>
    <row r="12" spans="1:16" ht="51">
      <c r="A12" s="165" t="s">
        <v>523</v>
      </c>
      <c r="B12" s="7" t="s">
        <v>510</v>
      </c>
      <c r="C12" s="7" t="s">
        <v>511</v>
      </c>
      <c r="D12" s="7" t="s">
        <v>512</v>
      </c>
      <c r="E12" s="7" t="s">
        <v>512</v>
      </c>
      <c r="F12" s="7">
        <v>8008</v>
      </c>
      <c r="G12" s="7" t="s">
        <v>513</v>
      </c>
      <c r="H12" s="7">
        <v>12</v>
      </c>
      <c r="I12" s="7">
        <v>10</v>
      </c>
      <c r="J12" s="7" t="s">
        <v>514</v>
      </c>
      <c r="K12" s="7"/>
      <c r="L12" s="7" t="s">
        <v>512</v>
      </c>
      <c r="M12" s="7"/>
      <c r="N12" s="7"/>
      <c r="O12" s="166" t="s">
        <v>723</v>
      </c>
      <c r="P12" s="167" t="s">
        <v>715</v>
      </c>
    </row>
    <row r="13" spans="1:16" ht="153">
      <c r="A13" s="165" t="s">
        <v>524</v>
      </c>
      <c r="B13" s="7" t="s">
        <v>510</v>
      </c>
      <c r="C13" s="7" t="s">
        <v>511</v>
      </c>
      <c r="D13" s="7" t="s">
        <v>512</v>
      </c>
      <c r="E13" s="7" t="s">
        <v>512</v>
      </c>
      <c r="F13" s="7">
        <v>8009</v>
      </c>
      <c r="G13" s="7" t="s">
        <v>513</v>
      </c>
      <c r="H13" s="7">
        <v>12</v>
      </c>
      <c r="I13" s="7">
        <v>10</v>
      </c>
      <c r="J13" s="7" t="s">
        <v>514</v>
      </c>
      <c r="K13" s="7"/>
      <c r="L13" s="7" t="s">
        <v>512</v>
      </c>
      <c r="M13" s="7"/>
      <c r="N13" s="7"/>
      <c r="O13" s="166" t="s">
        <v>724</v>
      </c>
      <c r="P13" s="167" t="s">
        <v>715</v>
      </c>
    </row>
    <row r="14" spans="1:16" ht="76.5">
      <c r="A14" s="165" t="s">
        <v>525</v>
      </c>
      <c r="B14" s="7" t="s">
        <v>510</v>
      </c>
      <c r="C14" s="7" t="s">
        <v>511</v>
      </c>
      <c r="D14" s="7" t="s">
        <v>512</v>
      </c>
      <c r="E14" s="7" t="s">
        <v>512</v>
      </c>
      <c r="F14" s="7">
        <v>8010</v>
      </c>
      <c r="G14" s="7" t="s">
        <v>513</v>
      </c>
      <c r="H14" s="7">
        <v>12</v>
      </c>
      <c r="I14" s="7">
        <v>10</v>
      </c>
      <c r="J14" s="7" t="s">
        <v>514</v>
      </c>
      <c r="K14" s="7"/>
      <c r="L14" s="7" t="s">
        <v>512</v>
      </c>
      <c r="M14" s="7"/>
      <c r="N14" s="7"/>
      <c r="O14" s="166" t="s">
        <v>725</v>
      </c>
      <c r="P14" s="167" t="s">
        <v>715</v>
      </c>
    </row>
    <row r="15" spans="1:16" ht="63.75">
      <c r="A15" s="165" t="s">
        <v>526</v>
      </c>
      <c r="B15" s="7" t="s">
        <v>510</v>
      </c>
      <c r="C15" s="7" t="s">
        <v>511</v>
      </c>
      <c r="D15" s="7" t="s">
        <v>512</v>
      </c>
      <c r="E15" s="7" t="s">
        <v>512</v>
      </c>
      <c r="F15" s="7">
        <v>8011</v>
      </c>
      <c r="G15" s="7" t="s">
        <v>513</v>
      </c>
      <c r="H15" s="7">
        <v>12</v>
      </c>
      <c r="I15" s="7">
        <v>10</v>
      </c>
      <c r="J15" s="7" t="s">
        <v>514</v>
      </c>
      <c r="K15" s="7"/>
      <c r="L15" s="7" t="s">
        <v>512</v>
      </c>
      <c r="M15" s="7"/>
      <c r="N15" s="7"/>
      <c r="O15" s="166" t="s">
        <v>726</v>
      </c>
      <c r="P15" s="167" t="s">
        <v>715</v>
      </c>
    </row>
    <row r="16" spans="1:16" ht="51">
      <c r="A16" s="165" t="s">
        <v>527</v>
      </c>
      <c r="B16" s="7" t="s">
        <v>510</v>
      </c>
      <c r="C16" s="7" t="s">
        <v>511</v>
      </c>
      <c r="D16" s="7" t="s">
        <v>512</v>
      </c>
      <c r="E16" s="7" t="s">
        <v>512</v>
      </c>
      <c r="F16" s="7">
        <v>8012</v>
      </c>
      <c r="G16" s="7" t="s">
        <v>513</v>
      </c>
      <c r="H16" s="7">
        <v>12</v>
      </c>
      <c r="I16" s="7">
        <v>10</v>
      </c>
      <c r="J16" s="7" t="s">
        <v>514</v>
      </c>
      <c r="K16" s="7"/>
      <c r="L16" s="7" t="s">
        <v>512</v>
      </c>
      <c r="M16" s="7"/>
      <c r="N16" s="7"/>
      <c r="O16" s="166" t="s">
        <v>727</v>
      </c>
      <c r="P16" s="167" t="s">
        <v>715</v>
      </c>
    </row>
    <row r="17" spans="1:16" ht="102">
      <c r="A17" s="165" t="s">
        <v>528</v>
      </c>
      <c r="B17" s="7" t="s">
        <v>510</v>
      </c>
      <c r="C17" s="7" t="s">
        <v>511</v>
      </c>
      <c r="D17" s="7" t="s">
        <v>512</v>
      </c>
      <c r="E17" s="7" t="s">
        <v>512</v>
      </c>
      <c r="F17" s="7">
        <v>8013</v>
      </c>
      <c r="G17" s="7" t="s">
        <v>513</v>
      </c>
      <c r="H17" s="7">
        <v>12</v>
      </c>
      <c r="I17" s="7">
        <v>10</v>
      </c>
      <c r="J17" s="7" t="s">
        <v>514</v>
      </c>
      <c r="K17" s="7"/>
      <c r="L17" s="7" t="s">
        <v>512</v>
      </c>
      <c r="M17" s="7"/>
      <c r="N17" s="7"/>
      <c r="O17" s="166" t="s">
        <v>728</v>
      </c>
      <c r="P17" s="167" t="s">
        <v>715</v>
      </c>
    </row>
    <row r="18" spans="1:16" ht="63.75">
      <c r="A18" s="165" t="s">
        <v>529</v>
      </c>
      <c r="B18" s="7" t="s">
        <v>510</v>
      </c>
      <c r="C18" s="7" t="s">
        <v>511</v>
      </c>
      <c r="D18" s="7" t="s">
        <v>512</v>
      </c>
      <c r="E18" s="7" t="s">
        <v>512</v>
      </c>
      <c r="F18" s="7">
        <v>8014</v>
      </c>
      <c r="G18" s="7" t="s">
        <v>513</v>
      </c>
      <c r="H18" s="7">
        <v>12</v>
      </c>
      <c r="I18" s="7">
        <v>10</v>
      </c>
      <c r="J18" s="7" t="s">
        <v>514</v>
      </c>
      <c r="K18" s="7"/>
      <c r="L18" s="7" t="s">
        <v>512</v>
      </c>
      <c r="M18" s="7"/>
      <c r="N18" s="7"/>
      <c r="O18" s="166" t="s">
        <v>729</v>
      </c>
      <c r="P18" s="167" t="s">
        <v>715</v>
      </c>
    </row>
    <row r="19" spans="1:16" ht="38.25">
      <c r="A19" s="165" t="s">
        <v>530</v>
      </c>
      <c r="B19" s="7" t="s">
        <v>510</v>
      </c>
      <c r="C19" s="7" t="s">
        <v>511</v>
      </c>
      <c r="D19" s="7" t="s">
        <v>512</v>
      </c>
      <c r="E19" s="7" t="s">
        <v>512</v>
      </c>
      <c r="F19" s="7">
        <v>8015</v>
      </c>
      <c r="G19" s="7" t="s">
        <v>513</v>
      </c>
      <c r="H19" s="7">
        <v>12</v>
      </c>
      <c r="I19" s="7">
        <v>10</v>
      </c>
      <c r="J19" s="7" t="s">
        <v>514</v>
      </c>
      <c r="K19" s="7"/>
      <c r="L19" s="7" t="s">
        <v>512</v>
      </c>
      <c r="M19" s="7"/>
      <c r="N19" s="7"/>
      <c r="O19" s="166" t="s">
        <v>730</v>
      </c>
      <c r="P19" s="167" t="s">
        <v>715</v>
      </c>
    </row>
    <row r="20" spans="1:16" ht="38.25">
      <c r="A20" s="165" t="s">
        <v>531</v>
      </c>
      <c r="B20" s="7" t="s">
        <v>510</v>
      </c>
      <c r="C20" s="7" t="s">
        <v>511</v>
      </c>
      <c r="D20" s="7" t="s">
        <v>512</v>
      </c>
      <c r="E20" s="7" t="s">
        <v>512</v>
      </c>
      <c r="F20" s="7">
        <v>8016</v>
      </c>
      <c r="G20" s="7" t="s">
        <v>513</v>
      </c>
      <c r="H20" s="7">
        <v>12</v>
      </c>
      <c r="I20" s="7">
        <v>10</v>
      </c>
      <c r="J20" s="7" t="s">
        <v>514</v>
      </c>
      <c r="K20" s="7"/>
      <c r="L20" s="7" t="s">
        <v>512</v>
      </c>
      <c r="M20" s="7"/>
      <c r="N20" s="7"/>
      <c r="O20" s="166" t="s">
        <v>730</v>
      </c>
      <c r="P20" s="167" t="s">
        <v>715</v>
      </c>
    </row>
    <row r="21" spans="1:16" ht="51">
      <c r="A21" s="165" t="s">
        <v>532</v>
      </c>
      <c r="B21" s="7" t="s">
        <v>510</v>
      </c>
      <c r="C21" s="7" t="s">
        <v>511</v>
      </c>
      <c r="D21" s="7" t="s">
        <v>512</v>
      </c>
      <c r="E21" s="7" t="s">
        <v>512</v>
      </c>
      <c r="F21" s="7">
        <v>8017</v>
      </c>
      <c r="G21" s="7" t="s">
        <v>513</v>
      </c>
      <c r="H21" s="7">
        <v>12</v>
      </c>
      <c r="I21" s="7">
        <v>10</v>
      </c>
      <c r="J21" s="7" t="s">
        <v>514</v>
      </c>
      <c r="K21" s="7"/>
      <c r="L21" s="7" t="s">
        <v>512</v>
      </c>
      <c r="M21" s="7"/>
      <c r="N21" s="7"/>
      <c r="O21" s="166" t="s">
        <v>731</v>
      </c>
      <c r="P21" s="167" t="s">
        <v>715</v>
      </c>
    </row>
    <row r="22" spans="1:16" ht="38.25">
      <c r="A22" s="165" t="s">
        <v>533</v>
      </c>
      <c r="B22" s="7" t="s">
        <v>510</v>
      </c>
      <c r="C22" s="7" t="s">
        <v>511</v>
      </c>
      <c r="D22" s="7" t="s">
        <v>512</v>
      </c>
      <c r="E22" s="7" t="s">
        <v>512</v>
      </c>
      <c r="F22" s="7">
        <v>8018</v>
      </c>
      <c r="G22" s="7" t="s">
        <v>513</v>
      </c>
      <c r="H22" s="7">
        <v>12</v>
      </c>
      <c r="I22" s="7">
        <v>10</v>
      </c>
      <c r="J22" s="7" t="s">
        <v>514</v>
      </c>
      <c r="K22" s="7"/>
      <c r="L22" s="7" t="s">
        <v>512</v>
      </c>
      <c r="M22" s="7"/>
      <c r="N22" s="7"/>
      <c r="O22" s="166" t="s">
        <v>732</v>
      </c>
      <c r="P22" s="167" t="s">
        <v>715</v>
      </c>
    </row>
    <row r="23" spans="1:16" ht="63.75">
      <c r="A23" s="7" t="s">
        <v>534</v>
      </c>
      <c r="B23" s="7" t="s">
        <v>510</v>
      </c>
      <c r="C23" s="7" t="s">
        <v>511</v>
      </c>
      <c r="D23" s="7" t="s">
        <v>512</v>
      </c>
      <c r="E23" s="7" t="s">
        <v>512</v>
      </c>
      <c r="F23" s="7">
        <v>8019</v>
      </c>
      <c r="G23" s="7" t="s">
        <v>513</v>
      </c>
      <c r="H23" s="7">
        <v>12</v>
      </c>
      <c r="I23" s="7">
        <v>10</v>
      </c>
      <c r="J23" s="7" t="s">
        <v>514</v>
      </c>
      <c r="K23" s="7"/>
      <c r="L23" s="7" t="s">
        <v>512</v>
      </c>
      <c r="M23" s="7"/>
      <c r="N23" s="7"/>
      <c r="O23" s="166" t="s">
        <v>733</v>
      </c>
      <c r="P23" s="167" t="s">
        <v>715</v>
      </c>
    </row>
    <row r="24" spans="1:16" ht="30">
      <c r="A24" s="7" t="s">
        <v>535</v>
      </c>
      <c r="B24" s="7" t="s">
        <v>510</v>
      </c>
      <c r="C24" s="7" t="s">
        <v>511</v>
      </c>
      <c r="D24" s="7" t="s">
        <v>512</v>
      </c>
      <c r="E24" s="7" t="s">
        <v>512</v>
      </c>
      <c r="F24" s="7">
        <v>8020</v>
      </c>
      <c r="G24" s="7" t="s">
        <v>513</v>
      </c>
      <c r="H24" s="7">
        <v>12</v>
      </c>
      <c r="I24" s="7">
        <v>10</v>
      </c>
      <c r="J24" s="7" t="s">
        <v>514</v>
      </c>
      <c r="K24" s="7"/>
      <c r="L24" s="7" t="s">
        <v>512</v>
      </c>
      <c r="M24" s="7"/>
      <c r="N24" s="7"/>
      <c r="O24" s="166"/>
      <c r="P24" s="167" t="s">
        <v>715</v>
      </c>
    </row>
    <row r="25" spans="1:16" ht="318.75">
      <c r="A25" s="165" t="s">
        <v>734</v>
      </c>
      <c r="B25" s="7" t="s">
        <v>510</v>
      </c>
      <c r="C25" s="7" t="s">
        <v>511</v>
      </c>
      <c r="D25" s="7" t="s">
        <v>512</v>
      </c>
      <c r="E25" s="7" t="s">
        <v>512</v>
      </c>
      <c r="F25" s="7">
        <v>8021</v>
      </c>
      <c r="G25" s="7" t="s">
        <v>513</v>
      </c>
      <c r="H25" s="7">
        <v>12</v>
      </c>
      <c r="I25" s="7">
        <v>10</v>
      </c>
      <c r="J25" s="7" t="s">
        <v>514</v>
      </c>
      <c r="K25" s="7"/>
      <c r="L25" s="7" t="s">
        <v>512</v>
      </c>
      <c r="M25" s="7"/>
      <c r="N25" s="7"/>
      <c r="O25" s="166" t="s">
        <v>735</v>
      </c>
      <c r="P25" s="167" t="s">
        <v>715</v>
      </c>
    </row>
    <row r="26" spans="1:16" ht="30">
      <c r="A26" s="7" t="s">
        <v>537</v>
      </c>
      <c r="B26" s="7" t="s">
        <v>510</v>
      </c>
      <c r="C26" s="7" t="s">
        <v>511</v>
      </c>
      <c r="D26" s="7" t="s">
        <v>512</v>
      </c>
      <c r="E26" s="7" t="s">
        <v>512</v>
      </c>
      <c r="F26" s="7">
        <v>8022</v>
      </c>
      <c r="G26" s="7" t="s">
        <v>513</v>
      </c>
      <c r="H26" s="7">
        <v>12</v>
      </c>
      <c r="I26" s="7">
        <v>10</v>
      </c>
      <c r="J26" s="7" t="s">
        <v>514</v>
      </c>
      <c r="K26" s="7"/>
      <c r="L26" s="7" t="s">
        <v>512</v>
      </c>
      <c r="M26" s="7"/>
      <c r="N26" s="7"/>
      <c r="O26" s="166"/>
      <c r="P26" s="167" t="s">
        <v>715</v>
      </c>
    </row>
    <row r="27" spans="1:16" ht="90">
      <c r="A27" s="165" t="s">
        <v>538</v>
      </c>
      <c r="B27" s="7" t="s">
        <v>510</v>
      </c>
      <c r="C27" s="7" t="s">
        <v>511</v>
      </c>
      <c r="D27" s="7" t="s">
        <v>512</v>
      </c>
      <c r="E27" s="7" t="s">
        <v>512</v>
      </c>
      <c r="F27" s="7">
        <v>8023</v>
      </c>
      <c r="G27" s="7" t="s">
        <v>513</v>
      </c>
      <c r="H27" s="7">
        <v>12</v>
      </c>
      <c r="I27" s="7">
        <v>10</v>
      </c>
      <c r="J27" s="7" t="s">
        <v>514</v>
      </c>
      <c r="K27" s="7"/>
      <c r="L27" s="7" t="s">
        <v>512</v>
      </c>
      <c r="M27" s="7"/>
      <c r="N27" s="7"/>
      <c r="O27" s="168" t="s">
        <v>736</v>
      </c>
      <c r="P27" s="167" t="s">
        <v>715</v>
      </c>
    </row>
    <row r="28" spans="1:16" ht="63.75">
      <c r="A28" s="165" t="s">
        <v>539</v>
      </c>
      <c r="B28" s="7" t="s">
        <v>510</v>
      </c>
      <c r="C28" s="7" t="s">
        <v>511</v>
      </c>
      <c r="D28" s="7" t="s">
        <v>512</v>
      </c>
      <c r="E28" s="7" t="s">
        <v>512</v>
      </c>
      <c r="F28" s="7">
        <v>8024</v>
      </c>
      <c r="G28" s="7" t="s">
        <v>513</v>
      </c>
      <c r="H28" s="7">
        <v>12</v>
      </c>
      <c r="I28" s="7">
        <v>10</v>
      </c>
      <c r="J28" s="7" t="s">
        <v>514</v>
      </c>
      <c r="K28" s="7"/>
      <c r="L28" s="7" t="s">
        <v>512</v>
      </c>
      <c r="M28" s="7"/>
      <c r="N28" s="7"/>
      <c r="O28" s="166" t="s">
        <v>736</v>
      </c>
      <c r="P28" s="167" t="s">
        <v>715</v>
      </c>
    </row>
    <row r="29" spans="1:16" ht="63.75">
      <c r="A29" s="165" t="s">
        <v>540</v>
      </c>
      <c r="B29" s="7" t="s">
        <v>510</v>
      </c>
      <c r="C29" s="7" t="s">
        <v>511</v>
      </c>
      <c r="D29" s="7" t="s">
        <v>512</v>
      </c>
      <c r="E29" s="7" t="s">
        <v>512</v>
      </c>
      <c r="F29" s="7">
        <v>8025</v>
      </c>
      <c r="G29" s="7" t="s">
        <v>513</v>
      </c>
      <c r="H29" s="7">
        <v>12</v>
      </c>
      <c r="I29" s="7">
        <v>10</v>
      </c>
      <c r="J29" s="7" t="s">
        <v>514</v>
      </c>
      <c r="K29" s="7"/>
      <c r="L29" s="7" t="s">
        <v>512</v>
      </c>
      <c r="M29" s="7"/>
      <c r="N29" s="7"/>
      <c r="O29" s="166" t="s">
        <v>736</v>
      </c>
      <c r="P29" s="167" t="s">
        <v>715</v>
      </c>
    </row>
    <row r="30" spans="1:16" ht="63.75">
      <c r="A30" s="165" t="s">
        <v>541</v>
      </c>
      <c r="B30" s="7" t="s">
        <v>510</v>
      </c>
      <c r="C30" s="7" t="s">
        <v>511</v>
      </c>
      <c r="D30" s="7" t="s">
        <v>512</v>
      </c>
      <c r="E30" s="7" t="s">
        <v>512</v>
      </c>
      <c r="F30" s="7">
        <v>8026</v>
      </c>
      <c r="G30" s="7" t="s">
        <v>513</v>
      </c>
      <c r="H30" s="7">
        <v>12</v>
      </c>
      <c r="I30" s="7">
        <v>10</v>
      </c>
      <c r="J30" s="7" t="s">
        <v>514</v>
      </c>
      <c r="K30" s="7"/>
      <c r="L30" s="7" t="s">
        <v>512</v>
      </c>
      <c r="M30" s="7"/>
      <c r="N30" s="7"/>
      <c r="O30" s="166" t="s">
        <v>736</v>
      </c>
      <c r="P30" s="167" t="s">
        <v>715</v>
      </c>
    </row>
    <row r="31" spans="1:16" ht="127.5">
      <c r="A31" s="165" t="s">
        <v>542</v>
      </c>
      <c r="B31" s="7" t="s">
        <v>510</v>
      </c>
      <c r="C31" s="7" t="s">
        <v>511</v>
      </c>
      <c r="D31" s="7" t="s">
        <v>512</v>
      </c>
      <c r="E31" s="7" t="s">
        <v>512</v>
      </c>
      <c r="F31" s="7">
        <v>8027</v>
      </c>
      <c r="G31" s="7" t="s">
        <v>513</v>
      </c>
      <c r="H31" s="7">
        <v>12</v>
      </c>
      <c r="I31" s="7">
        <v>10</v>
      </c>
      <c r="J31" s="7" t="s">
        <v>514</v>
      </c>
      <c r="K31" s="7"/>
      <c r="L31" s="7" t="s">
        <v>512</v>
      </c>
      <c r="M31" s="7"/>
      <c r="N31" s="7"/>
      <c r="O31" s="166" t="s">
        <v>737</v>
      </c>
      <c r="P31" s="167" t="s">
        <v>715</v>
      </c>
    </row>
    <row r="32" spans="1:16" ht="30">
      <c r="A32" s="7" t="s">
        <v>543</v>
      </c>
      <c r="B32" s="7" t="s">
        <v>510</v>
      </c>
      <c r="C32" s="7" t="s">
        <v>511</v>
      </c>
      <c r="D32" s="7" t="s">
        <v>512</v>
      </c>
      <c r="E32" s="7" t="s">
        <v>512</v>
      </c>
      <c r="F32" s="7">
        <v>8028</v>
      </c>
      <c r="G32" s="7" t="s">
        <v>513</v>
      </c>
      <c r="H32" s="7">
        <v>12</v>
      </c>
      <c r="I32" s="7">
        <v>10</v>
      </c>
      <c r="J32" s="7" t="s">
        <v>514</v>
      </c>
      <c r="K32" s="7"/>
      <c r="L32" s="7" t="s">
        <v>512</v>
      </c>
      <c r="M32" s="7"/>
      <c r="N32" s="7"/>
      <c r="O32" s="166"/>
      <c r="P32" s="167" t="s">
        <v>715</v>
      </c>
    </row>
    <row r="33" spans="1:16" ht="30">
      <c r="A33" s="165" t="s">
        <v>544</v>
      </c>
      <c r="B33" s="7" t="s">
        <v>510</v>
      </c>
      <c r="C33" s="7" t="s">
        <v>511</v>
      </c>
      <c r="D33" s="7" t="s">
        <v>512</v>
      </c>
      <c r="E33" s="7" t="s">
        <v>512</v>
      </c>
      <c r="F33" s="7">
        <v>8029</v>
      </c>
      <c r="G33" s="7" t="s">
        <v>513</v>
      </c>
      <c r="H33" s="7">
        <v>12</v>
      </c>
      <c r="I33" s="7">
        <v>10</v>
      </c>
      <c r="J33" s="7" t="s">
        <v>514</v>
      </c>
      <c r="K33" s="7"/>
      <c r="L33" s="7" t="s">
        <v>512</v>
      </c>
      <c r="M33" s="7"/>
      <c r="N33" s="7"/>
      <c r="O33" s="166"/>
      <c r="P33" s="167" t="s">
        <v>715</v>
      </c>
    </row>
    <row r="34" spans="1:16" ht="30">
      <c r="A34" s="7" t="s">
        <v>545</v>
      </c>
      <c r="B34" s="7" t="s">
        <v>510</v>
      </c>
      <c r="C34" s="7" t="s">
        <v>511</v>
      </c>
      <c r="D34" s="7" t="s">
        <v>512</v>
      </c>
      <c r="E34" s="7" t="s">
        <v>512</v>
      </c>
      <c r="F34" s="7">
        <v>8030</v>
      </c>
      <c r="G34" s="7" t="s">
        <v>513</v>
      </c>
      <c r="H34" s="7">
        <v>12</v>
      </c>
      <c r="I34" s="7">
        <v>10</v>
      </c>
      <c r="J34" s="7" t="s">
        <v>514</v>
      </c>
      <c r="K34" s="7"/>
      <c r="L34" s="7" t="s">
        <v>512</v>
      </c>
      <c r="M34" s="7"/>
      <c r="N34" s="7"/>
      <c r="O34" s="166"/>
      <c r="P34" s="167" t="s">
        <v>715</v>
      </c>
    </row>
    <row r="35" spans="1:16" ht="30">
      <c r="A35" s="7" t="s">
        <v>546</v>
      </c>
      <c r="B35" s="7" t="s">
        <v>510</v>
      </c>
      <c r="C35" s="7" t="s">
        <v>511</v>
      </c>
      <c r="D35" s="7" t="s">
        <v>512</v>
      </c>
      <c r="E35" s="7" t="s">
        <v>512</v>
      </c>
      <c r="F35" s="7">
        <v>8031</v>
      </c>
      <c r="G35" s="7" t="s">
        <v>513</v>
      </c>
      <c r="H35" s="7">
        <v>12</v>
      </c>
      <c r="I35" s="7">
        <v>10</v>
      </c>
      <c r="J35" s="7" t="s">
        <v>514</v>
      </c>
      <c r="K35" s="7"/>
      <c r="L35" s="7" t="s">
        <v>512</v>
      </c>
      <c r="M35" s="7"/>
      <c r="N35" s="7"/>
      <c r="O35" s="166"/>
      <c r="P35" s="167" t="s">
        <v>715</v>
      </c>
    </row>
    <row r="36" spans="1:16" ht="30">
      <c r="A36" s="7" t="s">
        <v>547</v>
      </c>
      <c r="B36" s="7" t="s">
        <v>510</v>
      </c>
      <c r="C36" s="7" t="s">
        <v>511</v>
      </c>
      <c r="D36" s="7" t="s">
        <v>512</v>
      </c>
      <c r="E36" s="7" t="s">
        <v>512</v>
      </c>
      <c r="F36" s="7">
        <v>8032</v>
      </c>
      <c r="G36" s="7" t="s">
        <v>513</v>
      </c>
      <c r="H36" s="7">
        <v>12</v>
      </c>
      <c r="I36" s="7">
        <v>10</v>
      </c>
      <c r="J36" s="7" t="s">
        <v>514</v>
      </c>
      <c r="K36" s="7"/>
      <c r="L36" s="7" t="s">
        <v>512</v>
      </c>
      <c r="M36" s="7"/>
      <c r="N36" s="7"/>
      <c r="O36" s="166" t="s">
        <v>738</v>
      </c>
      <c r="P36" s="167" t="s">
        <v>715</v>
      </c>
    </row>
    <row r="37" spans="1:16" ht="30">
      <c r="A37" s="165" t="s">
        <v>548</v>
      </c>
      <c r="B37" s="7" t="s">
        <v>510</v>
      </c>
      <c r="C37" s="7" t="s">
        <v>511</v>
      </c>
      <c r="D37" s="7" t="s">
        <v>512</v>
      </c>
      <c r="E37" s="7" t="s">
        <v>512</v>
      </c>
      <c r="F37" s="7">
        <v>8033</v>
      </c>
      <c r="G37" s="7" t="s">
        <v>513</v>
      </c>
      <c r="H37" s="7">
        <v>12</v>
      </c>
      <c r="I37" s="7">
        <v>10</v>
      </c>
      <c r="J37" s="7" t="s">
        <v>514</v>
      </c>
      <c r="K37" s="7"/>
      <c r="L37" s="7" t="s">
        <v>512</v>
      </c>
      <c r="M37" s="7"/>
      <c r="N37" s="7"/>
      <c r="O37" s="166"/>
      <c r="P37" s="167" t="s">
        <v>715</v>
      </c>
    </row>
    <row r="38" spans="1:16" ht="51">
      <c r="A38" s="165" t="s">
        <v>549</v>
      </c>
      <c r="B38" s="7" t="s">
        <v>510</v>
      </c>
      <c r="C38" s="7" t="s">
        <v>511</v>
      </c>
      <c r="D38" s="7" t="s">
        <v>512</v>
      </c>
      <c r="E38" s="7" t="s">
        <v>512</v>
      </c>
      <c r="F38" s="7">
        <v>8034</v>
      </c>
      <c r="G38" s="7" t="s">
        <v>513</v>
      </c>
      <c r="H38" s="7">
        <v>12</v>
      </c>
      <c r="I38" s="7">
        <v>10</v>
      </c>
      <c r="J38" s="7" t="s">
        <v>514</v>
      </c>
      <c r="K38" s="7"/>
      <c r="L38" s="7" t="s">
        <v>512</v>
      </c>
      <c r="M38" s="7"/>
      <c r="N38" s="7"/>
      <c r="O38" s="166" t="s">
        <v>739</v>
      </c>
      <c r="P38" s="167" t="s">
        <v>715</v>
      </c>
    </row>
    <row r="39" spans="1:16" ht="30">
      <c r="A39" s="165" t="s">
        <v>550</v>
      </c>
      <c r="B39" s="7" t="s">
        <v>510</v>
      </c>
      <c r="C39" s="7" t="s">
        <v>511</v>
      </c>
      <c r="D39" s="7" t="s">
        <v>512</v>
      </c>
      <c r="E39" s="7" t="s">
        <v>512</v>
      </c>
      <c r="F39" s="7">
        <v>8035</v>
      </c>
      <c r="G39" s="7" t="s">
        <v>513</v>
      </c>
      <c r="H39" s="7">
        <v>12</v>
      </c>
      <c r="I39" s="7">
        <v>10</v>
      </c>
      <c r="J39" s="7" t="s">
        <v>514</v>
      </c>
      <c r="K39" s="7"/>
      <c r="L39" s="7" t="s">
        <v>512</v>
      </c>
      <c r="M39" s="7"/>
      <c r="N39" s="7"/>
      <c r="O39" s="166"/>
      <c r="P39" s="167" t="s">
        <v>715</v>
      </c>
    </row>
    <row r="40" spans="1:16" ht="30">
      <c r="A40" s="165" t="s">
        <v>551</v>
      </c>
      <c r="B40" s="7" t="s">
        <v>510</v>
      </c>
      <c r="C40" s="7" t="s">
        <v>511</v>
      </c>
      <c r="D40" s="7" t="s">
        <v>512</v>
      </c>
      <c r="E40" s="7" t="s">
        <v>512</v>
      </c>
      <c r="F40" s="7">
        <v>8036</v>
      </c>
      <c r="G40" s="7" t="s">
        <v>513</v>
      </c>
      <c r="H40" s="7">
        <v>12</v>
      </c>
      <c r="I40" s="7">
        <v>10</v>
      </c>
      <c r="J40" s="7" t="s">
        <v>514</v>
      </c>
      <c r="K40" s="7"/>
      <c r="L40" s="7" t="s">
        <v>512</v>
      </c>
      <c r="M40" s="7"/>
      <c r="N40" s="7"/>
      <c r="O40" s="166"/>
      <c r="P40" s="167" t="s">
        <v>715</v>
      </c>
    </row>
    <row r="41" spans="1:16" ht="30">
      <c r="A41" s="165" t="s">
        <v>552</v>
      </c>
      <c r="B41" s="7" t="s">
        <v>510</v>
      </c>
      <c r="C41" s="7" t="s">
        <v>511</v>
      </c>
      <c r="D41" s="7" t="s">
        <v>512</v>
      </c>
      <c r="E41" s="7" t="s">
        <v>512</v>
      </c>
      <c r="F41" s="7">
        <v>8037</v>
      </c>
      <c r="G41" s="7" t="s">
        <v>513</v>
      </c>
      <c r="H41" s="7">
        <v>12</v>
      </c>
      <c r="I41" s="7">
        <v>10</v>
      </c>
      <c r="J41" s="7" t="s">
        <v>514</v>
      </c>
      <c r="K41" s="7"/>
      <c r="L41" s="7" t="s">
        <v>512</v>
      </c>
      <c r="M41" s="7"/>
      <c r="N41" s="7"/>
      <c r="O41" s="166"/>
      <c r="P41" s="167" t="s">
        <v>715</v>
      </c>
    </row>
    <row r="42" spans="1:16" ht="30">
      <c r="A42" s="7" t="s">
        <v>553</v>
      </c>
      <c r="B42" s="7" t="s">
        <v>510</v>
      </c>
      <c r="C42" s="7" t="s">
        <v>511</v>
      </c>
      <c r="D42" s="7" t="s">
        <v>512</v>
      </c>
      <c r="E42" s="7" t="s">
        <v>512</v>
      </c>
      <c r="F42" s="7">
        <v>8038</v>
      </c>
      <c r="G42" s="7" t="s">
        <v>513</v>
      </c>
      <c r="H42" s="7">
        <v>12</v>
      </c>
      <c r="I42" s="7">
        <v>10</v>
      </c>
      <c r="J42" s="7" t="s">
        <v>514</v>
      </c>
      <c r="K42" s="7"/>
      <c r="L42" s="7" t="s">
        <v>512</v>
      </c>
      <c r="M42" s="7"/>
      <c r="N42" s="7"/>
      <c r="O42" s="166"/>
      <c r="P42" s="167" t="s">
        <v>715</v>
      </c>
    </row>
    <row r="43" spans="1:16" ht="30">
      <c r="A43" s="7" t="s">
        <v>554</v>
      </c>
      <c r="B43" s="7" t="s">
        <v>510</v>
      </c>
      <c r="C43" s="7" t="s">
        <v>511</v>
      </c>
      <c r="D43" s="7" t="s">
        <v>512</v>
      </c>
      <c r="E43" s="7" t="s">
        <v>512</v>
      </c>
      <c r="F43" s="7">
        <v>8039</v>
      </c>
      <c r="G43" s="7" t="s">
        <v>513</v>
      </c>
      <c r="H43" s="7">
        <v>12</v>
      </c>
      <c r="I43" s="7">
        <v>10</v>
      </c>
      <c r="J43" s="7" t="s">
        <v>514</v>
      </c>
      <c r="K43" s="7"/>
      <c r="L43" s="7" t="s">
        <v>512</v>
      </c>
      <c r="M43" s="7"/>
      <c r="N43" s="7"/>
      <c r="O43" s="166"/>
      <c r="P43" s="167" t="s">
        <v>715</v>
      </c>
    </row>
    <row r="44" spans="1:16" ht="30">
      <c r="A44" s="165" t="s">
        <v>555</v>
      </c>
      <c r="B44" s="7" t="s">
        <v>510</v>
      </c>
      <c r="C44" s="7" t="s">
        <v>511</v>
      </c>
      <c r="D44" s="7" t="s">
        <v>512</v>
      </c>
      <c r="E44" s="7" t="s">
        <v>512</v>
      </c>
      <c r="F44" s="7">
        <v>8040</v>
      </c>
      <c r="G44" s="7" t="s">
        <v>513</v>
      </c>
      <c r="H44" s="7">
        <v>12</v>
      </c>
      <c r="I44" s="7">
        <v>10</v>
      </c>
      <c r="J44" s="7" t="s">
        <v>514</v>
      </c>
      <c r="K44" s="7"/>
      <c r="L44" s="7" t="s">
        <v>512</v>
      </c>
      <c r="M44" s="7"/>
      <c r="N44" s="7"/>
      <c r="O44" s="166"/>
      <c r="P44" s="167" t="s">
        <v>715</v>
      </c>
    </row>
    <row r="45" spans="1:16" ht="30">
      <c r="A45" s="165" t="s">
        <v>556</v>
      </c>
      <c r="B45" s="7" t="s">
        <v>510</v>
      </c>
      <c r="C45" s="7" t="s">
        <v>511</v>
      </c>
      <c r="D45" s="7" t="s">
        <v>512</v>
      </c>
      <c r="E45" s="7" t="s">
        <v>512</v>
      </c>
      <c r="F45" s="7">
        <v>8041</v>
      </c>
      <c r="G45" s="7" t="s">
        <v>513</v>
      </c>
      <c r="H45" s="7">
        <v>12</v>
      </c>
      <c r="I45" s="7">
        <v>10</v>
      </c>
      <c r="J45" s="7" t="s">
        <v>514</v>
      </c>
      <c r="K45" s="7"/>
      <c r="L45" s="7" t="s">
        <v>512</v>
      </c>
      <c r="M45" s="7"/>
      <c r="N45" s="7"/>
      <c r="O45" s="166"/>
      <c r="P45" s="167" t="s">
        <v>715</v>
      </c>
    </row>
    <row r="46" spans="1:16" ht="30">
      <c r="A46" s="165" t="s">
        <v>557</v>
      </c>
      <c r="B46" s="7" t="s">
        <v>510</v>
      </c>
      <c r="C46" s="7" t="s">
        <v>511</v>
      </c>
      <c r="D46" s="7" t="s">
        <v>512</v>
      </c>
      <c r="E46" s="7" t="s">
        <v>512</v>
      </c>
      <c r="F46" s="7">
        <v>8042</v>
      </c>
      <c r="G46" s="7" t="s">
        <v>513</v>
      </c>
      <c r="H46" s="7">
        <v>12</v>
      </c>
      <c r="I46" s="7">
        <v>10</v>
      </c>
      <c r="J46" s="7" t="s">
        <v>514</v>
      </c>
      <c r="K46" s="7"/>
      <c r="L46" s="7" t="s">
        <v>512</v>
      </c>
      <c r="M46" s="7"/>
      <c r="N46" s="7"/>
      <c r="O46" s="166"/>
      <c r="P46" s="167" t="s">
        <v>715</v>
      </c>
    </row>
    <row r="47" spans="1:16" ht="63.75">
      <c r="A47" s="165" t="s">
        <v>558</v>
      </c>
      <c r="B47" s="7" t="s">
        <v>510</v>
      </c>
      <c r="C47" s="7" t="s">
        <v>511</v>
      </c>
      <c r="D47" s="7" t="s">
        <v>512</v>
      </c>
      <c r="E47" s="7" t="s">
        <v>512</v>
      </c>
      <c r="F47" s="7">
        <v>8043</v>
      </c>
      <c r="G47" s="7" t="s">
        <v>513</v>
      </c>
      <c r="H47" s="7">
        <v>12</v>
      </c>
      <c r="I47" s="7">
        <v>10</v>
      </c>
      <c r="J47" s="7" t="s">
        <v>514</v>
      </c>
      <c r="K47" s="7"/>
      <c r="L47" s="7" t="s">
        <v>512</v>
      </c>
      <c r="M47" s="7"/>
      <c r="N47" s="7"/>
      <c r="O47" s="166" t="s">
        <v>740</v>
      </c>
      <c r="P47" s="167" t="s">
        <v>715</v>
      </c>
    </row>
    <row r="48" spans="1:16" ht="63.75">
      <c r="A48" s="165" t="s">
        <v>559</v>
      </c>
      <c r="B48" s="7" t="s">
        <v>510</v>
      </c>
      <c r="C48" s="7" t="s">
        <v>511</v>
      </c>
      <c r="D48" s="7" t="s">
        <v>512</v>
      </c>
      <c r="E48" s="7" t="s">
        <v>512</v>
      </c>
      <c r="F48" s="7">
        <v>8044</v>
      </c>
      <c r="G48" s="7" t="s">
        <v>513</v>
      </c>
      <c r="H48" s="7">
        <v>12</v>
      </c>
      <c r="I48" s="7">
        <v>10</v>
      </c>
      <c r="J48" s="7" t="s">
        <v>514</v>
      </c>
      <c r="K48" s="7"/>
      <c r="L48" s="7" t="s">
        <v>512</v>
      </c>
      <c r="M48" s="7"/>
      <c r="N48" s="7"/>
      <c r="O48" s="166" t="s">
        <v>740</v>
      </c>
      <c r="P48" s="167" t="s">
        <v>715</v>
      </c>
    </row>
    <row r="49" spans="1:16" ht="30">
      <c r="A49" s="7" t="s">
        <v>560</v>
      </c>
      <c r="B49" s="7" t="s">
        <v>510</v>
      </c>
      <c r="C49" s="7" t="s">
        <v>511</v>
      </c>
      <c r="D49" s="7" t="s">
        <v>512</v>
      </c>
      <c r="E49" s="7" t="s">
        <v>512</v>
      </c>
      <c r="F49" s="7">
        <v>8045</v>
      </c>
      <c r="G49" s="7" t="s">
        <v>513</v>
      </c>
      <c r="H49" s="7">
        <v>12</v>
      </c>
      <c r="I49" s="7">
        <v>10</v>
      </c>
      <c r="J49" s="7" t="s">
        <v>514</v>
      </c>
      <c r="K49" s="7"/>
      <c r="L49" s="7" t="s">
        <v>512</v>
      </c>
      <c r="M49" s="7"/>
      <c r="N49" s="7"/>
      <c r="O49" s="166"/>
      <c r="P49" s="167" t="s">
        <v>715</v>
      </c>
    </row>
    <row r="50" spans="1:16" ht="30">
      <c r="A50" s="7" t="s">
        <v>561</v>
      </c>
      <c r="B50" s="7" t="s">
        <v>510</v>
      </c>
      <c r="C50" s="7" t="s">
        <v>511</v>
      </c>
      <c r="D50" s="7" t="s">
        <v>512</v>
      </c>
      <c r="E50" s="7" t="s">
        <v>512</v>
      </c>
      <c r="F50" s="7">
        <v>8046</v>
      </c>
      <c r="G50" s="7" t="s">
        <v>513</v>
      </c>
      <c r="H50" s="7">
        <v>12</v>
      </c>
      <c r="I50" s="7">
        <v>10</v>
      </c>
      <c r="J50" s="7" t="s">
        <v>514</v>
      </c>
      <c r="K50" s="7"/>
      <c r="L50" s="7" t="s">
        <v>512</v>
      </c>
      <c r="M50" s="7"/>
      <c r="N50" s="7"/>
      <c r="O50" s="166"/>
      <c r="P50" s="167" t="s">
        <v>715</v>
      </c>
    </row>
    <row r="51" spans="1:16" ht="30">
      <c r="A51" s="7" t="s">
        <v>562</v>
      </c>
      <c r="B51" s="7" t="s">
        <v>510</v>
      </c>
      <c r="C51" s="7" t="s">
        <v>511</v>
      </c>
      <c r="D51" s="7" t="s">
        <v>512</v>
      </c>
      <c r="E51" s="7" t="s">
        <v>512</v>
      </c>
      <c r="F51" s="7">
        <v>8047</v>
      </c>
      <c r="G51" s="7" t="s">
        <v>513</v>
      </c>
      <c r="H51" s="7">
        <v>12</v>
      </c>
      <c r="I51" s="7">
        <v>10</v>
      </c>
      <c r="J51" s="7" t="s">
        <v>514</v>
      </c>
      <c r="K51" s="7"/>
      <c r="L51" s="7" t="s">
        <v>512</v>
      </c>
      <c r="M51" s="7"/>
      <c r="N51" s="7"/>
      <c r="O51" s="166"/>
      <c r="P51" s="167" t="s">
        <v>715</v>
      </c>
    </row>
    <row r="52" spans="1:16" ht="30">
      <c r="A52" s="7" t="s">
        <v>563</v>
      </c>
      <c r="B52" s="7" t="s">
        <v>510</v>
      </c>
      <c r="C52" s="7" t="s">
        <v>511</v>
      </c>
      <c r="D52" s="7" t="s">
        <v>512</v>
      </c>
      <c r="E52" s="7" t="s">
        <v>512</v>
      </c>
      <c r="F52" s="7">
        <v>8048</v>
      </c>
      <c r="G52" s="7" t="s">
        <v>513</v>
      </c>
      <c r="H52" s="7">
        <v>12</v>
      </c>
      <c r="I52" s="7">
        <v>10</v>
      </c>
      <c r="J52" s="7" t="s">
        <v>514</v>
      </c>
      <c r="K52" s="7"/>
      <c r="L52" s="7" t="s">
        <v>512</v>
      </c>
      <c r="M52" s="7"/>
      <c r="N52" s="7"/>
      <c r="O52" s="166"/>
      <c r="P52" s="167" t="s">
        <v>715</v>
      </c>
    </row>
    <row r="53" spans="1:16" ht="30">
      <c r="A53" s="7" t="s">
        <v>564</v>
      </c>
      <c r="B53" s="7" t="s">
        <v>510</v>
      </c>
      <c r="C53" s="7" t="s">
        <v>511</v>
      </c>
      <c r="D53" s="7" t="s">
        <v>512</v>
      </c>
      <c r="E53" s="7" t="s">
        <v>512</v>
      </c>
      <c r="F53" s="7">
        <v>8049</v>
      </c>
      <c r="G53" s="7" t="s">
        <v>513</v>
      </c>
      <c r="H53" s="7">
        <v>12</v>
      </c>
      <c r="I53" s="7">
        <v>10</v>
      </c>
      <c r="J53" s="7" t="s">
        <v>514</v>
      </c>
      <c r="K53" s="7"/>
      <c r="L53" s="7" t="s">
        <v>512</v>
      </c>
      <c r="M53" s="7"/>
      <c r="N53" s="7"/>
      <c r="O53" s="166"/>
      <c r="P53" s="167" t="s">
        <v>715</v>
      </c>
    </row>
    <row r="54" spans="1:16" ht="30">
      <c r="A54" s="7" t="s">
        <v>565</v>
      </c>
      <c r="B54" s="7" t="s">
        <v>510</v>
      </c>
      <c r="C54" s="7" t="s">
        <v>511</v>
      </c>
      <c r="D54" s="7" t="s">
        <v>512</v>
      </c>
      <c r="E54" s="7" t="s">
        <v>512</v>
      </c>
      <c r="F54" s="7">
        <v>8050</v>
      </c>
      <c r="G54" s="7" t="s">
        <v>513</v>
      </c>
      <c r="H54" s="7">
        <v>12</v>
      </c>
      <c r="I54" s="7">
        <v>10</v>
      </c>
      <c r="J54" s="7" t="s">
        <v>514</v>
      </c>
      <c r="K54" s="7"/>
      <c r="L54" s="7" t="s">
        <v>512</v>
      </c>
      <c r="M54" s="7"/>
      <c r="N54" s="7"/>
      <c r="O54" s="166"/>
      <c r="P54" s="167" t="s">
        <v>715</v>
      </c>
    </row>
    <row r="55" spans="1:16" ht="63.75">
      <c r="A55" s="7" t="s">
        <v>566</v>
      </c>
      <c r="B55" s="7" t="s">
        <v>510</v>
      </c>
      <c r="C55" s="7" t="s">
        <v>511</v>
      </c>
      <c r="D55" s="7" t="s">
        <v>512</v>
      </c>
      <c r="E55" s="7" t="s">
        <v>512</v>
      </c>
      <c r="F55" s="7">
        <v>8051</v>
      </c>
      <c r="G55" s="7" t="s">
        <v>513</v>
      </c>
      <c r="H55" s="7">
        <v>12</v>
      </c>
      <c r="I55" s="7">
        <v>10</v>
      </c>
      <c r="J55" s="7" t="s">
        <v>514</v>
      </c>
      <c r="K55" s="7"/>
      <c r="L55" s="7" t="s">
        <v>512</v>
      </c>
      <c r="M55" s="7"/>
      <c r="N55" s="7"/>
      <c r="O55" s="166" t="s">
        <v>740</v>
      </c>
      <c r="P55" s="167" t="s">
        <v>715</v>
      </c>
    </row>
    <row r="56" spans="1:16" ht="30">
      <c r="A56" s="7" t="s">
        <v>567</v>
      </c>
      <c r="B56" s="7" t="s">
        <v>510</v>
      </c>
      <c r="C56" s="7" t="s">
        <v>511</v>
      </c>
      <c r="D56" s="7" t="s">
        <v>512</v>
      </c>
      <c r="E56" s="7" t="s">
        <v>512</v>
      </c>
      <c r="F56" s="7">
        <v>8052</v>
      </c>
      <c r="G56" s="7" t="s">
        <v>513</v>
      </c>
      <c r="H56" s="7">
        <v>12</v>
      </c>
      <c r="I56" s="7">
        <v>10</v>
      </c>
      <c r="J56" s="7" t="s">
        <v>514</v>
      </c>
      <c r="K56" s="7"/>
      <c r="L56" s="7" t="s">
        <v>512</v>
      </c>
      <c r="M56" s="7"/>
      <c r="N56" s="7"/>
      <c r="O56" s="166"/>
      <c r="P56" s="167" t="s">
        <v>715</v>
      </c>
    </row>
    <row r="57" spans="1:16" ht="30">
      <c r="A57" s="7" t="s">
        <v>568</v>
      </c>
      <c r="B57" s="7" t="s">
        <v>510</v>
      </c>
      <c r="C57" s="7" t="s">
        <v>511</v>
      </c>
      <c r="D57" s="7" t="s">
        <v>512</v>
      </c>
      <c r="E57" s="7" t="s">
        <v>512</v>
      </c>
      <c r="F57" s="7">
        <v>8053</v>
      </c>
      <c r="G57" s="7" t="s">
        <v>513</v>
      </c>
      <c r="H57" s="7">
        <v>12</v>
      </c>
      <c r="I57" s="7">
        <v>10</v>
      </c>
      <c r="J57" s="7" t="s">
        <v>514</v>
      </c>
      <c r="K57" s="7"/>
      <c r="L57" s="7" t="s">
        <v>512</v>
      </c>
      <c r="M57" s="7"/>
      <c r="N57" s="7"/>
      <c r="O57" s="166"/>
      <c r="P57" s="167" t="s">
        <v>715</v>
      </c>
    </row>
    <row r="58" spans="1:16" ht="30">
      <c r="A58" s="7" t="s">
        <v>569</v>
      </c>
      <c r="B58" s="7" t="s">
        <v>510</v>
      </c>
      <c r="C58" s="7" t="s">
        <v>511</v>
      </c>
      <c r="D58" s="7" t="s">
        <v>512</v>
      </c>
      <c r="E58" s="7" t="s">
        <v>512</v>
      </c>
      <c r="F58" s="7">
        <v>8054</v>
      </c>
      <c r="G58" s="7" t="s">
        <v>513</v>
      </c>
      <c r="H58" s="7">
        <v>12</v>
      </c>
      <c r="I58" s="7">
        <v>10</v>
      </c>
      <c r="J58" s="7" t="s">
        <v>514</v>
      </c>
      <c r="K58" s="7"/>
      <c r="L58" s="7" t="s">
        <v>512</v>
      </c>
      <c r="M58" s="7"/>
      <c r="N58" s="7"/>
      <c r="O58" s="166"/>
      <c r="P58" s="167" t="s">
        <v>715</v>
      </c>
    </row>
    <row r="59" spans="1:16" ht="30">
      <c r="A59" s="7" t="s">
        <v>570</v>
      </c>
      <c r="B59" s="7" t="s">
        <v>510</v>
      </c>
      <c r="C59" s="7" t="s">
        <v>511</v>
      </c>
      <c r="D59" s="7" t="s">
        <v>512</v>
      </c>
      <c r="E59" s="7" t="s">
        <v>512</v>
      </c>
      <c r="F59" s="7">
        <v>8055</v>
      </c>
      <c r="G59" s="7" t="s">
        <v>513</v>
      </c>
      <c r="H59" s="7">
        <v>12</v>
      </c>
      <c r="I59" s="7">
        <v>10</v>
      </c>
      <c r="J59" s="7" t="s">
        <v>514</v>
      </c>
      <c r="K59" s="7"/>
      <c r="L59" s="7" t="s">
        <v>512</v>
      </c>
      <c r="M59" s="7"/>
      <c r="N59" s="7"/>
      <c r="O59" s="166"/>
      <c r="P59" s="167" t="s">
        <v>715</v>
      </c>
    </row>
    <row r="60" spans="1:16" ht="63.75">
      <c r="A60" s="165" t="s">
        <v>571</v>
      </c>
      <c r="B60" s="7" t="s">
        <v>510</v>
      </c>
      <c r="C60" s="7" t="s">
        <v>511</v>
      </c>
      <c r="D60" s="7" t="s">
        <v>512</v>
      </c>
      <c r="E60" s="7" t="s">
        <v>512</v>
      </c>
      <c r="F60" s="7">
        <v>8056</v>
      </c>
      <c r="G60" s="7" t="s">
        <v>513</v>
      </c>
      <c r="H60" s="7">
        <v>12</v>
      </c>
      <c r="I60" s="7">
        <v>10</v>
      </c>
      <c r="J60" s="7" t="s">
        <v>514</v>
      </c>
      <c r="K60" s="7"/>
      <c r="L60" s="7" t="s">
        <v>512</v>
      </c>
      <c r="M60" s="7"/>
      <c r="N60" s="7"/>
      <c r="O60" s="166" t="s">
        <v>740</v>
      </c>
      <c r="P60" s="167" t="s">
        <v>715</v>
      </c>
    </row>
    <row r="61" spans="1:16" ht="63.75">
      <c r="A61" s="165" t="s">
        <v>572</v>
      </c>
      <c r="B61" s="7" t="s">
        <v>510</v>
      </c>
      <c r="C61" s="7" t="s">
        <v>511</v>
      </c>
      <c r="D61" s="7" t="s">
        <v>512</v>
      </c>
      <c r="E61" s="7" t="s">
        <v>512</v>
      </c>
      <c r="F61" s="7">
        <v>8057</v>
      </c>
      <c r="G61" s="7" t="s">
        <v>513</v>
      </c>
      <c r="H61" s="7">
        <v>12</v>
      </c>
      <c r="I61" s="7">
        <v>10</v>
      </c>
      <c r="J61" s="7" t="s">
        <v>514</v>
      </c>
      <c r="K61" s="7"/>
      <c r="L61" s="7" t="s">
        <v>512</v>
      </c>
      <c r="M61" s="7"/>
      <c r="N61" s="7"/>
      <c r="O61" s="166" t="s">
        <v>740</v>
      </c>
      <c r="P61" s="167" t="s">
        <v>715</v>
      </c>
    </row>
    <row r="62" spans="1:16" ht="63.75">
      <c r="A62" s="165" t="s">
        <v>573</v>
      </c>
      <c r="B62" s="7" t="s">
        <v>510</v>
      </c>
      <c r="C62" s="7" t="s">
        <v>511</v>
      </c>
      <c r="D62" s="7" t="s">
        <v>512</v>
      </c>
      <c r="E62" s="7" t="s">
        <v>512</v>
      </c>
      <c r="F62" s="7">
        <v>8058</v>
      </c>
      <c r="G62" s="7" t="s">
        <v>513</v>
      </c>
      <c r="H62" s="7">
        <v>12</v>
      </c>
      <c r="I62" s="7">
        <v>10</v>
      </c>
      <c r="J62" s="7" t="s">
        <v>514</v>
      </c>
      <c r="K62" s="7"/>
      <c r="L62" s="7" t="s">
        <v>512</v>
      </c>
      <c r="M62" s="7"/>
      <c r="N62" s="7"/>
      <c r="O62" s="166" t="s">
        <v>740</v>
      </c>
      <c r="P62" s="167" t="s">
        <v>715</v>
      </c>
    </row>
    <row r="63" spans="1:16" ht="63.75">
      <c r="A63" s="165" t="s">
        <v>574</v>
      </c>
      <c r="B63" s="7" t="s">
        <v>510</v>
      </c>
      <c r="C63" s="7" t="s">
        <v>511</v>
      </c>
      <c r="D63" s="7" t="s">
        <v>512</v>
      </c>
      <c r="E63" s="7" t="s">
        <v>512</v>
      </c>
      <c r="F63" s="7">
        <v>8059</v>
      </c>
      <c r="G63" s="7" t="s">
        <v>513</v>
      </c>
      <c r="H63" s="7">
        <v>12</v>
      </c>
      <c r="I63" s="7">
        <v>10</v>
      </c>
      <c r="J63" s="7" t="s">
        <v>514</v>
      </c>
      <c r="K63" s="7"/>
      <c r="L63" s="7" t="s">
        <v>512</v>
      </c>
      <c r="M63" s="7"/>
      <c r="N63" s="7"/>
      <c r="O63" s="166" t="s">
        <v>740</v>
      </c>
      <c r="P63" s="167" t="s">
        <v>715</v>
      </c>
    </row>
    <row r="64" spans="1:16" ht="318.75">
      <c r="A64" s="165" t="s">
        <v>575</v>
      </c>
      <c r="B64" s="7" t="s">
        <v>510</v>
      </c>
      <c r="C64" s="7" t="s">
        <v>511</v>
      </c>
      <c r="D64" s="7" t="s">
        <v>512</v>
      </c>
      <c r="E64" s="7" t="s">
        <v>512</v>
      </c>
      <c r="F64" s="7">
        <v>8060</v>
      </c>
      <c r="G64" s="7" t="s">
        <v>513</v>
      </c>
      <c r="H64" s="7">
        <v>12</v>
      </c>
      <c r="I64" s="7">
        <v>10</v>
      </c>
      <c r="J64" s="7" t="s">
        <v>514</v>
      </c>
      <c r="K64" s="7"/>
      <c r="L64" s="7" t="s">
        <v>512</v>
      </c>
      <c r="M64" s="7"/>
      <c r="N64" s="7"/>
      <c r="O64" s="166" t="s">
        <v>735</v>
      </c>
      <c r="P64" s="167" t="s">
        <v>715</v>
      </c>
    </row>
    <row r="65" spans="1:16" ht="30">
      <c r="A65" s="7" t="s">
        <v>576</v>
      </c>
      <c r="B65" s="7" t="s">
        <v>510</v>
      </c>
      <c r="C65" s="7" t="s">
        <v>511</v>
      </c>
      <c r="D65" s="7" t="s">
        <v>512</v>
      </c>
      <c r="E65" s="7" t="s">
        <v>512</v>
      </c>
      <c r="F65" s="7">
        <v>8061</v>
      </c>
      <c r="G65" s="7" t="s">
        <v>513</v>
      </c>
      <c r="H65" s="7">
        <v>12</v>
      </c>
      <c r="I65" s="7">
        <v>10</v>
      </c>
      <c r="J65" s="7" t="s">
        <v>514</v>
      </c>
      <c r="K65" s="7"/>
      <c r="L65" s="7" t="s">
        <v>512</v>
      </c>
      <c r="M65" s="7"/>
      <c r="N65" s="7"/>
      <c r="O65" s="166"/>
      <c r="P65" s="167" t="s">
        <v>715</v>
      </c>
    </row>
    <row r="66" spans="1:16" ht="75">
      <c r="A66" s="165" t="s">
        <v>577</v>
      </c>
      <c r="B66" s="7" t="s">
        <v>510</v>
      </c>
      <c r="C66" s="7" t="s">
        <v>511</v>
      </c>
      <c r="D66" s="7" t="s">
        <v>512</v>
      </c>
      <c r="E66" s="7" t="s">
        <v>512</v>
      </c>
      <c r="F66" s="7">
        <v>8062</v>
      </c>
      <c r="G66" s="7" t="s">
        <v>513</v>
      </c>
      <c r="H66" s="7">
        <v>12</v>
      </c>
      <c r="I66" s="7">
        <v>10</v>
      </c>
      <c r="J66" s="7" t="s">
        <v>514</v>
      </c>
      <c r="K66" s="7"/>
      <c r="L66" s="7" t="s">
        <v>512</v>
      </c>
      <c r="M66" s="7"/>
      <c r="N66" s="7"/>
      <c r="O66" s="168" t="s">
        <v>741</v>
      </c>
      <c r="P66" s="167" t="s">
        <v>715</v>
      </c>
    </row>
    <row r="67" spans="1:16" ht="30">
      <c r="A67" s="7" t="s">
        <v>578</v>
      </c>
      <c r="B67" s="7" t="s">
        <v>510</v>
      </c>
      <c r="C67" s="7" t="s">
        <v>511</v>
      </c>
      <c r="D67" s="7" t="s">
        <v>512</v>
      </c>
      <c r="E67" s="7" t="s">
        <v>512</v>
      </c>
      <c r="F67" s="7">
        <v>8063</v>
      </c>
      <c r="G67" s="7" t="s">
        <v>513</v>
      </c>
      <c r="H67" s="7">
        <v>12</v>
      </c>
      <c r="I67" s="7">
        <v>10</v>
      </c>
      <c r="J67" s="7" t="s">
        <v>514</v>
      </c>
      <c r="K67" s="7"/>
      <c r="L67" s="7" t="s">
        <v>512</v>
      </c>
      <c r="M67" s="7"/>
      <c r="N67" s="7"/>
      <c r="O67" s="166"/>
      <c r="P67" s="167" t="s">
        <v>715</v>
      </c>
    </row>
    <row r="68" spans="1:16" ht="30">
      <c r="A68" s="7" t="s">
        <v>579</v>
      </c>
      <c r="B68" s="7" t="s">
        <v>510</v>
      </c>
      <c r="C68" s="7" t="s">
        <v>511</v>
      </c>
      <c r="D68" s="7" t="s">
        <v>512</v>
      </c>
      <c r="E68" s="7" t="s">
        <v>512</v>
      </c>
      <c r="F68" s="7">
        <v>8064</v>
      </c>
      <c r="G68" s="7" t="s">
        <v>513</v>
      </c>
      <c r="H68" s="7">
        <v>12</v>
      </c>
      <c r="I68" s="7">
        <v>10</v>
      </c>
      <c r="J68" s="7" t="s">
        <v>514</v>
      </c>
      <c r="K68" s="7"/>
      <c r="L68" s="7" t="s">
        <v>512</v>
      </c>
      <c r="M68" s="7"/>
      <c r="N68" s="7"/>
      <c r="O68" s="166"/>
      <c r="P68" s="167" t="s">
        <v>715</v>
      </c>
    </row>
    <row r="69" spans="1:16" ht="30">
      <c r="A69" s="7" t="s">
        <v>580</v>
      </c>
      <c r="B69" s="7" t="s">
        <v>510</v>
      </c>
      <c r="C69" s="7" t="s">
        <v>511</v>
      </c>
      <c r="D69" s="7" t="s">
        <v>512</v>
      </c>
      <c r="E69" s="7" t="s">
        <v>512</v>
      </c>
      <c r="F69" s="7">
        <v>8065</v>
      </c>
      <c r="G69" s="7" t="s">
        <v>513</v>
      </c>
      <c r="H69" s="7">
        <v>12</v>
      </c>
      <c r="I69" s="7">
        <v>10</v>
      </c>
      <c r="J69" s="7" t="s">
        <v>514</v>
      </c>
      <c r="K69" s="7"/>
      <c r="L69" s="7" t="s">
        <v>512</v>
      </c>
      <c r="M69" s="7"/>
      <c r="N69" s="7"/>
      <c r="O69" s="166"/>
      <c r="P69" s="167" t="s">
        <v>715</v>
      </c>
    </row>
    <row r="70" spans="1:16" ht="30">
      <c r="A70" s="7" t="s">
        <v>581</v>
      </c>
      <c r="B70" s="7" t="s">
        <v>510</v>
      </c>
      <c r="C70" s="7" t="s">
        <v>511</v>
      </c>
      <c r="D70" s="7" t="s">
        <v>512</v>
      </c>
      <c r="E70" s="7" t="s">
        <v>512</v>
      </c>
      <c r="F70" s="7">
        <v>8066</v>
      </c>
      <c r="G70" s="7" t="s">
        <v>513</v>
      </c>
      <c r="H70" s="7">
        <v>12</v>
      </c>
      <c r="I70" s="7">
        <v>10</v>
      </c>
      <c r="J70" s="7" t="s">
        <v>514</v>
      </c>
      <c r="K70" s="7"/>
      <c r="L70" s="7" t="s">
        <v>512</v>
      </c>
      <c r="M70" s="7"/>
      <c r="N70" s="7"/>
      <c r="O70" s="166"/>
      <c r="P70" s="167" t="s">
        <v>715</v>
      </c>
    </row>
    <row r="71" spans="1:16" ht="30">
      <c r="A71" s="7" t="s">
        <v>582</v>
      </c>
      <c r="B71" s="7" t="s">
        <v>510</v>
      </c>
      <c r="C71" s="7" t="s">
        <v>511</v>
      </c>
      <c r="D71" s="7" t="s">
        <v>512</v>
      </c>
      <c r="E71" s="7" t="s">
        <v>512</v>
      </c>
      <c r="F71" s="7">
        <v>8067</v>
      </c>
      <c r="G71" s="7" t="s">
        <v>513</v>
      </c>
      <c r="H71" s="7">
        <v>12</v>
      </c>
      <c r="I71" s="7">
        <v>10</v>
      </c>
      <c r="J71" s="7" t="s">
        <v>514</v>
      </c>
      <c r="K71" s="7"/>
      <c r="L71" s="7" t="s">
        <v>512</v>
      </c>
      <c r="M71" s="7"/>
      <c r="N71" s="7"/>
      <c r="O71" s="166"/>
      <c r="P71" s="167" t="s">
        <v>715</v>
      </c>
    </row>
    <row r="72" spans="1:16" ht="127.5">
      <c r="A72" s="165" t="s">
        <v>583</v>
      </c>
      <c r="B72" s="7" t="s">
        <v>510</v>
      </c>
      <c r="C72" s="7" t="s">
        <v>511</v>
      </c>
      <c r="D72" s="7" t="s">
        <v>512</v>
      </c>
      <c r="E72" s="7" t="s">
        <v>512</v>
      </c>
      <c r="F72" s="7">
        <v>8068</v>
      </c>
      <c r="G72" s="7" t="s">
        <v>513</v>
      </c>
      <c r="H72" s="7">
        <v>12</v>
      </c>
      <c r="I72" s="7">
        <v>10</v>
      </c>
      <c r="J72" s="7" t="s">
        <v>514</v>
      </c>
      <c r="K72" s="7"/>
      <c r="L72" s="7" t="s">
        <v>512</v>
      </c>
      <c r="M72" s="7"/>
      <c r="N72" s="7"/>
      <c r="O72" s="166" t="s">
        <v>742</v>
      </c>
      <c r="P72" s="167" t="s">
        <v>715</v>
      </c>
    </row>
    <row r="73" spans="1:16" ht="127.5">
      <c r="A73" s="165" t="s">
        <v>584</v>
      </c>
      <c r="B73" s="7" t="s">
        <v>510</v>
      </c>
      <c r="C73" s="7" t="s">
        <v>511</v>
      </c>
      <c r="D73" s="7" t="s">
        <v>512</v>
      </c>
      <c r="E73" s="7" t="s">
        <v>512</v>
      </c>
      <c r="F73" s="7">
        <v>8069</v>
      </c>
      <c r="G73" s="7" t="s">
        <v>513</v>
      </c>
      <c r="H73" s="7">
        <v>12</v>
      </c>
      <c r="I73" s="7">
        <v>10</v>
      </c>
      <c r="J73" s="7" t="s">
        <v>514</v>
      </c>
      <c r="K73" s="7"/>
      <c r="L73" s="7" t="s">
        <v>512</v>
      </c>
      <c r="M73" s="7"/>
      <c r="N73" s="7"/>
      <c r="O73" s="166" t="s">
        <v>742</v>
      </c>
      <c r="P73" s="167" t="s">
        <v>715</v>
      </c>
    </row>
    <row r="74" spans="1:16" ht="127.5">
      <c r="A74" s="7" t="s">
        <v>585</v>
      </c>
      <c r="B74" s="7" t="s">
        <v>510</v>
      </c>
      <c r="C74" s="7" t="s">
        <v>511</v>
      </c>
      <c r="D74" s="7" t="s">
        <v>512</v>
      </c>
      <c r="E74" s="7" t="s">
        <v>512</v>
      </c>
      <c r="F74" s="7">
        <v>8070</v>
      </c>
      <c r="G74" s="7" t="s">
        <v>513</v>
      </c>
      <c r="H74" s="7">
        <v>12</v>
      </c>
      <c r="I74" s="7">
        <v>10</v>
      </c>
      <c r="J74" s="7" t="s">
        <v>514</v>
      </c>
      <c r="K74" s="7"/>
      <c r="L74" s="7" t="s">
        <v>512</v>
      </c>
      <c r="M74" s="7"/>
      <c r="N74" s="7"/>
      <c r="O74" s="166" t="s">
        <v>742</v>
      </c>
      <c r="P74" s="167" t="s">
        <v>715</v>
      </c>
    </row>
    <row r="75" spans="1:16" ht="127.5">
      <c r="A75" s="165" t="s">
        <v>586</v>
      </c>
      <c r="B75" s="7" t="s">
        <v>510</v>
      </c>
      <c r="C75" s="7" t="s">
        <v>511</v>
      </c>
      <c r="D75" s="7" t="s">
        <v>512</v>
      </c>
      <c r="E75" s="7" t="s">
        <v>512</v>
      </c>
      <c r="F75" s="7">
        <v>8071</v>
      </c>
      <c r="G75" s="7" t="s">
        <v>513</v>
      </c>
      <c r="H75" s="7">
        <v>12</v>
      </c>
      <c r="I75" s="7">
        <v>10</v>
      </c>
      <c r="J75" s="7" t="s">
        <v>514</v>
      </c>
      <c r="K75" s="7"/>
      <c r="L75" s="7" t="s">
        <v>512</v>
      </c>
      <c r="M75" s="7"/>
      <c r="N75" s="7"/>
      <c r="O75" s="166" t="s">
        <v>742</v>
      </c>
      <c r="P75" s="167" t="s">
        <v>715</v>
      </c>
    </row>
    <row r="76" spans="1:16" ht="30">
      <c r="A76" s="7" t="s">
        <v>587</v>
      </c>
      <c r="B76" s="7" t="s">
        <v>510</v>
      </c>
      <c r="C76" s="7" t="s">
        <v>511</v>
      </c>
      <c r="D76" s="7" t="s">
        <v>512</v>
      </c>
      <c r="E76" s="7" t="s">
        <v>512</v>
      </c>
      <c r="F76" s="7">
        <v>8072</v>
      </c>
      <c r="G76" s="7" t="s">
        <v>513</v>
      </c>
      <c r="H76" s="7">
        <v>12</v>
      </c>
      <c r="I76" s="7">
        <v>10</v>
      </c>
      <c r="J76" s="7" t="s">
        <v>514</v>
      </c>
      <c r="K76" s="7"/>
      <c r="L76" s="7" t="s">
        <v>512</v>
      </c>
      <c r="M76" s="7"/>
      <c r="N76" s="7"/>
      <c r="O76" s="166"/>
      <c r="P76" s="167" t="s">
        <v>715</v>
      </c>
    </row>
    <row r="77" spans="1:16" ht="30">
      <c r="A77" s="7" t="s">
        <v>588</v>
      </c>
      <c r="B77" s="7" t="s">
        <v>510</v>
      </c>
      <c r="C77" s="7" t="s">
        <v>511</v>
      </c>
      <c r="D77" s="7" t="s">
        <v>512</v>
      </c>
      <c r="E77" s="7" t="s">
        <v>512</v>
      </c>
      <c r="F77" s="7">
        <v>8073</v>
      </c>
      <c r="G77" s="7" t="s">
        <v>513</v>
      </c>
      <c r="H77" s="7">
        <v>12</v>
      </c>
      <c r="I77" s="7">
        <v>10</v>
      </c>
      <c r="J77" s="7" t="s">
        <v>514</v>
      </c>
      <c r="K77" s="7"/>
      <c r="L77" s="7" t="s">
        <v>512</v>
      </c>
      <c r="M77" s="7"/>
      <c r="N77" s="7"/>
      <c r="O77" s="166"/>
      <c r="P77" s="167" t="s">
        <v>715</v>
      </c>
    </row>
    <row r="78" spans="1:16" ht="293.25">
      <c r="A78" s="165" t="s">
        <v>589</v>
      </c>
      <c r="B78" s="7" t="s">
        <v>510</v>
      </c>
      <c r="C78" s="7" t="s">
        <v>511</v>
      </c>
      <c r="D78" s="7" t="s">
        <v>512</v>
      </c>
      <c r="E78" s="7" t="s">
        <v>512</v>
      </c>
      <c r="F78" s="7">
        <v>8074</v>
      </c>
      <c r="G78" s="7" t="s">
        <v>513</v>
      </c>
      <c r="H78" s="7">
        <v>12</v>
      </c>
      <c r="I78" s="7">
        <v>10</v>
      </c>
      <c r="J78" s="7" t="s">
        <v>514</v>
      </c>
      <c r="K78" s="7"/>
      <c r="L78" s="7" t="s">
        <v>512</v>
      </c>
      <c r="M78" s="7"/>
      <c r="N78" s="7"/>
      <c r="O78" s="166" t="s">
        <v>743</v>
      </c>
      <c r="P78" s="167" t="s">
        <v>715</v>
      </c>
    </row>
    <row r="79" spans="1:16" ht="30">
      <c r="A79" s="7" t="s">
        <v>590</v>
      </c>
      <c r="B79" s="7" t="s">
        <v>510</v>
      </c>
      <c r="C79" s="7" t="s">
        <v>511</v>
      </c>
      <c r="D79" s="7" t="s">
        <v>512</v>
      </c>
      <c r="E79" s="7" t="s">
        <v>512</v>
      </c>
      <c r="F79" s="7">
        <v>8075</v>
      </c>
      <c r="G79" s="7" t="s">
        <v>513</v>
      </c>
      <c r="H79" s="7">
        <v>12</v>
      </c>
      <c r="I79" s="7">
        <v>10</v>
      </c>
      <c r="J79" s="7" t="s">
        <v>514</v>
      </c>
      <c r="K79" s="7"/>
      <c r="L79" s="7" t="s">
        <v>512</v>
      </c>
      <c r="M79" s="7"/>
      <c r="N79" s="7"/>
      <c r="O79" s="166"/>
      <c r="P79" s="167" t="s">
        <v>715</v>
      </c>
    </row>
    <row r="80" spans="1:16" ht="30">
      <c r="A80" s="7" t="s">
        <v>591</v>
      </c>
      <c r="B80" s="7" t="s">
        <v>510</v>
      </c>
      <c r="C80" s="7" t="s">
        <v>511</v>
      </c>
      <c r="D80" s="7" t="s">
        <v>512</v>
      </c>
      <c r="E80" s="7" t="s">
        <v>512</v>
      </c>
      <c r="F80" s="7">
        <v>8076</v>
      </c>
      <c r="G80" s="7" t="s">
        <v>513</v>
      </c>
      <c r="H80" s="7">
        <v>12</v>
      </c>
      <c r="I80" s="7">
        <v>10</v>
      </c>
      <c r="J80" s="7" t="s">
        <v>514</v>
      </c>
      <c r="K80" s="7"/>
      <c r="L80" s="7" t="s">
        <v>512</v>
      </c>
      <c r="M80" s="7"/>
      <c r="N80" s="7"/>
      <c r="O80" s="166"/>
      <c r="P80" s="167" t="s">
        <v>715</v>
      </c>
    </row>
    <row r="81" spans="1:16" ht="293.25">
      <c r="A81" s="165" t="s">
        <v>592</v>
      </c>
      <c r="B81" s="7" t="s">
        <v>510</v>
      </c>
      <c r="C81" s="7" t="s">
        <v>511</v>
      </c>
      <c r="D81" s="7" t="s">
        <v>512</v>
      </c>
      <c r="E81" s="7" t="s">
        <v>512</v>
      </c>
      <c r="F81" s="7">
        <v>8077</v>
      </c>
      <c r="G81" s="7" t="s">
        <v>513</v>
      </c>
      <c r="H81" s="7">
        <v>12</v>
      </c>
      <c r="I81" s="7">
        <v>10</v>
      </c>
      <c r="J81" s="7" t="s">
        <v>514</v>
      </c>
      <c r="K81" s="7"/>
      <c r="L81" s="7" t="s">
        <v>512</v>
      </c>
      <c r="M81" s="7"/>
      <c r="N81" s="7"/>
      <c r="O81" s="166" t="s">
        <v>743</v>
      </c>
      <c r="P81" s="167" t="s">
        <v>715</v>
      </c>
    </row>
    <row r="82" spans="1:16">
      <c r="A82" s="184" t="s">
        <v>593</v>
      </c>
      <c r="B82" s="165" t="s">
        <v>510</v>
      </c>
      <c r="C82" s="165" t="s">
        <v>511</v>
      </c>
      <c r="D82" s="165" t="s">
        <v>512</v>
      </c>
      <c r="E82" s="165" t="s">
        <v>512</v>
      </c>
      <c r="F82" s="165">
        <v>8078</v>
      </c>
      <c r="G82" s="165" t="s">
        <v>513</v>
      </c>
      <c r="H82" s="165">
        <v>12</v>
      </c>
      <c r="I82" s="165">
        <v>10</v>
      </c>
      <c r="J82" s="165" t="s">
        <v>514</v>
      </c>
      <c r="K82" s="165"/>
      <c r="L82" s="165" t="s">
        <v>512</v>
      </c>
      <c r="M82" s="165"/>
      <c r="N82" s="165"/>
      <c r="O82" s="185" t="s">
        <v>744</v>
      </c>
      <c r="P82" s="186" t="s">
        <v>715</v>
      </c>
    </row>
    <row r="83" spans="1:16">
      <c r="A83" s="184" t="s">
        <v>594</v>
      </c>
      <c r="B83" s="165" t="s">
        <v>510</v>
      </c>
      <c r="C83" s="165" t="s">
        <v>511</v>
      </c>
      <c r="D83" s="165" t="s">
        <v>512</v>
      </c>
      <c r="E83" s="165" t="s">
        <v>512</v>
      </c>
      <c r="F83" s="165">
        <v>8079</v>
      </c>
      <c r="G83" s="165" t="s">
        <v>513</v>
      </c>
      <c r="H83" s="165">
        <v>12</v>
      </c>
      <c r="I83" s="165">
        <v>10</v>
      </c>
      <c r="J83" s="165" t="s">
        <v>514</v>
      </c>
      <c r="K83" s="165"/>
      <c r="L83" s="165" t="s">
        <v>512</v>
      </c>
      <c r="M83" s="165"/>
      <c r="N83" s="165"/>
      <c r="O83" s="185" t="s">
        <v>745</v>
      </c>
      <c r="P83" s="186" t="s">
        <v>715</v>
      </c>
    </row>
    <row r="84" spans="1:16">
      <c r="A84" s="184" t="s">
        <v>595</v>
      </c>
      <c r="B84" s="165" t="s">
        <v>510</v>
      </c>
      <c r="C84" s="165" t="s">
        <v>511</v>
      </c>
      <c r="D84" s="165" t="s">
        <v>512</v>
      </c>
      <c r="E84" s="165" t="s">
        <v>512</v>
      </c>
      <c r="F84" s="165">
        <v>8080</v>
      </c>
      <c r="G84" s="165" t="s">
        <v>513</v>
      </c>
      <c r="H84" s="165">
        <v>12</v>
      </c>
      <c r="I84" s="165">
        <v>10</v>
      </c>
      <c r="J84" s="165" t="s">
        <v>514</v>
      </c>
      <c r="K84" s="165"/>
      <c r="L84" s="165" t="s">
        <v>512</v>
      </c>
      <c r="M84" s="165"/>
      <c r="N84" s="165"/>
      <c r="O84" s="185" t="s">
        <v>746</v>
      </c>
      <c r="P84" s="186" t="s">
        <v>715</v>
      </c>
    </row>
    <row r="85" spans="1:16">
      <c r="A85" s="184" t="s">
        <v>596</v>
      </c>
      <c r="B85" s="165" t="s">
        <v>510</v>
      </c>
      <c r="C85" s="165" t="s">
        <v>511</v>
      </c>
      <c r="D85" s="165" t="s">
        <v>512</v>
      </c>
      <c r="E85" s="165" t="s">
        <v>512</v>
      </c>
      <c r="F85" s="165">
        <v>8081</v>
      </c>
      <c r="G85" s="165" t="s">
        <v>513</v>
      </c>
      <c r="H85" s="165">
        <v>12</v>
      </c>
      <c r="I85" s="165">
        <v>10</v>
      </c>
      <c r="J85" s="165" t="s">
        <v>514</v>
      </c>
      <c r="K85" s="165"/>
      <c r="L85" s="165" t="s">
        <v>512</v>
      </c>
      <c r="M85" s="165"/>
      <c r="N85" s="165"/>
      <c r="O85" s="185" t="s">
        <v>747</v>
      </c>
      <c r="P85" s="186" t="s">
        <v>715</v>
      </c>
    </row>
    <row r="86" spans="1:16">
      <c r="A86" s="184" t="s">
        <v>597</v>
      </c>
      <c r="B86" s="165" t="s">
        <v>510</v>
      </c>
      <c r="C86" s="165" t="s">
        <v>511</v>
      </c>
      <c r="D86" s="165" t="s">
        <v>512</v>
      </c>
      <c r="E86" s="165" t="s">
        <v>512</v>
      </c>
      <c r="F86" s="165">
        <v>8082</v>
      </c>
      <c r="G86" s="165" t="s">
        <v>513</v>
      </c>
      <c r="H86" s="165">
        <v>12</v>
      </c>
      <c r="I86" s="165">
        <v>10</v>
      </c>
      <c r="J86" s="165" t="s">
        <v>514</v>
      </c>
      <c r="K86" s="165"/>
      <c r="L86" s="165" t="s">
        <v>512</v>
      </c>
      <c r="M86" s="165"/>
      <c r="N86" s="165"/>
      <c r="O86" s="185" t="s">
        <v>748</v>
      </c>
      <c r="P86" s="186" t="s">
        <v>715</v>
      </c>
    </row>
    <row r="87" spans="1:16">
      <c r="A87" s="184" t="s">
        <v>598</v>
      </c>
      <c r="B87" s="165" t="s">
        <v>510</v>
      </c>
      <c r="C87" s="165" t="s">
        <v>511</v>
      </c>
      <c r="D87" s="165" t="s">
        <v>512</v>
      </c>
      <c r="E87" s="165" t="s">
        <v>512</v>
      </c>
      <c r="F87" s="165">
        <v>8083</v>
      </c>
      <c r="G87" s="165" t="s">
        <v>513</v>
      </c>
      <c r="H87" s="165">
        <v>12</v>
      </c>
      <c r="I87" s="165">
        <v>10</v>
      </c>
      <c r="J87" s="165" t="s">
        <v>514</v>
      </c>
      <c r="K87" s="165"/>
      <c r="L87" s="165" t="s">
        <v>512</v>
      </c>
      <c r="M87" s="165"/>
      <c r="N87" s="165"/>
      <c r="O87" s="185" t="s">
        <v>749</v>
      </c>
      <c r="P87" s="186" t="s">
        <v>715</v>
      </c>
    </row>
    <row r="88" spans="1:16">
      <c r="A88" s="184" t="s">
        <v>599</v>
      </c>
      <c r="B88" s="165" t="s">
        <v>510</v>
      </c>
      <c r="C88" s="165" t="s">
        <v>511</v>
      </c>
      <c r="D88" s="165" t="s">
        <v>512</v>
      </c>
      <c r="E88" s="165" t="s">
        <v>512</v>
      </c>
      <c r="F88" s="165">
        <v>8084</v>
      </c>
      <c r="G88" s="165" t="s">
        <v>513</v>
      </c>
      <c r="H88" s="165">
        <v>12</v>
      </c>
      <c r="I88" s="165">
        <v>10</v>
      </c>
      <c r="J88" s="165" t="s">
        <v>514</v>
      </c>
      <c r="K88" s="165"/>
      <c r="L88" s="165" t="s">
        <v>512</v>
      </c>
      <c r="M88" s="165"/>
      <c r="N88" s="165"/>
      <c r="O88" s="185" t="s">
        <v>750</v>
      </c>
      <c r="P88" s="186" t="s">
        <v>715</v>
      </c>
    </row>
    <row r="89" spans="1:16">
      <c r="A89" s="184" t="s">
        <v>600</v>
      </c>
      <c r="B89" s="165" t="s">
        <v>510</v>
      </c>
      <c r="C89" s="165" t="s">
        <v>511</v>
      </c>
      <c r="D89" s="165" t="s">
        <v>512</v>
      </c>
      <c r="E89" s="165" t="s">
        <v>512</v>
      </c>
      <c r="F89" s="165">
        <v>8085</v>
      </c>
      <c r="G89" s="165" t="s">
        <v>513</v>
      </c>
      <c r="H89" s="165">
        <v>12</v>
      </c>
      <c r="I89" s="165">
        <v>10</v>
      </c>
      <c r="J89" s="165" t="s">
        <v>514</v>
      </c>
      <c r="K89" s="165"/>
      <c r="L89" s="165" t="s">
        <v>512</v>
      </c>
      <c r="M89" s="165"/>
      <c r="N89" s="165"/>
      <c r="O89" s="185" t="s">
        <v>751</v>
      </c>
      <c r="P89" s="186" t="s">
        <v>715</v>
      </c>
    </row>
    <row r="90" spans="1:16">
      <c r="A90" s="184" t="s">
        <v>601</v>
      </c>
      <c r="B90" s="165" t="s">
        <v>510</v>
      </c>
      <c r="C90" s="165" t="s">
        <v>511</v>
      </c>
      <c r="D90" s="165" t="s">
        <v>512</v>
      </c>
      <c r="E90" s="165" t="s">
        <v>512</v>
      </c>
      <c r="F90" s="165">
        <v>8086</v>
      </c>
      <c r="G90" s="165" t="s">
        <v>513</v>
      </c>
      <c r="H90" s="165">
        <v>12</v>
      </c>
      <c r="I90" s="165">
        <v>10</v>
      </c>
      <c r="J90" s="165" t="s">
        <v>514</v>
      </c>
      <c r="K90" s="165"/>
      <c r="L90" s="165" t="s">
        <v>512</v>
      </c>
      <c r="M90" s="165"/>
      <c r="N90" s="165"/>
      <c r="O90" s="185" t="s">
        <v>752</v>
      </c>
      <c r="P90" s="186" t="s">
        <v>715</v>
      </c>
    </row>
    <row r="91" spans="1:16">
      <c r="A91" s="184" t="s">
        <v>602</v>
      </c>
      <c r="B91" s="165" t="s">
        <v>510</v>
      </c>
      <c r="C91" s="165" t="s">
        <v>511</v>
      </c>
      <c r="D91" s="165" t="s">
        <v>512</v>
      </c>
      <c r="E91" s="165" t="s">
        <v>512</v>
      </c>
      <c r="F91" s="165">
        <v>8087</v>
      </c>
      <c r="G91" s="165" t="s">
        <v>513</v>
      </c>
      <c r="H91" s="165">
        <v>12</v>
      </c>
      <c r="I91" s="165">
        <v>10</v>
      </c>
      <c r="J91" s="165" t="s">
        <v>514</v>
      </c>
      <c r="K91" s="165"/>
      <c r="L91" s="165" t="s">
        <v>512</v>
      </c>
      <c r="M91" s="165"/>
      <c r="N91" s="165"/>
      <c r="O91" s="185" t="s">
        <v>753</v>
      </c>
      <c r="P91" s="186" t="s">
        <v>715</v>
      </c>
    </row>
    <row r="92" spans="1:16">
      <c r="A92" s="184" t="s">
        <v>603</v>
      </c>
      <c r="B92" s="165" t="s">
        <v>510</v>
      </c>
      <c r="C92" s="165" t="s">
        <v>511</v>
      </c>
      <c r="D92" s="165" t="s">
        <v>512</v>
      </c>
      <c r="E92" s="165" t="s">
        <v>512</v>
      </c>
      <c r="F92" s="165">
        <v>8088</v>
      </c>
      <c r="G92" s="165" t="s">
        <v>513</v>
      </c>
      <c r="H92" s="165">
        <v>12</v>
      </c>
      <c r="I92" s="165">
        <v>10</v>
      </c>
      <c r="J92" s="165" t="s">
        <v>514</v>
      </c>
      <c r="K92" s="165"/>
      <c r="L92" s="165" t="s">
        <v>512</v>
      </c>
      <c r="M92" s="165"/>
      <c r="N92" s="165"/>
      <c r="O92" s="185" t="s">
        <v>754</v>
      </c>
      <c r="P92" s="186" t="s">
        <v>715</v>
      </c>
    </row>
    <row r="93" spans="1:16">
      <c r="A93" s="184" t="s">
        <v>604</v>
      </c>
      <c r="B93" s="165" t="s">
        <v>510</v>
      </c>
      <c r="C93" s="165" t="s">
        <v>511</v>
      </c>
      <c r="D93" s="165" t="s">
        <v>512</v>
      </c>
      <c r="E93" s="165" t="s">
        <v>512</v>
      </c>
      <c r="F93" s="165">
        <v>8089</v>
      </c>
      <c r="G93" s="165" t="s">
        <v>513</v>
      </c>
      <c r="H93" s="165">
        <v>12</v>
      </c>
      <c r="I93" s="165">
        <v>10</v>
      </c>
      <c r="J93" s="165" t="s">
        <v>514</v>
      </c>
      <c r="K93" s="165"/>
      <c r="L93" s="165" t="s">
        <v>512</v>
      </c>
      <c r="M93" s="165"/>
      <c r="N93" s="165"/>
      <c r="O93" s="185" t="s">
        <v>755</v>
      </c>
      <c r="P93" s="186" t="s">
        <v>715</v>
      </c>
    </row>
    <row r="94" spans="1:16">
      <c r="A94" s="184" t="s">
        <v>605</v>
      </c>
      <c r="B94" s="165" t="s">
        <v>510</v>
      </c>
      <c r="C94" s="165" t="s">
        <v>511</v>
      </c>
      <c r="D94" s="165" t="s">
        <v>512</v>
      </c>
      <c r="E94" s="165" t="s">
        <v>512</v>
      </c>
      <c r="F94" s="165">
        <v>8090</v>
      </c>
      <c r="G94" s="165" t="s">
        <v>513</v>
      </c>
      <c r="H94" s="165">
        <v>12</v>
      </c>
      <c r="I94" s="165">
        <v>10</v>
      </c>
      <c r="J94" s="165" t="s">
        <v>514</v>
      </c>
      <c r="K94" s="165"/>
      <c r="L94" s="165" t="s">
        <v>512</v>
      </c>
      <c r="M94" s="165"/>
      <c r="N94" s="165"/>
      <c r="O94" s="185" t="s">
        <v>756</v>
      </c>
      <c r="P94" s="186" t="s">
        <v>715</v>
      </c>
    </row>
    <row r="95" spans="1:16">
      <c r="A95" s="184" t="s">
        <v>606</v>
      </c>
      <c r="B95" s="165" t="s">
        <v>510</v>
      </c>
      <c r="C95" s="165" t="s">
        <v>511</v>
      </c>
      <c r="D95" s="165" t="s">
        <v>512</v>
      </c>
      <c r="E95" s="165" t="s">
        <v>512</v>
      </c>
      <c r="F95" s="165">
        <v>8091</v>
      </c>
      <c r="G95" s="165" t="s">
        <v>513</v>
      </c>
      <c r="H95" s="165">
        <v>12</v>
      </c>
      <c r="I95" s="165">
        <v>10</v>
      </c>
      <c r="J95" s="165" t="s">
        <v>514</v>
      </c>
      <c r="K95" s="165"/>
      <c r="L95" s="165" t="s">
        <v>512</v>
      </c>
      <c r="M95" s="165"/>
      <c r="N95" s="165"/>
      <c r="O95" s="185" t="s">
        <v>757</v>
      </c>
      <c r="P95" s="186" t="s">
        <v>715</v>
      </c>
    </row>
    <row r="96" spans="1:16">
      <c r="A96" s="184" t="s">
        <v>607</v>
      </c>
      <c r="B96" s="165" t="s">
        <v>510</v>
      </c>
      <c r="C96" s="165" t="s">
        <v>511</v>
      </c>
      <c r="D96" s="165" t="s">
        <v>512</v>
      </c>
      <c r="E96" s="165" t="s">
        <v>512</v>
      </c>
      <c r="F96" s="165">
        <v>8092</v>
      </c>
      <c r="G96" s="165" t="s">
        <v>513</v>
      </c>
      <c r="H96" s="165">
        <v>12</v>
      </c>
      <c r="I96" s="165">
        <v>10</v>
      </c>
      <c r="J96" s="165" t="s">
        <v>514</v>
      </c>
      <c r="K96" s="165"/>
      <c r="L96" s="165" t="s">
        <v>512</v>
      </c>
      <c r="M96" s="165"/>
      <c r="N96" s="165"/>
      <c r="O96" s="185" t="s">
        <v>758</v>
      </c>
      <c r="P96" s="186" t="s">
        <v>715</v>
      </c>
    </row>
    <row r="97" spans="1:16">
      <c r="A97" s="184" t="s">
        <v>608</v>
      </c>
      <c r="B97" s="165" t="s">
        <v>510</v>
      </c>
      <c r="C97" s="165" t="s">
        <v>511</v>
      </c>
      <c r="D97" s="165" t="s">
        <v>512</v>
      </c>
      <c r="E97" s="165" t="s">
        <v>512</v>
      </c>
      <c r="F97" s="165">
        <v>8093</v>
      </c>
      <c r="G97" s="165" t="s">
        <v>513</v>
      </c>
      <c r="H97" s="165">
        <v>12</v>
      </c>
      <c r="I97" s="165">
        <v>10</v>
      </c>
      <c r="J97" s="165" t="s">
        <v>514</v>
      </c>
      <c r="K97" s="165"/>
      <c r="L97" s="165" t="s">
        <v>512</v>
      </c>
      <c r="M97" s="165"/>
      <c r="N97" s="165"/>
      <c r="O97" s="185" t="s">
        <v>759</v>
      </c>
      <c r="P97" s="186" t="s">
        <v>715</v>
      </c>
    </row>
    <row r="98" spans="1:16">
      <c r="A98" s="184" t="s">
        <v>609</v>
      </c>
      <c r="B98" s="165" t="s">
        <v>510</v>
      </c>
      <c r="C98" s="165" t="s">
        <v>511</v>
      </c>
      <c r="D98" s="165" t="s">
        <v>512</v>
      </c>
      <c r="E98" s="165" t="s">
        <v>512</v>
      </c>
      <c r="F98" s="165">
        <v>8094</v>
      </c>
      <c r="G98" s="165" t="s">
        <v>513</v>
      </c>
      <c r="H98" s="165">
        <v>12</v>
      </c>
      <c r="I98" s="165">
        <v>10</v>
      </c>
      <c r="J98" s="165" t="s">
        <v>514</v>
      </c>
      <c r="K98" s="165"/>
      <c r="L98" s="165" t="s">
        <v>512</v>
      </c>
      <c r="M98" s="165"/>
      <c r="N98" s="165"/>
      <c r="O98" s="185" t="s">
        <v>760</v>
      </c>
      <c r="P98" s="186" t="s">
        <v>715</v>
      </c>
    </row>
    <row r="99" spans="1:16">
      <c r="A99" s="184" t="s">
        <v>610</v>
      </c>
      <c r="B99" s="165" t="s">
        <v>510</v>
      </c>
      <c r="C99" s="165" t="s">
        <v>511</v>
      </c>
      <c r="D99" s="165" t="s">
        <v>512</v>
      </c>
      <c r="E99" s="165" t="s">
        <v>512</v>
      </c>
      <c r="F99" s="165">
        <v>8095</v>
      </c>
      <c r="G99" s="165" t="s">
        <v>513</v>
      </c>
      <c r="H99" s="165">
        <v>12</v>
      </c>
      <c r="I99" s="165">
        <v>10</v>
      </c>
      <c r="J99" s="165" t="s">
        <v>514</v>
      </c>
      <c r="K99" s="165"/>
      <c r="L99" s="165" t="s">
        <v>512</v>
      </c>
      <c r="M99" s="165"/>
      <c r="N99" s="165"/>
      <c r="O99" s="185" t="s">
        <v>761</v>
      </c>
      <c r="P99" s="186" t="s">
        <v>715</v>
      </c>
    </row>
    <row r="100" spans="1:16">
      <c r="A100" s="184" t="s">
        <v>611</v>
      </c>
      <c r="B100" s="165" t="s">
        <v>510</v>
      </c>
      <c r="C100" s="165" t="s">
        <v>511</v>
      </c>
      <c r="D100" s="165" t="s">
        <v>512</v>
      </c>
      <c r="E100" s="165" t="s">
        <v>512</v>
      </c>
      <c r="F100" s="165">
        <v>8096</v>
      </c>
      <c r="G100" s="165" t="s">
        <v>513</v>
      </c>
      <c r="H100" s="165">
        <v>12</v>
      </c>
      <c r="I100" s="165">
        <v>10</v>
      </c>
      <c r="J100" s="165" t="s">
        <v>514</v>
      </c>
      <c r="K100" s="165"/>
      <c r="L100" s="165" t="s">
        <v>512</v>
      </c>
      <c r="M100" s="165"/>
      <c r="N100" s="165"/>
      <c r="O100" s="185" t="s">
        <v>762</v>
      </c>
      <c r="P100" s="186" t="s">
        <v>715</v>
      </c>
    </row>
    <row r="101" spans="1:16">
      <c r="A101" s="184" t="s">
        <v>612</v>
      </c>
      <c r="B101" s="165" t="s">
        <v>510</v>
      </c>
      <c r="C101" s="165" t="s">
        <v>511</v>
      </c>
      <c r="D101" s="165" t="s">
        <v>512</v>
      </c>
      <c r="E101" s="165" t="s">
        <v>512</v>
      </c>
      <c r="F101" s="165">
        <v>8097</v>
      </c>
      <c r="G101" s="165" t="s">
        <v>513</v>
      </c>
      <c r="H101" s="165">
        <v>12</v>
      </c>
      <c r="I101" s="165">
        <v>10</v>
      </c>
      <c r="J101" s="165" t="s">
        <v>514</v>
      </c>
      <c r="K101" s="165"/>
      <c r="L101" s="165" t="s">
        <v>512</v>
      </c>
      <c r="M101" s="165"/>
      <c r="N101" s="165"/>
      <c r="O101" s="185" t="s">
        <v>763</v>
      </c>
      <c r="P101" s="186" t="s">
        <v>715</v>
      </c>
    </row>
    <row r="102" spans="1:16">
      <c r="A102" s="184" t="s">
        <v>613</v>
      </c>
      <c r="B102" s="165" t="s">
        <v>510</v>
      </c>
      <c r="C102" s="165" t="s">
        <v>511</v>
      </c>
      <c r="D102" s="165" t="s">
        <v>512</v>
      </c>
      <c r="E102" s="165" t="s">
        <v>512</v>
      </c>
      <c r="F102" s="165">
        <v>8098</v>
      </c>
      <c r="G102" s="165" t="s">
        <v>513</v>
      </c>
      <c r="H102" s="165">
        <v>12</v>
      </c>
      <c r="I102" s="165">
        <v>10</v>
      </c>
      <c r="J102" s="165" t="s">
        <v>514</v>
      </c>
      <c r="K102" s="165"/>
      <c r="L102" s="165" t="s">
        <v>512</v>
      </c>
      <c r="M102" s="165"/>
      <c r="N102" s="165"/>
      <c r="O102" s="185" t="s">
        <v>764</v>
      </c>
      <c r="P102" s="186" t="s">
        <v>715</v>
      </c>
    </row>
    <row r="103" spans="1:16">
      <c r="A103" s="184" t="s">
        <v>614</v>
      </c>
      <c r="B103" s="165" t="s">
        <v>510</v>
      </c>
      <c r="C103" s="165" t="s">
        <v>511</v>
      </c>
      <c r="D103" s="165" t="s">
        <v>512</v>
      </c>
      <c r="E103" s="165" t="s">
        <v>512</v>
      </c>
      <c r="F103" s="165">
        <v>8099</v>
      </c>
      <c r="G103" s="165" t="s">
        <v>513</v>
      </c>
      <c r="H103" s="165">
        <v>12</v>
      </c>
      <c r="I103" s="165">
        <v>10</v>
      </c>
      <c r="J103" s="165" t="s">
        <v>514</v>
      </c>
      <c r="K103" s="165"/>
      <c r="L103" s="165" t="s">
        <v>512</v>
      </c>
      <c r="M103" s="165"/>
      <c r="N103" s="165"/>
      <c r="O103" s="185" t="s">
        <v>765</v>
      </c>
      <c r="P103" s="186" t="s">
        <v>715</v>
      </c>
    </row>
    <row r="104" spans="1:16">
      <c r="A104" s="184" t="s">
        <v>615</v>
      </c>
      <c r="B104" s="165" t="s">
        <v>510</v>
      </c>
      <c r="C104" s="165" t="s">
        <v>511</v>
      </c>
      <c r="D104" s="165" t="s">
        <v>512</v>
      </c>
      <c r="E104" s="165" t="s">
        <v>512</v>
      </c>
      <c r="F104" s="165">
        <v>8100</v>
      </c>
      <c r="G104" s="165" t="s">
        <v>513</v>
      </c>
      <c r="H104" s="165">
        <v>12</v>
      </c>
      <c r="I104" s="165">
        <v>10</v>
      </c>
      <c r="J104" s="165" t="s">
        <v>514</v>
      </c>
      <c r="K104" s="165"/>
      <c r="L104" s="165" t="s">
        <v>512</v>
      </c>
      <c r="M104" s="165"/>
      <c r="N104" s="165"/>
      <c r="O104" s="185" t="s">
        <v>766</v>
      </c>
      <c r="P104" s="186" t="s">
        <v>715</v>
      </c>
    </row>
    <row r="105" spans="1:16">
      <c r="A105" s="184" t="s">
        <v>616</v>
      </c>
      <c r="B105" s="165" t="s">
        <v>510</v>
      </c>
      <c r="C105" s="165" t="s">
        <v>511</v>
      </c>
      <c r="D105" s="165" t="s">
        <v>512</v>
      </c>
      <c r="E105" s="165" t="s">
        <v>512</v>
      </c>
      <c r="F105" s="165">
        <v>8101</v>
      </c>
      <c r="G105" s="165" t="s">
        <v>513</v>
      </c>
      <c r="H105" s="165">
        <v>12</v>
      </c>
      <c r="I105" s="165">
        <v>10</v>
      </c>
      <c r="J105" s="165" t="s">
        <v>514</v>
      </c>
      <c r="K105" s="165"/>
      <c r="L105" s="165" t="s">
        <v>512</v>
      </c>
      <c r="M105" s="165"/>
      <c r="N105" s="165"/>
      <c r="O105" s="185" t="s">
        <v>767</v>
      </c>
      <c r="P105" s="186" t="s">
        <v>715</v>
      </c>
    </row>
    <row r="106" spans="1:16">
      <c r="A106" s="184" t="s">
        <v>617</v>
      </c>
      <c r="B106" s="165" t="s">
        <v>510</v>
      </c>
      <c r="C106" s="165" t="s">
        <v>511</v>
      </c>
      <c r="D106" s="165" t="s">
        <v>512</v>
      </c>
      <c r="E106" s="165" t="s">
        <v>512</v>
      </c>
      <c r="F106" s="165">
        <v>8102</v>
      </c>
      <c r="G106" s="165" t="s">
        <v>513</v>
      </c>
      <c r="H106" s="165">
        <v>12</v>
      </c>
      <c r="I106" s="165">
        <v>10</v>
      </c>
      <c r="J106" s="165" t="s">
        <v>514</v>
      </c>
      <c r="K106" s="165"/>
      <c r="L106" s="165" t="s">
        <v>512</v>
      </c>
      <c r="M106" s="165"/>
      <c r="N106" s="165"/>
      <c r="O106" s="185" t="s">
        <v>768</v>
      </c>
      <c r="P106" s="186" t="s">
        <v>715</v>
      </c>
    </row>
    <row r="107" spans="1:16">
      <c r="A107" s="184" t="s">
        <v>618</v>
      </c>
      <c r="B107" s="165" t="s">
        <v>510</v>
      </c>
      <c r="C107" s="165" t="s">
        <v>511</v>
      </c>
      <c r="D107" s="165" t="s">
        <v>512</v>
      </c>
      <c r="E107" s="165" t="s">
        <v>512</v>
      </c>
      <c r="F107" s="165">
        <v>8103</v>
      </c>
      <c r="G107" s="165" t="s">
        <v>513</v>
      </c>
      <c r="H107" s="165">
        <v>12</v>
      </c>
      <c r="I107" s="165">
        <v>10</v>
      </c>
      <c r="J107" s="165" t="s">
        <v>514</v>
      </c>
      <c r="K107" s="165"/>
      <c r="L107" s="165" t="s">
        <v>512</v>
      </c>
      <c r="M107" s="165"/>
      <c r="N107" s="165"/>
      <c r="O107" s="185" t="s">
        <v>769</v>
      </c>
      <c r="P107" s="186" t="s">
        <v>715</v>
      </c>
    </row>
    <row r="108" spans="1:16">
      <c r="A108" s="184" t="s">
        <v>619</v>
      </c>
      <c r="B108" s="165" t="s">
        <v>510</v>
      </c>
      <c r="C108" s="165" t="s">
        <v>511</v>
      </c>
      <c r="D108" s="165" t="s">
        <v>512</v>
      </c>
      <c r="E108" s="165" t="s">
        <v>512</v>
      </c>
      <c r="F108" s="165">
        <v>8104</v>
      </c>
      <c r="G108" s="165" t="s">
        <v>513</v>
      </c>
      <c r="H108" s="165">
        <v>12</v>
      </c>
      <c r="I108" s="165">
        <v>10</v>
      </c>
      <c r="J108" s="165" t="s">
        <v>514</v>
      </c>
      <c r="K108" s="165"/>
      <c r="L108" s="165" t="s">
        <v>512</v>
      </c>
      <c r="M108" s="165"/>
      <c r="N108" s="165"/>
      <c r="O108" s="185" t="s">
        <v>770</v>
      </c>
      <c r="P108" s="186" t="s">
        <v>715</v>
      </c>
    </row>
    <row r="109" spans="1:16">
      <c r="A109" s="184" t="s">
        <v>620</v>
      </c>
      <c r="B109" s="165" t="s">
        <v>510</v>
      </c>
      <c r="C109" s="165" t="s">
        <v>511</v>
      </c>
      <c r="D109" s="165" t="s">
        <v>512</v>
      </c>
      <c r="E109" s="165" t="s">
        <v>512</v>
      </c>
      <c r="F109" s="165">
        <v>8105</v>
      </c>
      <c r="G109" s="165" t="s">
        <v>513</v>
      </c>
      <c r="H109" s="165">
        <v>12</v>
      </c>
      <c r="I109" s="165">
        <v>10</v>
      </c>
      <c r="J109" s="165" t="s">
        <v>514</v>
      </c>
      <c r="K109" s="165"/>
      <c r="L109" s="165" t="s">
        <v>512</v>
      </c>
      <c r="M109" s="165"/>
      <c r="N109" s="165"/>
      <c r="O109" s="185" t="s">
        <v>771</v>
      </c>
      <c r="P109" s="186" t="s">
        <v>715</v>
      </c>
    </row>
    <row r="110" spans="1:16">
      <c r="A110" s="184" t="s">
        <v>621</v>
      </c>
      <c r="B110" s="165" t="s">
        <v>510</v>
      </c>
      <c r="C110" s="165" t="s">
        <v>511</v>
      </c>
      <c r="D110" s="165" t="s">
        <v>512</v>
      </c>
      <c r="E110" s="165" t="s">
        <v>512</v>
      </c>
      <c r="F110" s="165">
        <v>8106</v>
      </c>
      <c r="G110" s="165" t="s">
        <v>513</v>
      </c>
      <c r="H110" s="165">
        <v>12</v>
      </c>
      <c r="I110" s="165">
        <v>10</v>
      </c>
      <c r="J110" s="165" t="s">
        <v>514</v>
      </c>
      <c r="K110" s="165"/>
      <c r="L110" s="165" t="s">
        <v>512</v>
      </c>
      <c r="M110" s="165"/>
      <c r="N110" s="165"/>
      <c r="O110" s="185" t="s">
        <v>772</v>
      </c>
      <c r="P110" s="186" t="s">
        <v>715</v>
      </c>
    </row>
    <row r="111" spans="1:16">
      <c r="A111" s="184" t="s">
        <v>622</v>
      </c>
      <c r="B111" s="165" t="s">
        <v>510</v>
      </c>
      <c r="C111" s="165" t="s">
        <v>511</v>
      </c>
      <c r="D111" s="165" t="s">
        <v>512</v>
      </c>
      <c r="E111" s="165" t="s">
        <v>512</v>
      </c>
      <c r="F111" s="165">
        <v>8107</v>
      </c>
      <c r="G111" s="165" t="s">
        <v>513</v>
      </c>
      <c r="H111" s="165">
        <v>12</v>
      </c>
      <c r="I111" s="165">
        <v>10</v>
      </c>
      <c r="J111" s="165" t="s">
        <v>514</v>
      </c>
      <c r="K111" s="165"/>
      <c r="L111" s="165" t="s">
        <v>512</v>
      </c>
      <c r="M111" s="165"/>
      <c r="N111" s="165"/>
      <c r="O111" s="185" t="s">
        <v>773</v>
      </c>
      <c r="P111" s="186" t="s">
        <v>715</v>
      </c>
    </row>
    <row r="112" spans="1:16">
      <c r="A112" s="184" t="s">
        <v>623</v>
      </c>
      <c r="B112" s="165" t="s">
        <v>510</v>
      </c>
      <c r="C112" s="165" t="s">
        <v>511</v>
      </c>
      <c r="D112" s="165" t="s">
        <v>512</v>
      </c>
      <c r="E112" s="165" t="s">
        <v>512</v>
      </c>
      <c r="F112" s="165">
        <v>8108</v>
      </c>
      <c r="G112" s="165" t="s">
        <v>513</v>
      </c>
      <c r="H112" s="165">
        <v>12</v>
      </c>
      <c r="I112" s="165">
        <v>10</v>
      </c>
      <c r="J112" s="165" t="s">
        <v>514</v>
      </c>
      <c r="K112" s="165"/>
      <c r="L112" s="165" t="s">
        <v>512</v>
      </c>
      <c r="M112" s="165"/>
      <c r="N112" s="165"/>
      <c r="O112" s="185" t="s">
        <v>774</v>
      </c>
      <c r="P112" s="186" t="s">
        <v>715</v>
      </c>
    </row>
    <row r="113" spans="1:16">
      <c r="A113" s="184" t="s">
        <v>624</v>
      </c>
      <c r="B113" s="165" t="s">
        <v>510</v>
      </c>
      <c r="C113" s="165" t="s">
        <v>511</v>
      </c>
      <c r="D113" s="165" t="s">
        <v>512</v>
      </c>
      <c r="E113" s="165" t="s">
        <v>512</v>
      </c>
      <c r="F113" s="165">
        <v>8109</v>
      </c>
      <c r="G113" s="165" t="s">
        <v>513</v>
      </c>
      <c r="H113" s="165">
        <v>12</v>
      </c>
      <c r="I113" s="165">
        <v>10</v>
      </c>
      <c r="J113" s="165" t="s">
        <v>514</v>
      </c>
      <c r="K113" s="165"/>
      <c r="L113" s="165" t="s">
        <v>512</v>
      </c>
      <c r="M113" s="165"/>
      <c r="N113" s="165"/>
      <c r="O113" s="185" t="s">
        <v>775</v>
      </c>
      <c r="P113" s="186" t="s">
        <v>715</v>
      </c>
    </row>
    <row r="114" spans="1:16">
      <c r="A114" s="184" t="s">
        <v>625</v>
      </c>
      <c r="B114" s="165" t="s">
        <v>510</v>
      </c>
      <c r="C114" s="165" t="s">
        <v>511</v>
      </c>
      <c r="D114" s="165" t="s">
        <v>512</v>
      </c>
      <c r="E114" s="165" t="s">
        <v>512</v>
      </c>
      <c r="F114" s="165">
        <v>8110</v>
      </c>
      <c r="G114" s="165" t="s">
        <v>513</v>
      </c>
      <c r="H114" s="165">
        <v>12</v>
      </c>
      <c r="I114" s="165">
        <v>10</v>
      </c>
      <c r="J114" s="165" t="s">
        <v>514</v>
      </c>
      <c r="K114" s="165"/>
      <c r="L114" s="165" t="s">
        <v>512</v>
      </c>
      <c r="M114" s="165"/>
      <c r="N114" s="165"/>
      <c r="O114" s="185" t="s">
        <v>776</v>
      </c>
      <c r="P114" s="186" t="s">
        <v>715</v>
      </c>
    </row>
    <row r="115" spans="1:16">
      <c r="A115" s="184" t="s">
        <v>626</v>
      </c>
      <c r="B115" s="165" t="s">
        <v>510</v>
      </c>
      <c r="C115" s="165" t="s">
        <v>511</v>
      </c>
      <c r="D115" s="165" t="s">
        <v>512</v>
      </c>
      <c r="E115" s="165" t="s">
        <v>512</v>
      </c>
      <c r="F115" s="165">
        <v>8111</v>
      </c>
      <c r="G115" s="165" t="s">
        <v>513</v>
      </c>
      <c r="H115" s="165">
        <v>12</v>
      </c>
      <c r="I115" s="165">
        <v>10</v>
      </c>
      <c r="J115" s="165" t="s">
        <v>514</v>
      </c>
      <c r="K115" s="165"/>
      <c r="L115" s="165" t="s">
        <v>512</v>
      </c>
      <c r="M115" s="165"/>
      <c r="N115" s="165"/>
      <c r="O115" s="185" t="s">
        <v>777</v>
      </c>
      <c r="P115" s="186" t="s">
        <v>715</v>
      </c>
    </row>
    <row r="116" spans="1:16">
      <c r="A116" s="184" t="s">
        <v>627</v>
      </c>
      <c r="B116" s="165" t="s">
        <v>510</v>
      </c>
      <c r="C116" s="165" t="s">
        <v>511</v>
      </c>
      <c r="D116" s="165" t="s">
        <v>512</v>
      </c>
      <c r="E116" s="165" t="s">
        <v>512</v>
      </c>
      <c r="F116" s="165">
        <v>8112</v>
      </c>
      <c r="G116" s="165" t="s">
        <v>513</v>
      </c>
      <c r="H116" s="165">
        <v>12</v>
      </c>
      <c r="I116" s="165">
        <v>10</v>
      </c>
      <c r="J116" s="165" t="s">
        <v>514</v>
      </c>
      <c r="K116" s="165"/>
      <c r="L116" s="165" t="s">
        <v>512</v>
      </c>
      <c r="M116" s="165"/>
      <c r="N116" s="165"/>
      <c r="O116" s="185" t="s">
        <v>778</v>
      </c>
      <c r="P116" s="186" t="s">
        <v>715</v>
      </c>
    </row>
    <row r="117" spans="1:16">
      <c r="A117" s="184" t="s">
        <v>628</v>
      </c>
      <c r="B117" s="165" t="s">
        <v>510</v>
      </c>
      <c r="C117" s="165" t="s">
        <v>511</v>
      </c>
      <c r="D117" s="165" t="s">
        <v>512</v>
      </c>
      <c r="E117" s="165" t="s">
        <v>512</v>
      </c>
      <c r="F117" s="165">
        <v>8113</v>
      </c>
      <c r="G117" s="165" t="s">
        <v>513</v>
      </c>
      <c r="H117" s="165">
        <v>12</v>
      </c>
      <c r="I117" s="165">
        <v>10</v>
      </c>
      <c r="J117" s="165" t="s">
        <v>514</v>
      </c>
      <c r="K117" s="165"/>
      <c r="L117" s="165" t="s">
        <v>512</v>
      </c>
      <c r="M117" s="165"/>
      <c r="N117" s="165"/>
      <c r="O117" s="185" t="s">
        <v>779</v>
      </c>
      <c r="P117" s="186" t="s">
        <v>715</v>
      </c>
    </row>
    <row r="118" spans="1:16">
      <c r="A118" s="184" t="s">
        <v>629</v>
      </c>
      <c r="B118" s="165" t="s">
        <v>510</v>
      </c>
      <c r="C118" s="165" t="s">
        <v>511</v>
      </c>
      <c r="D118" s="165" t="s">
        <v>512</v>
      </c>
      <c r="E118" s="165" t="s">
        <v>512</v>
      </c>
      <c r="F118" s="165">
        <v>8114</v>
      </c>
      <c r="G118" s="165" t="s">
        <v>513</v>
      </c>
      <c r="H118" s="165">
        <v>12</v>
      </c>
      <c r="I118" s="165">
        <v>10</v>
      </c>
      <c r="J118" s="165" t="s">
        <v>514</v>
      </c>
      <c r="K118" s="165"/>
      <c r="L118" s="165" t="s">
        <v>512</v>
      </c>
      <c r="M118" s="165"/>
      <c r="N118" s="165"/>
      <c r="O118" s="185" t="s">
        <v>780</v>
      </c>
      <c r="P118" s="186" t="s">
        <v>715</v>
      </c>
    </row>
    <row r="119" spans="1:16">
      <c r="A119" s="184" t="s">
        <v>630</v>
      </c>
      <c r="B119" s="165" t="s">
        <v>510</v>
      </c>
      <c r="C119" s="165" t="s">
        <v>511</v>
      </c>
      <c r="D119" s="165" t="s">
        <v>512</v>
      </c>
      <c r="E119" s="165" t="s">
        <v>512</v>
      </c>
      <c r="F119" s="165">
        <v>8115</v>
      </c>
      <c r="G119" s="165" t="s">
        <v>513</v>
      </c>
      <c r="H119" s="165">
        <v>12</v>
      </c>
      <c r="I119" s="165">
        <v>10</v>
      </c>
      <c r="J119" s="165" t="s">
        <v>514</v>
      </c>
      <c r="K119" s="165"/>
      <c r="L119" s="165" t="s">
        <v>512</v>
      </c>
      <c r="M119" s="165"/>
      <c r="N119" s="165"/>
      <c r="O119" s="185" t="s">
        <v>781</v>
      </c>
      <c r="P119" s="186" t="s">
        <v>715</v>
      </c>
    </row>
    <row r="120" spans="1:16">
      <c r="A120" s="184" t="s">
        <v>631</v>
      </c>
      <c r="B120" s="165" t="s">
        <v>510</v>
      </c>
      <c r="C120" s="165" t="s">
        <v>511</v>
      </c>
      <c r="D120" s="165" t="s">
        <v>512</v>
      </c>
      <c r="E120" s="165" t="s">
        <v>512</v>
      </c>
      <c r="F120" s="165">
        <v>8116</v>
      </c>
      <c r="G120" s="165" t="s">
        <v>513</v>
      </c>
      <c r="H120" s="165">
        <v>12</v>
      </c>
      <c r="I120" s="165">
        <v>10</v>
      </c>
      <c r="J120" s="165" t="s">
        <v>514</v>
      </c>
      <c r="K120" s="165"/>
      <c r="L120" s="165" t="s">
        <v>512</v>
      </c>
      <c r="M120" s="165"/>
      <c r="N120" s="165"/>
      <c r="O120" s="185" t="s">
        <v>782</v>
      </c>
      <c r="P120" s="186" t="s">
        <v>715</v>
      </c>
    </row>
    <row r="121" spans="1:16">
      <c r="A121" s="184" t="s">
        <v>632</v>
      </c>
      <c r="B121" s="165" t="s">
        <v>510</v>
      </c>
      <c r="C121" s="165" t="s">
        <v>511</v>
      </c>
      <c r="D121" s="165" t="s">
        <v>512</v>
      </c>
      <c r="E121" s="165" t="s">
        <v>512</v>
      </c>
      <c r="F121" s="165">
        <v>8117</v>
      </c>
      <c r="G121" s="165" t="s">
        <v>513</v>
      </c>
      <c r="H121" s="165">
        <v>12</v>
      </c>
      <c r="I121" s="165">
        <v>10</v>
      </c>
      <c r="J121" s="165" t="s">
        <v>514</v>
      </c>
      <c r="K121" s="165"/>
      <c r="L121" s="165" t="s">
        <v>512</v>
      </c>
      <c r="M121" s="165"/>
      <c r="N121" s="165"/>
      <c r="O121" s="185" t="s">
        <v>783</v>
      </c>
      <c r="P121" s="186" t="s">
        <v>715</v>
      </c>
    </row>
    <row r="122" spans="1:16">
      <c r="A122" s="184" t="s">
        <v>633</v>
      </c>
      <c r="B122" s="165" t="s">
        <v>510</v>
      </c>
      <c r="C122" s="165" t="s">
        <v>511</v>
      </c>
      <c r="D122" s="165" t="s">
        <v>512</v>
      </c>
      <c r="E122" s="165" t="s">
        <v>512</v>
      </c>
      <c r="F122" s="165">
        <v>8118</v>
      </c>
      <c r="G122" s="165" t="s">
        <v>513</v>
      </c>
      <c r="H122" s="165">
        <v>12</v>
      </c>
      <c r="I122" s="165">
        <v>10</v>
      </c>
      <c r="J122" s="165" t="s">
        <v>514</v>
      </c>
      <c r="K122" s="165"/>
      <c r="L122" s="165" t="s">
        <v>512</v>
      </c>
      <c r="M122" s="165"/>
      <c r="N122" s="165"/>
      <c r="O122" s="185" t="s">
        <v>784</v>
      </c>
      <c r="P122" s="186" t="s">
        <v>715</v>
      </c>
    </row>
    <row r="123" spans="1:16">
      <c r="A123" s="184" t="s">
        <v>634</v>
      </c>
      <c r="B123" s="165" t="s">
        <v>510</v>
      </c>
      <c r="C123" s="165" t="s">
        <v>511</v>
      </c>
      <c r="D123" s="165" t="s">
        <v>512</v>
      </c>
      <c r="E123" s="165" t="s">
        <v>512</v>
      </c>
      <c r="F123" s="165">
        <v>8119</v>
      </c>
      <c r="G123" s="165" t="s">
        <v>513</v>
      </c>
      <c r="H123" s="165">
        <v>12</v>
      </c>
      <c r="I123" s="165">
        <v>10</v>
      </c>
      <c r="J123" s="165" t="s">
        <v>514</v>
      </c>
      <c r="K123" s="165"/>
      <c r="L123" s="165" t="s">
        <v>512</v>
      </c>
      <c r="M123" s="165"/>
      <c r="N123" s="165"/>
      <c r="O123" s="185" t="s">
        <v>785</v>
      </c>
      <c r="P123" s="186" t="s">
        <v>715</v>
      </c>
    </row>
    <row r="124" spans="1:16">
      <c r="A124" s="184" t="s">
        <v>635</v>
      </c>
      <c r="B124" s="165" t="s">
        <v>510</v>
      </c>
      <c r="C124" s="165" t="s">
        <v>511</v>
      </c>
      <c r="D124" s="165" t="s">
        <v>512</v>
      </c>
      <c r="E124" s="165" t="s">
        <v>512</v>
      </c>
      <c r="F124" s="165">
        <v>8120</v>
      </c>
      <c r="G124" s="165" t="s">
        <v>513</v>
      </c>
      <c r="H124" s="165">
        <v>12</v>
      </c>
      <c r="I124" s="165">
        <v>10</v>
      </c>
      <c r="J124" s="165" t="s">
        <v>514</v>
      </c>
      <c r="K124" s="165"/>
      <c r="L124" s="165" t="s">
        <v>512</v>
      </c>
      <c r="M124" s="165"/>
      <c r="N124" s="165"/>
      <c r="O124" s="185" t="s">
        <v>786</v>
      </c>
      <c r="P124" s="186" t="s">
        <v>715</v>
      </c>
    </row>
    <row r="125" spans="1:16">
      <c r="A125" s="184" t="s">
        <v>636</v>
      </c>
      <c r="B125" s="165" t="s">
        <v>510</v>
      </c>
      <c r="C125" s="165" t="s">
        <v>511</v>
      </c>
      <c r="D125" s="165" t="s">
        <v>512</v>
      </c>
      <c r="E125" s="165" t="s">
        <v>512</v>
      </c>
      <c r="F125" s="165">
        <v>8121</v>
      </c>
      <c r="G125" s="165" t="s">
        <v>513</v>
      </c>
      <c r="H125" s="165">
        <v>12</v>
      </c>
      <c r="I125" s="165">
        <v>10</v>
      </c>
      <c r="J125" s="165" t="s">
        <v>514</v>
      </c>
      <c r="K125" s="165"/>
      <c r="L125" s="165" t="s">
        <v>512</v>
      </c>
      <c r="M125" s="165"/>
      <c r="N125" s="165"/>
      <c r="O125" s="185" t="s">
        <v>787</v>
      </c>
      <c r="P125" s="186" t="s">
        <v>715</v>
      </c>
    </row>
    <row r="126" spans="1:16">
      <c r="A126" s="184" t="s">
        <v>637</v>
      </c>
      <c r="B126" s="165" t="s">
        <v>510</v>
      </c>
      <c r="C126" s="165" t="s">
        <v>511</v>
      </c>
      <c r="D126" s="165" t="s">
        <v>512</v>
      </c>
      <c r="E126" s="165" t="s">
        <v>512</v>
      </c>
      <c r="F126" s="165">
        <v>8122</v>
      </c>
      <c r="G126" s="165" t="s">
        <v>513</v>
      </c>
      <c r="H126" s="165">
        <v>12</v>
      </c>
      <c r="I126" s="165">
        <v>10</v>
      </c>
      <c r="J126" s="165" t="s">
        <v>514</v>
      </c>
      <c r="K126" s="165"/>
      <c r="L126" s="165" t="s">
        <v>512</v>
      </c>
      <c r="M126" s="165"/>
      <c r="N126" s="165"/>
      <c r="O126" s="185" t="s">
        <v>788</v>
      </c>
      <c r="P126" s="186" t="s">
        <v>715</v>
      </c>
    </row>
    <row r="127" spans="1:16">
      <c r="A127" s="184" t="s">
        <v>638</v>
      </c>
      <c r="B127" s="165" t="s">
        <v>510</v>
      </c>
      <c r="C127" s="165" t="s">
        <v>511</v>
      </c>
      <c r="D127" s="165" t="s">
        <v>512</v>
      </c>
      <c r="E127" s="165" t="s">
        <v>512</v>
      </c>
      <c r="F127" s="165">
        <v>8123</v>
      </c>
      <c r="G127" s="165" t="s">
        <v>513</v>
      </c>
      <c r="H127" s="165">
        <v>12</v>
      </c>
      <c r="I127" s="165">
        <v>10</v>
      </c>
      <c r="J127" s="165" t="s">
        <v>514</v>
      </c>
      <c r="K127" s="165"/>
      <c r="L127" s="165" t="s">
        <v>512</v>
      </c>
      <c r="M127" s="165"/>
      <c r="N127" s="165"/>
      <c r="O127" s="185" t="s">
        <v>789</v>
      </c>
      <c r="P127" s="186" t="s">
        <v>715</v>
      </c>
    </row>
    <row r="128" spans="1:16">
      <c r="A128" s="184" t="s">
        <v>639</v>
      </c>
      <c r="B128" s="165" t="s">
        <v>510</v>
      </c>
      <c r="C128" s="165" t="s">
        <v>511</v>
      </c>
      <c r="D128" s="165" t="s">
        <v>512</v>
      </c>
      <c r="E128" s="165" t="s">
        <v>512</v>
      </c>
      <c r="F128" s="165">
        <v>8124</v>
      </c>
      <c r="G128" s="165" t="s">
        <v>513</v>
      </c>
      <c r="H128" s="165">
        <v>12</v>
      </c>
      <c r="I128" s="165">
        <v>10</v>
      </c>
      <c r="J128" s="165" t="s">
        <v>514</v>
      </c>
      <c r="K128" s="165"/>
      <c r="L128" s="165" t="s">
        <v>512</v>
      </c>
      <c r="M128" s="165"/>
      <c r="N128" s="165"/>
      <c r="O128" s="185" t="s">
        <v>790</v>
      </c>
      <c r="P128" s="186" t="s">
        <v>715</v>
      </c>
    </row>
    <row r="129" spans="1:16">
      <c r="A129" s="184" t="s">
        <v>640</v>
      </c>
      <c r="B129" s="165" t="s">
        <v>510</v>
      </c>
      <c r="C129" s="165" t="s">
        <v>511</v>
      </c>
      <c r="D129" s="165" t="s">
        <v>512</v>
      </c>
      <c r="E129" s="165" t="s">
        <v>512</v>
      </c>
      <c r="F129" s="165">
        <v>8125</v>
      </c>
      <c r="G129" s="165" t="s">
        <v>513</v>
      </c>
      <c r="H129" s="165">
        <v>12</v>
      </c>
      <c r="I129" s="165">
        <v>10</v>
      </c>
      <c r="J129" s="165" t="s">
        <v>514</v>
      </c>
      <c r="K129" s="165"/>
      <c r="L129" s="165" t="s">
        <v>512</v>
      </c>
      <c r="M129" s="165"/>
      <c r="N129" s="165"/>
      <c r="O129" s="185" t="s">
        <v>791</v>
      </c>
      <c r="P129" s="186" t="s">
        <v>715</v>
      </c>
    </row>
    <row r="130" spans="1:16">
      <c r="A130" s="184" t="s">
        <v>641</v>
      </c>
      <c r="B130" s="165" t="s">
        <v>510</v>
      </c>
      <c r="C130" s="165" t="s">
        <v>511</v>
      </c>
      <c r="D130" s="165" t="s">
        <v>512</v>
      </c>
      <c r="E130" s="165" t="s">
        <v>512</v>
      </c>
      <c r="F130" s="165">
        <v>8126</v>
      </c>
      <c r="G130" s="165" t="s">
        <v>513</v>
      </c>
      <c r="H130" s="165">
        <v>12</v>
      </c>
      <c r="I130" s="165">
        <v>10</v>
      </c>
      <c r="J130" s="165" t="s">
        <v>514</v>
      </c>
      <c r="K130" s="165"/>
      <c r="L130" s="165" t="s">
        <v>512</v>
      </c>
      <c r="M130" s="165"/>
      <c r="N130" s="165"/>
      <c r="O130" s="185" t="s">
        <v>792</v>
      </c>
      <c r="P130" s="186" t="s">
        <v>715</v>
      </c>
    </row>
    <row r="131" spans="1:16">
      <c r="A131" s="184" t="s">
        <v>642</v>
      </c>
      <c r="B131" s="165" t="s">
        <v>510</v>
      </c>
      <c r="C131" s="165" t="s">
        <v>511</v>
      </c>
      <c r="D131" s="165" t="s">
        <v>512</v>
      </c>
      <c r="E131" s="165" t="s">
        <v>512</v>
      </c>
      <c r="F131" s="165">
        <v>8127</v>
      </c>
      <c r="G131" s="165" t="s">
        <v>513</v>
      </c>
      <c r="H131" s="165">
        <v>12</v>
      </c>
      <c r="I131" s="165">
        <v>10</v>
      </c>
      <c r="J131" s="165" t="s">
        <v>514</v>
      </c>
      <c r="K131" s="165"/>
      <c r="L131" s="165" t="s">
        <v>512</v>
      </c>
      <c r="M131" s="165"/>
      <c r="N131" s="165"/>
      <c r="O131" s="185" t="s">
        <v>793</v>
      </c>
      <c r="P131" s="186" t="s">
        <v>715</v>
      </c>
    </row>
    <row r="132" spans="1:16">
      <c r="A132" s="184" t="s">
        <v>643</v>
      </c>
      <c r="B132" s="165" t="s">
        <v>510</v>
      </c>
      <c r="C132" s="165" t="s">
        <v>511</v>
      </c>
      <c r="D132" s="165" t="s">
        <v>512</v>
      </c>
      <c r="E132" s="165" t="s">
        <v>512</v>
      </c>
      <c r="F132" s="165">
        <v>8128</v>
      </c>
      <c r="G132" s="165" t="s">
        <v>513</v>
      </c>
      <c r="H132" s="165">
        <v>12</v>
      </c>
      <c r="I132" s="165">
        <v>10</v>
      </c>
      <c r="J132" s="165" t="s">
        <v>514</v>
      </c>
      <c r="K132" s="165"/>
      <c r="L132" s="165" t="s">
        <v>512</v>
      </c>
      <c r="M132" s="165"/>
      <c r="N132" s="165"/>
      <c r="O132" s="185" t="s">
        <v>794</v>
      </c>
      <c r="P132" s="186" t="s">
        <v>715</v>
      </c>
    </row>
    <row r="133" spans="1:16">
      <c r="A133" s="184" t="s">
        <v>644</v>
      </c>
      <c r="B133" s="165" t="s">
        <v>510</v>
      </c>
      <c r="C133" s="165" t="s">
        <v>511</v>
      </c>
      <c r="D133" s="165" t="s">
        <v>512</v>
      </c>
      <c r="E133" s="165" t="s">
        <v>512</v>
      </c>
      <c r="F133" s="165">
        <v>8129</v>
      </c>
      <c r="G133" s="165" t="s">
        <v>513</v>
      </c>
      <c r="H133" s="165">
        <v>12</v>
      </c>
      <c r="I133" s="165">
        <v>10</v>
      </c>
      <c r="J133" s="165" t="s">
        <v>514</v>
      </c>
      <c r="K133" s="165"/>
      <c r="L133" s="165" t="s">
        <v>512</v>
      </c>
      <c r="M133" s="165"/>
      <c r="N133" s="165"/>
      <c r="O133" s="185" t="s">
        <v>795</v>
      </c>
      <c r="P133" s="186" t="s">
        <v>715</v>
      </c>
    </row>
    <row r="134" spans="1:16">
      <c r="A134" s="184" t="s">
        <v>645</v>
      </c>
      <c r="B134" s="165" t="s">
        <v>510</v>
      </c>
      <c r="C134" s="165" t="s">
        <v>511</v>
      </c>
      <c r="D134" s="165" t="s">
        <v>512</v>
      </c>
      <c r="E134" s="165" t="s">
        <v>512</v>
      </c>
      <c r="F134" s="165">
        <v>8130</v>
      </c>
      <c r="G134" s="165" t="s">
        <v>513</v>
      </c>
      <c r="H134" s="165">
        <v>12</v>
      </c>
      <c r="I134" s="165">
        <v>10</v>
      </c>
      <c r="J134" s="165" t="s">
        <v>514</v>
      </c>
      <c r="K134" s="165"/>
      <c r="L134" s="165" t="s">
        <v>512</v>
      </c>
      <c r="M134" s="165"/>
      <c r="N134" s="165"/>
      <c r="O134" s="185" t="s">
        <v>796</v>
      </c>
      <c r="P134" s="186" t="s">
        <v>715</v>
      </c>
    </row>
    <row r="135" spans="1:16">
      <c r="A135" s="184" t="s">
        <v>646</v>
      </c>
      <c r="B135" s="165" t="s">
        <v>510</v>
      </c>
      <c r="C135" s="165" t="s">
        <v>511</v>
      </c>
      <c r="D135" s="165" t="s">
        <v>512</v>
      </c>
      <c r="E135" s="165" t="s">
        <v>512</v>
      </c>
      <c r="F135" s="165">
        <v>8131</v>
      </c>
      <c r="G135" s="165" t="s">
        <v>513</v>
      </c>
      <c r="H135" s="165">
        <v>12</v>
      </c>
      <c r="I135" s="165">
        <v>10</v>
      </c>
      <c r="J135" s="165" t="s">
        <v>514</v>
      </c>
      <c r="K135" s="165"/>
      <c r="L135" s="165" t="s">
        <v>512</v>
      </c>
      <c r="M135" s="165"/>
      <c r="N135" s="165"/>
      <c r="O135" s="185" t="s">
        <v>797</v>
      </c>
      <c r="P135" s="186" t="s">
        <v>715</v>
      </c>
    </row>
    <row r="136" spans="1:16">
      <c r="A136" s="184" t="s">
        <v>647</v>
      </c>
      <c r="B136" s="165" t="s">
        <v>510</v>
      </c>
      <c r="C136" s="165" t="s">
        <v>511</v>
      </c>
      <c r="D136" s="165" t="s">
        <v>512</v>
      </c>
      <c r="E136" s="165" t="s">
        <v>512</v>
      </c>
      <c r="F136" s="165">
        <v>8132</v>
      </c>
      <c r="G136" s="165" t="s">
        <v>513</v>
      </c>
      <c r="H136" s="165">
        <v>12</v>
      </c>
      <c r="I136" s="165">
        <v>10</v>
      </c>
      <c r="J136" s="165" t="s">
        <v>514</v>
      </c>
      <c r="K136" s="165"/>
      <c r="L136" s="165" t="s">
        <v>512</v>
      </c>
      <c r="M136" s="165"/>
      <c r="N136" s="165"/>
      <c r="O136" s="185" t="s">
        <v>798</v>
      </c>
      <c r="P136" s="186" t="s">
        <v>715</v>
      </c>
    </row>
    <row r="137" spans="1:16">
      <c r="A137" s="184" t="s">
        <v>648</v>
      </c>
      <c r="B137" s="165" t="s">
        <v>510</v>
      </c>
      <c r="C137" s="165" t="s">
        <v>511</v>
      </c>
      <c r="D137" s="165" t="s">
        <v>512</v>
      </c>
      <c r="E137" s="165" t="s">
        <v>512</v>
      </c>
      <c r="F137" s="165">
        <v>8133</v>
      </c>
      <c r="G137" s="165" t="s">
        <v>513</v>
      </c>
      <c r="H137" s="165">
        <v>12</v>
      </c>
      <c r="I137" s="165">
        <v>10</v>
      </c>
      <c r="J137" s="165" t="s">
        <v>514</v>
      </c>
      <c r="K137" s="165"/>
      <c r="L137" s="165" t="s">
        <v>512</v>
      </c>
      <c r="M137" s="165"/>
      <c r="N137" s="165"/>
      <c r="O137" s="185" t="s">
        <v>799</v>
      </c>
      <c r="P137" s="186" t="s">
        <v>715</v>
      </c>
    </row>
    <row r="138" spans="1:16">
      <c r="A138" s="184" t="s">
        <v>649</v>
      </c>
      <c r="B138" s="165" t="s">
        <v>510</v>
      </c>
      <c r="C138" s="165" t="s">
        <v>511</v>
      </c>
      <c r="D138" s="165" t="s">
        <v>512</v>
      </c>
      <c r="E138" s="165" t="s">
        <v>512</v>
      </c>
      <c r="F138" s="165">
        <v>8134</v>
      </c>
      <c r="G138" s="165" t="s">
        <v>513</v>
      </c>
      <c r="H138" s="165">
        <v>12</v>
      </c>
      <c r="I138" s="165">
        <v>10</v>
      </c>
      <c r="J138" s="165" t="s">
        <v>514</v>
      </c>
      <c r="K138" s="165"/>
      <c r="L138" s="165" t="s">
        <v>512</v>
      </c>
      <c r="M138" s="165"/>
      <c r="N138" s="165"/>
      <c r="O138" s="185" t="s">
        <v>800</v>
      </c>
      <c r="P138" s="186" t="s">
        <v>715</v>
      </c>
    </row>
    <row r="139" spans="1:16">
      <c r="A139" s="184" t="s">
        <v>650</v>
      </c>
      <c r="B139" s="165" t="s">
        <v>510</v>
      </c>
      <c r="C139" s="165" t="s">
        <v>511</v>
      </c>
      <c r="D139" s="165" t="s">
        <v>512</v>
      </c>
      <c r="E139" s="165" t="s">
        <v>512</v>
      </c>
      <c r="F139" s="165">
        <v>8135</v>
      </c>
      <c r="G139" s="165" t="s">
        <v>513</v>
      </c>
      <c r="H139" s="165">
        <v>12</v>
      </c>
      <c r="I139" s="165">
        <v>10</v>
      </c>
      <c r="J139" s="165" t="s">
        <v>514</v>
      </c>
      <c r="K139" s="165"/>
      <c r="L139" s="165" t="s">
        <v>512</v>
      </c>
      <c r="M139" s="165"/>
      <c r="N139" s="165"/>
      <c r="O139" s="185" t="s">
        <v>801</v>
      </c>
      <c r="P139" s="186" t="s">
        <v>715</v>
      </c>
    </row>
    <row r="140" spans="1:16">
      <c r="A140" s="184" t="s">
        <v>651</v>
      </c>
      <c r="B140" s="165" t="s">
        <v>510</v>
      </c>
      <c r="C140" s="165" t="s">
        <v>511</v>
      </c>
      <c r="D140" s="165" t="s">
        <v>512</v>
      </c>
      <c r="E140" s="165" t="s">
        <v>512</v>
      </c>
      <c r="F140" s="165">
        <v>8136</v>
      </c>
      <c r="G140" s="165" t="s">
        <v>513</v>
      </c>
      <c r="H140" s="165">
        <v>12</v>
      </c>
      <c r="I140" s="165">
        <v>10</v>
      </c>
      <c r="J140" s="165" t="s">
        <v>514</v>
      </c>
      <c r="K140" s="165"/>
      <c r="L140" s="165" t="s">
        <v>512</v>
      </c>
      <c r="M140" s="165"/>
      <c r="N140" s="165"/>
      <c r="O140" s="185" t="s">
        <v>802</v>
      </c>
      <c r="P140" s="186" t="s">
        <v>715</v>
      </c>
    </row>
    <row r="141" spans="1:16">
      <c r="A141" s="184" t="s">
        <v>652</v>
      </c>
      <c r="B141" s="165" t="s">
        <v>510</v>
      </c>
      <c r="C141" s="165" t="s">
        <v>511</v>
      </c>
      <c r="D141" s="165" t="s">
        <v>512</v>
      </c>
      <c r="E141" s="165" t="s">
        <v>512</v>
      </c>
      <c r="F141" s="165">
        <v>8137</v>
      </c>
      <c r="G141" s="165" t="s">
        <v>513</v>
      </c>
      <c r="H141" s="165">
        <v>12</v>
      </c>
      <c r="I141" s="165">
        <v>10</v>
      </c>
      <c r="J141" s="165" t="s">
        <v>514</v>
      </c>
      <c r="K141" s="165"/>
      <c r="L141" s="165" t="s">
        <v>512</v>
      </c>
      <c r="M141" s="165"/>
      <c r="N141" s="165"/>
      <c r="O141" s="185" t="s">
        <v>803</v>
      </c>
      <c r="P141" s="186" t="s">
        <v>715</v>
      </c>
    </row>
    <row r="142" spans="1:16">
      <c r="A142" s="184" t="s">
        <v>653</v>
      </c>
      <c r="B142" s="165" t="s">
        <v>510</v>
      </c>
      <c r="C142" s="165" t="s">
        <v>511</v>
      </c>
      <c r="D142" s="165" t="s">
        <v>512</v>
      </c>
      <c r="E142" s="165" t="s">
        <v>512</v>
      </c>
      <c r="F142" s="165">
        <v>8138</v>
      </c>
      <c r="G142" s="165" t="s">
        <v>513</v>
      </c>
      <c r="H142" s="165">
        <v>12</v>
      </c>
      <c r="I142" s="165">
        <v>10</v>
      </c>
      <c r="J142" s="165" t="s">
        <v>514</v>
      </c>
      <c r="K142" s="165"/>
      <c r="L142" s="165" t="s">
        <v>512</v>
      </c>
      <c r="M142" s="165"/>
      <c r="N142" s="165"/>
      <c r="O142" s="185" t="s">
        <v>804</v>
      </c>
      <c r="P142" s="186" t="s">
        <v>715</v>
      </c>
    </row>
    <row r="143" spans="1:16">
      <c r="A143" s="184" t="s">
        <v>654</v>
      </c>
      <c r="B143" s="165" t="s">
        <v>510</v>
      </c>
      <c r="C143" s="165" t="s">
        <v>511</v>
      </c>
      <c r="D143" s="165" t="s">
        <v>512</v>
      </c>
      <c r="E143" s="165" t="s">
        <v>512</v>
      </c>
      <c r="F143" s="165">
        <v>8139</v>
      </c>
      <c r="G143" s="165" t="s">
        <v>513</v>
      </c>
      <c r="H143" s="165">
        <v>12</v>
      </c>
      <c r="I143" s="165">
        <v>10</v>
      </c>
      <c r="J143" s="165" t="s">
        <v>514</v>
      </c>
      <c r="K143" s="165"/>
      <c r="L143" s="165" t="s">
        <v>512</v>
      </c>
      <c r="M143" s="165"/>
      <c r="N143" s="165"/>
      <c r="O143" s="185" t="s">
        <v>805</v>
      </c>
      <c r="P143" s="186" t="s">
        <v>715</v>
      </c>
    </row>
    <row r="144" spans="1:16">
      <c r="A144" s="184" t="s">
        <v>655</v>
      </c>
      <c r="B144" s="165" t="s">
        <v>510</v>
      </c>
      <c r="C144" s="165" t="s">
        <v>511</v>
      </c>
      <c r="D144" s="165" t="s">
        <v>512</v>
      </c>
      <c r="E144" s="165" t="s">
        <v>512</v>
      </c>
      <c r="F144" s="165">
        <v>8140</v>
      </c>
      <c r="G144" s="165" t="s">
        <v>513</v>
      </c>
      <c r="H144" s="165">
        <v>12</v>
      </c>
      <c r="I144" s="165">
        <v>10</v>
      </c>
      <c r="J144" s="165" t="s">
        <v>514</v>
      </c>
      <c r="K144" s="165"/>
      <c r="L144" s="165" t="s">
        <v>512</v>
      </c>
      <c r="M144" s="165"/>
      <c r="N144" s="165"/>
      <c r="O144" s="185" t="s">
        <v>806</v>
      </c>
      <c r="P144" s="186" t="s">
        <v>715</v>
      </c>
    </row>
    <row r="145" spans="1:16">
      <c r="A145" s="184" t="s">
        <v>656</v>
      </c>
      <c r="B145" s="165" t="s">
        <v>510</v>
      </c>
      <c r="C145" s="165" t="s">
        <v>511</v>
      </c>
      <c r="D145" s="165" t="s">
        <v>512</v>
      </c>
      <c r="E145" s="165" t="s">
        <v>512</v>
      </c>
      <c r="F145" s="165">
        <v>8141</v>
      </c>
      <c r="G145" s="165" t="s">
        <v>513</v>
      </c>
      <c r="H145" s="165">
        <v>12</v>
      </c>
      <c r="I145" s="165">
        <v>10</v>
      </c>
      <c r="J145" s="165" t="s">
        <v>514</v>
      </c>
      <c r="K145" s="165"/>
      <c r="L145" s="165" t="s">
        <v>512</v>
      </c>
      <c r="M145" s="165"/>
      <c r="N145" s="165"/>
      <c r="O145" s="185" t="s">
        <v>807</v>
      </c>
      <c r="P145" s="186" t="s">
        <v>715</v>
      </c>
    </row>
    <row r="146" spans="1:16">
      <c r="A146" s="184" t="s">
        <v>657</v>
      </c>
      <c r="B146" s="165" t="s">
        <v>510</v>
      </c>
      <c r="C146" s="165" t="s">
        <v>511</v>
      </c>
      <c r="D146" s="165" t="s">
        <v>512</v>
      </c>
      <c r="E146" s="165" t="s">
        <v>512</v>
      </c>
      <c r="F146" s="165">
        <v>8142</v>
      </c>
      <c r="G146" s="165" t="s">
        <v>513</v>
      </c>
      <c r="H146" s="165">
        <v>12</v>
      </c>
      <c r="I146" s="165">
        <v>10</v>
      </c>
      <c r="J146" s="165" t="s">
        <v>514</v>
      </c>
      <c r="K146" s="165"/>
      <c r="L146" s="165" t="s">
        <v>512</v>
      </c>
      <c r="M146" s="165"/>
      <c r="N146" s="165"/>
      <c r="O146" s="185" t="s">
        <v>808</v>
      </c>
      <c r="P146" s="186" t="s">
        <v>715</v>
      </c>
    </row>
    <row r="147" spans="1:16">
      <c r="A147" s="184" t="s">
        <v>658</v>
      </c>
      <c r="B147" s="165" t="s">
        <v>510</v>
      </c>
      <c r="C147" s="165" t="s">
        <v>511</v>
      </c>
      <c r="D147" s="165" t="s">
        <v>512</v>
      </c>
      <c r="E147" s="165" t="s">
        <v>512</v>
      </c>
      <c r="F147" s="165">
        <v>8143</v>
      </c>
      <c r="G147" s="165" t="s">
        <v>513</v>
      </c>
      <c r="H147" s="165">
        <v>12</v>
      </c>
      <c r="I147" s="165">
        <v>10</v>
      </c>
      <c r="J147" s="165" t="s">
        <v>514</v>
      </c>
      <c r="K147" s="165"/>
      <c r="L147" s="165" t="s">
        <v>512</v>
      </c>
      <c r="M147" s="165"/>
      <c r="N147" s="165"/>
      <c r="O147" s="185" t="s">
        <v>809</v>
      </c>
      <c r="P147" s="186" t="s">
        <v>715</v>
      </c>
    </row>
    <row r="148" spans="1:16">
      <c r="A148" s="184" t="s">
        <v>659</v>
      </c>
      <c r="B148" s="165" t="s">
        <v>510</v>
      </c>
      <c r="C148" s="165" t="s">
        <v>511</v>
      </c>
      <c r="D148" s="165" t="s">
        <v>512</v>
      </c>
      <c r="E148" s="165" t="s">
        <v>512</v>
      </c>
      <c r="F148" s="165">
        <v>8144</v>
      </c>
      <c r="G148" s="165" t="s">
        <v>513</v>
      </c>
      <c r="H148" s="165">
        <v>12</v>
      </c>
      <c r="I148" s="165">
        <v>10</v>
      </c>
      <c r="J148" s="165" t="s">
        <v>514</v>
      </c>
      <c r="K148" s="165"/>
      <c r="L148" s="165" t="s">
        <v>512</v>
      </c>
      <c r="M148" s="165"/>
      <c r="N148" s="165"/>
      <c r="O148" s="185" t="s">
        <v>810</v>
      </c>
      <c r="P148" s="186" t="s">
        <v>715</v>
      </c>
    </row>
    <row r="149" spans="1:16">
      <c r="A149" s="184" t="s">
        <v>660</v>
      </c>
      <c r="B149" s="165" t="s">
        <v>510</v>
      </c>
      <c r="C149" s="165" t="s">
        <v>511</v>
      </c>
      <c r="D149" s="165" t="s">
        <v>512</v>
      </c>
      <c r="E149" s="165" t="s">
        <v>512</v>
      </c>
      <c r="F149" s="165">
        <v>8145</v>
      </c>
      <c r="G149" s="165" t="s">
        <v>513</v>
      </c>
      <c r="H149" s="165">
        <v>12</v>
      </c>
      <c r="I149" s="165">
        <v>10</v>
      </c>
      <c r="J149" s="165" t="s">
        <v>514</v>
      </c>
      <c r="K149" s="165"/>
      <c r="L149" s="165" t="s">
        <v>512</v>
      </c>
      <c r="M149" s="165"/>
      <c r="N149" s="165"/>
      <c r="O149" s="185" t="s">
        <v>811</v>
      </c>
      <c r="P149" s="186" t="s">
        <v>715</v>
      </c>
    </row>
    <row r="150" spans="1:16">
      <c r="A150" s="184" t="s">
        <v>661</v>
      </c>
      <c r="B150" s="165" t="s">
        <v>510</v>
      </c>
      <c r="C150" s="165" t="s">
        <v>511</v>
      </c>
      <c r="D150" s="165" t="s">
        <v>512</v>
      </c>
      <c r="E150" s="165" t="s">
        <v>512</v>
      </c>
      <c r="F150" s="165">
        <v>8146</v>
      </c>
      <c r="G150" s="165" t="s">
        <v>513</v>
      </c>
      <c r="H150" s="165">
        <v>12</v>
      </c>
      <c r="I150" s="165">
        <v>10</v>
      </c>
      <c r="J150" s="165" t="s">
        <v>514</v>
      </c>
      <c r="K150" s="165"/>
      <c r="L150" s="165" t="s">
        <v>512</v>
      </c>
      <c r="M150" s="165"/>
      <c r="N150" s="165"/>
      <c r="O150" s="185" t="s">
        <v>812</v>
      </c>
      <c r="P150" s="186" t="s">
        <v>715</v>
      </c>
    </row>
    <row r="151" spans="1:16">
      <c r="A151" s="184" t="s">
        <v>662</v>
      </c>
      <c r="B151" s="165" t="s">
        <v>510</v>
      </c>
      <c r="C151" s="165" t="s">
        <v>511</v>
      </c>
      <c r="D151" s="165" t="s">
        <v>512</v>
      </c>
      <c r="E151" s="165" t="s">
        <v>512</v>
      </c>
      <c r="F151" s="165">
        <v>8147</v>
      </c>
      <c r="G151" s="165" t="s">
        <v>513</v>
      </c>
      <c r="H151" s="165">
        <v>12</v>
      </c>
      <c r="I151" s="165">
        <v>10</v>
      </c>
      <c r="J151" s="165" t="s">
        <v>514</v>
      </c>
      <c r="K151" s="165"/>
      <c r="L151" s="165" t="s">
        <v>512</v>
      </c>
      <c r="M151" s="165"/>
      <c r="N151" s="165"/>
      <c r="O151" s="185" t="s">
        <v>813</v>
      </c>
      <c r="P151" s="186" t="s">
        <v>715</v>
      </c>
    </row>
    <row r="152" spans="1:16">
      <c r="A152" s="184" t="s">
        <v>663</v>
      </c>
      <c r="B152" s="165" t="s">
        <v>510</v>
      </c>
      <c r="C152" s="165" t="s">
        <v>511</v>
      </c>
      <c r="D152" s="165" t="s">
        <v>512</v>
      </c>
      <c r="E152" s="165" t="s">
        <v>512</v>
      </c>
      <c r="F152" s="165">
        <v>8148</v>
      </c>
      <c r="G152" s="165" t="s">
        <v>513</v>
      </c>
      <c r="H152" s="165">
        <v>12</v>
      </c>
      <c r="I152" s="165">
        <v>10</v>
      </c>
      <c r="J152" s="165" t="s">
        <v>514</v>
      </c>
      <c r="K152" s="165"/>
      <c r="L152" s="165" t="s">
        <v>512</v>
      </c>
      <c r="M152" s="165"/>
      <c r="N152" s="165"/>
      <c r="O152" s="185" t="s">
        <v>814</v>
      </c>
      <c r="P152" s="186" t="s">
        <v>715</v>
      </c>
    </row>
    <row r="153" spans="1:16">
      <c r="A153" s="184" t="s">
        <v>664</v>
      </c>
      <c r="B153" s="165" t="s">
        <v>510</v>
      </c>
      <c r="C153" s="165" t="s">
        <v>511</v>
      </c>
      <c r="D153" s="165" t="s">
        <v>512</v>
      </c>
      <c r="E153" s="165" t="s">
        <v>512</v>
      </c>
      <c r="F153" s="165">
        <v>8149</v>
      </c>
      <c r="G153" s="165" t="s">
        <v>513</v>
      </c>
      <c r="H153" s="165">
        <v>12</v>
      </c>
      <c r="I153" s="165">
        <v>10</v>
      </c>
      <c r="J153" s="165" t="s">
        <v>514</v>
      </c>
      <c r="K153" s="165"/>
      <c r="L153" s="165" t="s">
        <v>512</v>
      </c>
      <c r="M153" s="165"/>
      <c r="N153" s="165"/>
      <c r="O153" s="185" t="s">
        <v>815</v>
      </c>
      <c r="P153" s="186" t="s">
        <v>715</v>
      </c>
    </row>
    <row r="154" spans="1:16">
      <c r="A154" s="184" t="s">
        <v>665</v>
      </c>
      <c r="B154" s="165" t="s">
        <v>510</v>
      </c>
      <c r="C154" s="165" t="s">
        <v>511</v>
      </c>
      <c r="D154" s="165" t="s">
        <v>512</v>
      </c>
      <c r="E154" s="165" t="s">
        <v>512</v>
      </c>
      <c r="F154" s="165">
        <v>8150</v>
      </c>
      <c r="G154" s="165" t="s">
        <v>513</v>
      </c>
      <c r="H154" s="165">
        <v>12</v>
      </c>
      <c r="I154" s="165">
        <v>10</v>
      </c>
      <c r="J154" s="165" t="s">
        <v>514</v>
      </c>
      <c r="K154" s="165"/>
      <c r="L154" s="165" t="s">
        <v>512</v>
      </c>
      <c r="M154" s="165"/>
      <c r="N154" s="165"/>
      <c r="O154" s="185" t="s">
        <v>816</v>
      </c>
      <c r="P154" s="186" t="s">
        <v>715</v>
      </c>
    </row>
    <row r="155" spans="1:16">
      <c r="A155" s="184" t="s">
        <v>666</v>
      </c>
      <c r="B155" s="165" t="s">
        <v>510</v>
      </c>
      <c r="C155" s="165" t="s">
        <v>511</v>
      </c>
      <c r="D155" s="165" t="s">
        <v>512</v>
      </c>
      <c r="E155" s="165" t="s">
        <v>512</v>
      </c>
      <c r="F155" s="165">
        <v>8151</v>
      </c>
      <c r="G155" s="165" t="s">
        <v>513</v>
      </c>
      <c r="H155" s="165">
        <v>12</v>
      </c>
      <c r="I155" s="165">
        <v>10</v>
      </c>
      <c r="J155" s="165" t="s">
        <v>514</v>
      </c>
      <c r="K155" s="165"/>
      <c r="L155" s="165" t="s">
        <v>512</v>
      </c>
      <c r="M155" s="165"/>
      <c r="N155" s="165"/>
      <c r="O155" s="185" t="s">
        <v>817</v>
      </c>
      <c r="P155" s="186" t="s">
        <v>715</v>
      </c>
    </row>
    <row r="156" spans="1:16">
      <c r="A156" s="184" t="s">
        <v>667</v>
      </c>
      <c r="B156" s="165" t="s">
        <v>510</v>
      </c>
      <c r="C156" s="165" t="s">
        <v>511</v>
      </c>
      <c r="D156" s="165" t="s">
        <v>512</v>
      </c>
      <c r="E156" s="165" t="s">
        <v>512</v>
      </c>
      <c r="F156" s="165">
        <v>8152</v>
      </c>
      <c r="G156" s="165" t="s">
        <v>513</v>
      </c>
      <c r="H156" s="165">
        <v>12</v>
      </c>
      <c r="I156" s="165">
        <v>10</v>
      </c>
      <c r="J156" s="165" t="s">
        <v>514</v>
      </c>
      <c r="K156" s="165"/>
      <c r="L156" s="165" t="s">
        <v>512</v>
      </c>
      <c r="M156" s="165"/>
      <c r="N156" s="165"/>
      <c r="O156" s="185" t="s">
        <v>818</v>
      </c>
      <c r="P156" s="186" t="s">
        <v>715</v>
      </c>
    </row>
    <row r="157" spans="1:16">
      <c r="A157" s="184" t="s">
        <v>668</v>
      </c>
      <c r="B157" s="165" t="s">
        <v>510</v>
      </c>
      <c r="C157" s="165" t="s">
        <v>511</v>
      </c>
      <c r="D157" s="165" t="s">
        <v>512</v>
      </c>
      <c r="E157" s="165" t="s">
        <v>512</v>
      </c>
      <c r="F157" s="165">
        <v>8153</v>
      </c>
      <c r="G157" s="165" t="s">
        <v>513</v>
      </c>
      <c r="H157" s="165">
        <v>12</v>
      </c>
      <c r="I157" s="165">
        <v>10</v>
      </c>
      <c r="J157" s="165" t="s">
        <v>514</v>
      </c>
      <c r="K157" s="165"/>
      <c r="L157" s="165" t="s">
        <v>512</v>
      </c>
      <c r="M157" s="165"/>
      <c r="N157" s="165"/>
      <c r="O157" s="185" t="s">
        <v>819</v>
      </c>
      <c r="P157" s="186" t="s">
        <v>715</v>
      </c>
    </row>
    <row r="158" spans="1:16">
      <c r="A158" s="184" t="s">
        <v>669</v>
      </c>
      <c r="B158" s="165" t="s">
        <v>510</v>
      </c>
      <c r="C158" s="165" t="s">
        <v>511</v>
      </c>
      <c r="D158" s="165" t="s">
        <v>512</v>
      </c>
      <c r="E158" s="165" t="s">
        <v>512</v>
      </c>
      <c r="F158" s="165">
        <v>8154</v>
      </c>
      <c r="G158" s="165" t="s">
        <v>513</v>
      </c>
      <c r="H158" s="165">
        <v>12</v>
      </c>
      <c r="I158" s="165">
        <v>10</v>
      </c>
      <c r="J158" s="165" t="s">
        <v>514</v>
      </c>
      <c r="K158" s="165"/>
      <c r="L158" s="165" t="s">
        <v>512</v>
      </c>
      <c r="M158" s="165"/>
      <c r="N158" s="165"/>
      <c r="O158" s="185" t="s">
        <v>820</v>
      </c>
      <c r="P158" s="186" t="s">
        <v>715</v>
      </c>
    </row>
    <row r="159" spans="1:16">
      <c r="A159" s="184" t="s">
        <v>670</v>
      </c>
      <c r="B159" s="165" t="s">
        <v>510</v>
      </c>
      <c r="C159" s="165" t="s">
        <v>511</v>
      </c>
      <c r="D159" s="165" t="s">
        <v>512</v>
      </c>
      <c r="E159" s="165" t="s">
        <v>512</v>
      </c>
      <c r="F159" s="165">
        <v>8155</v>
      </c>
      <c r="G159" s="165" t="s">
        <v>513</v>
      </c>
      <c r="H159" s="165">
        <v>12</v>
      </c>
      <c r="I159" s="165">
        <v>10</v>
      </c>
      <c r="J159" s="165" t="s">
        <v>514</v>
      </c>
      <c r="K159" s="165"/>
      <c r="L159" s="165" t="s">
        <v>512</v>
      </c>
      <c r="M159" s="165"/>
      <c r="N159" s="165"/>
      <c r="O159" s="185" t="s">
        <v>821</v>
      </c>
      <c r="P159" s="186" t="s">
        <v>715</v>
      </c>
    </row>
    <row r="160" spans="1:16">
      <c r="A160" s="184" t="s">
        <v>671</v>
      </c>
      <c r="B160" s="165" t="s">
        <v>510</v>
      </c>
      <c r="C160" s="165" t="s">
        <v>511</v>
      </c>
      <c r="D160" s="165" t="s">
        <v>512</v>
      </c>
      <c r="E160" s="165" t="s">
        <v>512</v>
      </c>
      <c r="F160" s="165">
        <v>8156</v>
      </c>
      <c r="G160" s="165" t="s">
        <v>513</v>
      </c>
      <c r="H160" s="165">
        <v>12</v>
      </c>
      <c r="I160" s="165">
        <v>10</v>
      </c>
      <c r="J160" s="165" t="s">
        <v>514</v>
      </c>
      <c r="K160" s="165"/>
      <c r="L160" s="165" t="s">
        <v>512</v>
      </c>
      <c r="M160" s="165"/>
      <c r="N160" s="165"/>
      <c r="O160" s="185" t="s">
        <v>822</v>
      </c>
      <c r="P160" s="186" t="s">
        <v>715</v>
      </c>
    </row>
    <row r="161" spans="1:16">
      <c r="A161" s="184" t="s">
        <v>672</v>
      </c>
      <c r="B161" s="165" t="s">
        <v>510</v>
      </c>
      <c r="C161" s="165" t="s">
        <v>511</v>
      </c>
      <c r="D161" s="165" t="s">
        <v>512</v>
      </c>
      <c r="E161" s="165" t="s">
        <v>512</v>
      </c>
      <c r="F161" s="165">
        <v>8157</v>
      </c>
      <c r="G161" s="165" t="s">
        <v>513</v>
      </c>
      <c r="H161" s="165">
        <v>12</v>
      </c>
      <c r="I161" s="165">
        <v>10</v>
      </c>
      <c r="J161" s="165" t="s">
        <v>514</v>
      </c>
      <c r="K161" s="165"/>
      <c r="L161" s="165" t="s">
        <v>512</v>
      </c>
      <c r="M161" s="165"/>
      <c r="N161" s="165"/>
      <c r="O161" s="185" t="s">
        <v>823</v>
      </c>
      <c r="P161" s="186" t="s">
        <v>715</v>
      </c>
    </row>
    <row r="162" spans="1:16">
      <c r="A162" s="184" t="s">
        <v>673</v>
      </c>
      <c r="B162" s="165" t="s">
        <v>510</v>
      </c>
      <c r="C162" s="165" t="s">
        <v>511</v>
      </c>
      <c r="D162" s="165" t="s">
        <v>512</v>
      </c>
      <c r="E162" s="165" t="s">
        <v>512</v>
      </c>
      <c r="F162" s="165">
        <v>8158</v>
      </c>
      <c r="G162" s="165" t="s">
        <v>513</v>
      </c>
      <c r="H162" s="165">
        <v>12</v>
      </c>
      <c r="I162" s="165">
        <v>10</v>
      </c>
      <c r="J162" s="165" t="s">
        <v>514</v>
      </c>
      <c r="K162" s="165"/>
      <c r="L162" s="165" t="s">
        <v>512</v>
      </c>
      <c r="M162" s="165"/>
      <c r="N162" s="165"/>
      <c r="O162" s="185" t="s">
        <v>824</v>
      </c>
      <c r="P162" s="186" t="s">
        <v>715</v>
      </c>
    </row>
    <row r="163" spans="1:16">
      <c r="A163" s="184" t="s">
        <v>674</v>
      </c>
      <c r="B163" s="165" t="s">
        <v>510</v>
      </c>
      <c r="C163" s="165" t="s">
        <v>511</v>
      </c>
      <c r="D163" s="165" t="s">
        <v>512</v>
      </c>
      <c r="E163" s="165" t="s">
        <v>512</v>
      </c>
      <c r="F163" s="165">
        <v>8159</v>
      </c>
      <c r="G163" s="165" t="s">
        <v>513</v>
      </c>
      <c r="H163" s="165">
        <v>12</v>
      </c>
      <c r="I163" s="165">
        <v>10</v>
      </c>
      <c r="J163" s="165" t="s">
        <v>514</v>
      </c>
      <c r="K163" s="165"/>
      <c r="L163" s="165" t="s">
        <v>512</v>
      </c>
      <c r="M163" s="165"/>
      <c r="N163" s="165"/>
      <c r="O163" s="185" t="s">
        <v>825</v>
      </c>
      <c r="P163" s="186" t="s">
        <v>715</v>
      </c>
    </row>
    <row r="164" spans="1:16">
      <c r="A164" s="184" t="s">
        <v>675</v>
      </c>
      <c r="B164" s="165" t="s">
        <v>510</v>
      </c>
      <c r="C164" s="165" t="s">
        <v>511</v>
      </c>
      <c r="D164" s="165" t="s">
        <v>512</v>
      </c>
      <c r="E164" s="165" t="s">
        <v>512</v>
      </c>
      <c r="F164" s="165">
        <v>8160</v>
      </c>
      <c r="G164" s="165" t="s">
        <v>513</v>
      </c>
      <c r="H164" s="165">
        <v>12</v>
      </c>
      <c r="I164" s="165">
        <v>10</v>
      </c>
      <c r="J164" s="165" t="s">
        <v>514</v>
      </c>
      <c r="K164" s="165"/>
      <c r="L164" s="165" t="s">
        <v>512</v>
      </c>
      <c r="M164" s="165"/>
      <c r="N164" s="165"/>
      <c r="O164" s="185" t="s">
        <v>826</v>
      </c>
      <c r="P164" s="186" t="s">
        <v>715</v>
      </c>
    </row>
    <row r="165" spans="1:16">
      <c r="A165" s="184" t="s">
        <v>676</v>
      </c>
      <c r="B165" s="165" t="s">
        <v>510</v>
      </c>
      <c r="C165" s="165" t="s">
        <v>511</v>
      </c>
      <c r="D165" s="165" t="s">
        <v>512</v>
      </c>
      <c r="E165" s="165" t="s">
        <v>512</v>
      </c>
      <c r="F165" s="165">
        <v>8161</v>
      </c>
      <c r="G165" s="165" t="s">
        <v>513</v>
      </c>
      <c r="H165" s="165">
        <v>12</v>
      </c>
      <c r="I165" s="165">
        <v>10</v>
      </c>
      <c r="J165" s="165" t="s">
        <v>514</v>
      </c>
      <c r="K165" s="165"/>
      <c r="L165" s="165" t="s">
        <v>512</v>
      </c>
      <c r="M165" s="165"/>
      <c r="N165" s="165"/>
      <c r="O165" s="185" t="s">
        <v>827</v>
      </c>
      <c r="P165" s="186" t="s">
        <v>715</v>
      </c>
    </row>
    <row r="166" spans="1:16">
      <c r="A166" s="184" t="s">
        <v>677</v>
      </c>
      <c r="B166" s="165" t="s">
        <v>510</v>
      </c>
      <c r="C166" s="165" t="s">
        <v>511</v>
      </c>
      <c r="D166" s="165" t="s">
        <v>512</v>
      </c>
      <c r="E166" s="165" t="s">
        <v>512</v>
      </c>
      <c r="F166" s="165">
        <v>8162</v>
      </c>
      <c r="G166" s="165" t="s">
        <v>513</v>
      </c>
      <c r="H166" s="165">
        <v>12</v>
      </c>
      <c r="I166" s="165">
        <v>10</v>
      </c>
      <c r="J166" s="165" t="s">
        <v>514</v>
      </c>
      <c r="K166" s="165"/>
      <c r="L166" s="165" t="s">
        <v>512</v>
      </c>
      <c r="M166" s="165"/>
      <c r="N166" s="165"/>
      <c r="O166" s="185" t="s">
        <v>828</v>
      </c>
      <c r="P166" s="186" t="s">
        <v>715</v>
      </c>
    </row>
    <row r="167" spans="1:16">
      <c r="A167" s="184" t="s">
        <v>678</v>
      </c>
      <c r="B167" s="165" t="s">
        <v>510</v>
      </c>
      <c r="C167" s="165" t="s">
        <v>511</v>
      </c>
      <c r="D167" s="165" t="s">
        <v>512</v>
      </c>
      <c r="E167" s="165" t="s">
        <v>512</v>
      </c>
      <c r="F167" s="165">
        <v>8163</v>
      </c>
      <c r="G167" s="165" t="s">
        <v>513</v>
      </c>
      <c r="H167" s="165">
        <v>12</v>
      </c>
      <c r="I167" s="165">
        <v>10</v>
      </c>
      <c r="J167" s="165" t="s">
        <v>514</v>
      </c>
      <c r="K167" s="165"/>
      <c r="L167" s="165" t="s">
        <v>512</v>
      </c>
      <c r="M167" s="165"/>
      <c r="N167" s="165"/>
      <c r="O167" s="185" t="s">
        <v>829</v>
      </c>
      <c r="P167" s="186" t="s">
        <v>715</v>
      </c>
    </row>
    <row r="168" spans="1:16">
      <c r="A168" s="184" t="s">
        <v>679</v>
      </c>
      <c r="B168" s="165" t="s">
        <v>510</v>
      </c>
      <c r="C168" s="165" t="s">
        <v>511</v>
      </c>
      <c r="D168" s="165" t="s">
        <v>512</v>
      </c>
      <c r="E168" s="165" t="s">
        <v>512</v>
      </c>
      <c r="F168" s="165">
        <v>8164</v>
      </c>
      <c r="G168" s="165" t="s">
        <v>513</v>
      </c>
      <c r="H168" s="165">
        <v>12</v>
      </c>
      <c r="I168" s="165">
        <v>10</v>
      </c>
      <c r="J168" s="165" t="s">
        <v>514</v>
      </c>
      <c r="K168" s="165"/>
      <c r="L168" s="165" t="s">
        <v>512</v>
      </c>
      <c r="M168" s="165"/>
      <c r="N168" s="165"/>
      <c r="O168" s="185" t="s">
        <v>830</v>
      </c>
      <c r="P168" s="186" t="s">
        <v>715</v>
      </c>
    </row>
    <row r="169" spans="1:16">
      <c r="A169" s="184" t="s">
        <v>680</v>
      </c>
      <c r="B169" s="165" t="s">
        <v>510</v>
      </c>
      <c r="C169" s="165" t="s">
        <v>511</v>
      </c>
      <c r="D169" s="165" t="s">
        <v>512</v>
      </c>
      <c r="E169" s="165" t="s">
        <v>512</v>
      </c>
      <c r="F169" s="165">
        <v>8165</v>
      </c>
      <c r="G169" s="165" t="s">
        <v>513</v>
      </c>
      <c r="H169" s="165">
        <v>12</v>
      </c>
      <c r="I169" s="165">
        <v>10</v>
      </c>
      <c r="J169" s="165" t="s">
        <v>514</v>
      </c>
      <c r="K169" s="165"/>
      <c r="L169" s="165" t="s">
        <v>512</v>
      </c>
      <c r="M169" s="165"/>
      <c r="N169" s="165"/>
      <c r="O169" s="185" t="s">
        <v>831</v>
      </c>
      <c r="P169" s="186" t="s">
        <v>715</v>
      </c>
    </row>
    <row r="170" spans="1:16">
      <c r="A170" s="184" t="s">
        <v>681</v>
      </c>
      <c r="B170" s="165" t="s">
        <v>510</v>
      </c>
      <c r="C170" s="165" t="s">
        <v>511</v>
      </c>
      <c r="D170" s="165" t="s">
        <v>512</v>
      </c>
      <c r="E170" s="165" t="s">
        <v>512</v>
      </c>
      <c r="F170" s="165">
        <v>8166</v>
      </c>
      <c r="G170" s="165" t="s">
        <v>513</v>
      </c>
      <c r="H170" s="165">
        <v>12</v>
      </c>
      <c r="I170" s="165">
        <v>10</v>
      </c>
      <c r="J170" s="165" t="s">
        <v>514</v>
      </c>
      <c r="K170" s="165"/>
      <c r="L170" s="165" t="s">
        <v>512</v>
      </c>
      <c r="M170" s="165"/>
      <c r="N170" s="165"/>
      <c r="O170" s="185" t="s">
        <v>832</v>
      </c>
      <c r="P170" s="186" t="s">
        <v>715</v>
      </c>
    </row>
    <row r="171" spans="1:16">
      <c r="A171" s="184" t="s">
        <v>682</v>
      </c>
      <c r="B171" s="165" t="s">
        <v>510</v>
      </c>
      <c r="C171" s="165" t="s">
        <v>511</v>
      </c>
      <c r="D171" s="165" t="s">
        <v>512</v>
      </c>
      <c r="E171" s="165" t="s">
        <v>512</v>
      </c>
      <c r="F171" s="165">
        <v>8167</v>
      </c>
      <c r="G171" s="165" t="s">
        <v>513</v>
      </c>
      <c r="H171" s="165">
        <v>12</v>
      </c>
      <c r="I171" s="165">
        <v>10</v>
      </c>
      <c r="J171" s="165" t="s">
        <v>514</v>
      </c>
      <c r="K171" s="165"/>
      <c r="L171" s="165" t="s">
        <v>512</v>
      </c>
      <c r="M171" s="165"/>
      <c r="N171" s="165"/>
      <c r="O171" s="185" t="s">
        <v>833</v>
      </c>
      <c r="P171" s="186" t="s">
        <v>715</v>
      </c>
    </row>
    <row r="172" spans="1:16">
      <c r="A172" s="184" t="s">
        <v>683</v>
      </c>
      <c r="B172" s="165" t="s">
        <v>510</v>
      </c>
      <c r="C172" s="165" t="s">
        <v>511</v>
      </c>
      <c r="D172" s="165" t="s">
        <v>512</v>
      </c>
      <c r="E172" s="165" t="s">
        <v>512</v>
      </c>
      <c r="F172" s="165">
        <v>8168</v>
      </c>
      <c r="G172" s="165" t="s">
        <v>513</v>
      </c>
      <c r="H172" s="165">
        <v>12</v>
      </c>
      <c r="I172" s="165">
        <v>10</v>
      </c>
      <c r="J172" s="165" t="s">
        <v>514</v>
      </c>
      <c r="K172" s="165"/>
      <c r="L172" s="165" t="s">
        <v>512</v>
      </c>
      <c r="M172" s="165"/>
      <c r="N172" s="165"/>
      <c r="O172" s="185" t="s">
        <v>834</v>
      </c>
      <c r="P172" s="186" t="s">
        <v>715</v>
      </c>
    </row>
    <row r="173" spans="1:16">
      <c r="A173" s="184" t="s">
        <v>684</v>
      </c>
      <c r="B173" s="165" t="s">
        <v>510</v>
      </c>
      <c r="C173" s="165" t="s">
        <v>511</v>
      </c>
      <c r="D173" s="165" t="s">
        <v>512</v>
      </c>
      <c r="E173" s="165" t="s">
        <v>512</v>
      </c>
      <c r="F173" s="165">
        <v>8169</v>
      </c>
      <c r="G173" s="165" t="s">
        <v>513</v>
      </c>
      <c r="H173" s="165">
        <v>12</v>
      </c>
      <c r="I173" s="165">
        <v>10</v>
      </c>
      <c r="J173" s="165" t="s">
        <v>514</v>
      </c>
      <c r="K173" s="165"/>
      <c r="L173" s="165" t="s">
        <v>512</v>
      </c>
      <c r="M173" s="165"/>
      <c r="N173" s="165"/>
      <c r="O173" s="185" t="s">
        <v>835</v>
      </c>
      <c r="P173" s="186" t="s">
        <v>715</v>
      </c>
    </row>
    <row r="174" spans="1:16">
      <c r="A174" s="184" t="s">
        <v>685</v>
      </c>
      <c r="B174" s="165" t="s">
        <v>510</v>
      </c>
      <c r="C174" s="165" t="s">
        <v>511</v>
      </c>
      <c r="D174" s="165" t="s">
        <v>512</v>
      </c>
      <c r="E174" s="165" t="s">
        <v>512</v>
      </c>
      <c r="F174" s="165">
        <v>8170</v>
      </c>
      <c r="G174" s="165" t="s">
        <v>513</v>
      </c>
      <c r="H174" s="165">
        <v>12</v>
      </c>
      <c r="I174" s="165">
        <v>10</v>
      </c>
      <c r="J174" s="165" t="s">
        <v>514</v>
      </c>
      <c r="K174" s="165"/>
      <c r="L174" s="165" t="s">
        <v>512</v>
      </c>
      <c r="M174" s="165"/>
      <c r="N174" s="165"/>
      <c r="O174" s="185" t="s">
        <v>836</v>
      </c>
      <c r="P174" s="186" t="s">
        <v>715</v>
      </c>
    </row>
    <row r="175" spans="1:16">
      <c r="A175" s="184" t="s">
        <v>686</v>
      </c>
      <c r="B175" s="165" t="s">
        <v>510</v>
      </c>
      <c r="C175" s="165" t="s">
        <v>511</v>
      </c>
      <c r="D175" s="165" t="s">
        <v>512</v>
      </c>
      <c r="E175" s="165" t="s">
        <v>512</v>
      </c>
      <c r="F175" s="165">
        <v>8171</v>
      </c>
      <c r="G175" s="165" t="s">
        <v>513</v>
      </c>
      <c r="H175" s="165">
        <v>12</v>
      </c>
      <c r="I175" s="165">
        <v>10</v>
      </c>
      <c r="J175" s="165" t="s">
        <v>514</v>
      </c>
      <c r="K175" s="165"/>
      <c r="L175" s="165" t="s">
        <v>512</v>
      </c>
      <c r="M175" s="165"/>
      <c r="N175" s="165"/>
      <c r="O175" s="185" t="s">
        <v>837</v>
      </c>
      <c r="P175" s="186" t="s">
        <v>715</v>
      </c>
    </row>
    <row r="176" spans="1:16">
      <c r="A176" s="184" t="s">
        <v>687</v>
      </c>
      <c r="B176" s="165" t="s">
        <v>510</v>
      </c>
      <c r="C176" s="165" t="s">
        <v>511</v>
      </c>
      <c r="D176" s="165" t="s">
        <v>512</v>
      </c>
      <c r="E176" s="165" t="s">
        <v>512</v>
      </c>
      <c r="F176" s="165">
        <v>8172</v>
      </c>
      <c r="G176" s="165" t="s">
        <v>513</v>
      </c>
      <c r="H176" s="165">
        <v>12</v>
      </c>
      <c r="I176" s="165">
        <v>10</v>
      </c>
      <c r="J176" s="165" t="s">
        <v>514</v>
      </c>
      <c r="K176" s="165"/>
      <c r="L176" s="165" t="s">
        <v>512</v>
      </c>
      <c r="M176" s="165"/>
      <c r="N176" s="165"/>
      <c r="O176" s="185" t="s">
        <v>838</v>
      </c>
      <c r="P176" s="186" t="s">
        <v>715</v>
      </c>
    </row>
    <row r="177" spans="1:16">
      <c r="A177" s="184" t="s">
        <v>688</v>
      </c>
      <c r="B177" s="165" t="s">
        <v>510</v>
      </c>
      <c r="C177" s="165" t="s">
        <v>511</v>
      </c>
      <c r="D177" s="165" t="s">
        <v>512</v>
      </c>
      <c r="E177" s="165" t="s">
        <v>512</v>
      </c>
      <c r="F177" s="165">
        <v>8173</v>
      </c>
      <c r="G177" s="165" t="s">
        <v>513</v>
      </c>
      <c r="H177" s="165">
        <v>12</v>
      </c>
      <c r="I177" s="165">
        <v>10</v>
      </c>
      <c r="J177" s="165" t="s">
        <v>514</v>
      </c>
      <c r="K177" s="165"/>
      <c r="L177" s="165" t="s">
        <v>512</v>
      </c>
      <c r="M177" s="165"/>
      <c r="N177" s="165"/>
      <c r="O177" s="185" t="s">
        <v>839</v>
      </c>
      <c r="P177" s="186" t="s">
        <v>715</v>
      </c>
    </row>
    <row r="178" spans="1:16">
      <c r="A178" s="184" t="s">
        <v>689</v>
      </c>
      <c r="B178" s="165" t="s">
        <v>510</v>
      </c>
      <c r="C178" s="165" t="s">
        <v>511</v>
      </c>
      <c r="D178" s="165" t="s">
        <v>512</v>
      </c>
      <c r="E178" s="165" t="s">
        <v>512</v>
      </c>
      <c r="F178" s="165">
        <v>8174</v>
      </c>
      <c r="G178" s="165" t="s">
        <v>513</v>
      </c>
      <c r="H178" s="165">
        <v>12</v>
      </c>
      <c r="I178" s="165">
        <v>10</v>
      </c>
      <c r="J178" s="165" t="s">
        <v>514</v>
      </c>
      <c r="K178" s="165"/>
      <c r="L178" s="165" t="s">
        <v>512</v>
      </c>
      <c r="M178" s="165"/>
      <c r="N178" s="165"/>
      <c r="O178" s="185" t="s">
        <v>840</v>
      </c>
      <c r="P178" s="186" t="s">
        <v>715</v>
      </c>
    </row>
    <row r="179" spans="1:16">
      <c r="A179" s="184" t="s">
        <v>690</v>
      </c>
      <c r="B179" s="165" t="s">
        <v>510</v>
      </c>
      <c r="C179" s="165" t="s">
        <v>511</v>
      </c>
      <c r="D179" s="165" t="s">
        <v>512</v>
      </c>
      <c r="E179" s="165" t="s">
        <v>512</v>
      </c>
      <c r="F179" s="165">
        <v>8175</v>
      </c>
      <c r="G179" s="165" t="s">
        <v>513</v>
      </c>
      <c r="H179" s="165">
        <v>12</v>
      </c>
      <c r="I179" s="165">
        <v>10</v>
      </c>
      <c r="J179" s="165" t="s">
        <v>514</v>
      </c>
      <c r="K179" s="165"/>
      <c r="L179" s="165" t="s">
        <v>512</v>
      </c>
      <c r="M179" s="165"/>
      <c r="N179" s="165"/>
      <c r="O179" s="185" t="s">
        <v>841</v>
      </c>
      <c r="P179" s="186" t="s">
        <v>715</v>
      </c>
    </row>
    <row r="180" spans="1:16">
      <c r="A180" s="184" t="s">
        <v>691</v>
      </c>
      <c r="B180" s="165" t="s">
        <v>510</v>
      </c>
      <c r="C180" s="165" t="s">
        <v>511</v>
      </c>
      <c r="D180" s="165" t="s">
        <v>512</v>
      </c>
      <c r="E180" s="165" t="s">
        <v>512</v>
      </c>
      <c r="F180" s="165">
        <v>8176</v>
      </c>
      <c r="G180" s="165" t="s">
        <v>513</v>
      </c>
      <c r="H180" s="165">
        <v>12</v>
      </c>
      <c r="I180" s="165">
        <v>10</v>
      </c>
      <c r="J180" s="165" t="s">
        <v>514</v>
      </c>
      <c r="K180" s="165"/>
      <c r="L180" s="165" t="s">
        <v>512</v>
      </c>
      <c r="M180" s="165"/>
      <c r="N180" s="165"/>
      <c r="O180" s="185" t="s">
        <v>842</v>
      </c>
      <c r="P180" s="186" t="s">
        <v>715</v>
      </c>
    </row>
    <row r="181" spans="1:16">
      <c r="A181" s="184" t="s">
        <v>692</v>
      </c>
      <c r="B181" s="165" t="s">
        <v>510</v>
      </c>
      <c r="C181" s="165" t="s">
        <v>511</v>
      </c>
      <c r="D181" s="165" t="s">
        <v>512</v>
      </c>
      <c r="E181" s="165" t="s">
        <v>512</v>
      </c>
      <c r="F181" s="165">
        <v>8177</v>
      </c>
      <c r="G181" s="165" t="s">
        <v>513</v>
      </c>
      <c r="H181" s="165">
        <v>12</v>
      </c>
      <c r="I181" s="165">
        <v>10</v>
      </c>
      <c r="J181" s="165" t="s">
        <v>514</v>
      </c>
      <c r="K181" s="165"/>
      <c r="L181" s="165" t="s">
        <v>512</v>
      </c>
      <c r="M181" s="165"/>
      <c r="N181" s="165"/>
      <c r="O181" s="185" t="s">
        <v>843</v>
      </c>
      <c r="P181" s="186" t="s">
        <v>715</v>
      </c>
    </row>
    <row r="182" spans="1:16">
      <c r="A182" s="184" t="s">
        <v>693</v>
      </c>
      <c r="B182" s="165" t="s">
        <v>510</v>
      </c>
      <c r="C182" s="165" t="s">
        <v>511</v>
      </c>
      <c r="D182" s="165" t="s">
        <v>512</v>
      </c>
      <c r="E182" s="165" t="s">
        <v>512</v>
      </c>
      <c r="F182" s="165">
        <v>8178</v>
      </c>
      <c r="G182" s="165" t="s">
        <v>513</v>
      </c>
      <c r="H182" s="165">
        <v>12</v>
      </c>
      <c r="I182" s="165">
        <v>10</v>
      </c>
      <c r="J182" s="165" t="s">
        <v>514</v>
      </c>
      <c r="K182" s="165"/>
      <c r="L182" s="165" t="s">
        <v>512</v>
      </c>
      <c r="M182" s="165"/>
      <c r="N182" s="165"/>
      <c r="O182" s="185" t="s">
        <v>844</v>
      </c>
      <c r="P182" s="186" t="s">
        <v>715</v>
      </c>
    </row>
    <row r="183" spans="1:16">
      <c r="A183" s="184" t="s">
        <v>694</v>
      </c>
      <c r="B183" s="165" t="s">
        <v>510</v>
      </c>
      <c r="C183" s="165" t="s">
        <v>511</v>
      </c>
      <c r="D183" s="165" t="s">
        <v>512</v>
      </c>
      <c r="E183" s="165" t="s">
        <v>512</v>
      </c>
      <c r="F183" s="165">
        <v>8179</v>
      </c>
      <c r="G183" s="165" t="s">
        <v>513</v>
      </c>
      <c r="H183" s="165">
        <v>12</v>
      </c>
      <c r="I183" s="165">
        <v>10</v>
      </c>
      <c r="J183" s="165" t="s">
        <v>514</v>
      </c>
      <c r="K183" s="165"/>
      <c r="L183" s="165" t="s">
        <v>512</v>
      </c>
      <c r="M183" s="165"/>
      <c r="N183" s="165"/>
      <c r="O183" s="185" t="s">
        <v>845</v>
      </c>
      <c r="P183" s="186" t="s">
        <v>715</v>
      </c>
    </row>
    <row r="184" spans="1:16">
      <c r="A184" s="184" t="s">
        <v>695</v>
      </c>
      <c r="B184" s="165" t="s">
        <v>510</v>
      </c>
      <c r="C184" s="165" t="s">
        <v>511</v>
      </c>
      <c r="D184" s="165" t="s">
        <v>512</v>
      </c>
      <c r="E184" s="165" t="s">
        <v>512</v>
      </c>
      <c r="F184" s="165">
        <v>8180</v>
      </c>
      <c r="G184" s="165" t="s">
        <v>513</v>
      </c>
      <c r="H184" s="165">
        <v>12</v>
      </c>
      <c r="I184" s="165">
        <v>10</v>
      </c>
      <c r="J184" s="165" t="s">
        <v>514</v>
      </c>
      <c r="K184" s="165"/>
      <c r="L184" s="165" t="s">
        <v>512</v>
      </c>
      <c r="M184" s="165"/>
      <c r="N184" s="165"/>
      <c r="O184" s="185" t="s">
        <v>846</v>
      </c>
      <c r="P184" s="186" t="s">
        <v>715</v>
      </c>
    </row>
    <row r="185" spans="1:16">
      <c r="A185" s="184" t="s">
        <v>696</v>
      </c>
      <c r="B185" s="165" t="s">
        <v>510</v>
      </c>
      <c r="C185" s="165" t="s">
        <v>511</v>
      </c>
      <c r="D185" s="165" t="s">
        <v>512</v>
      </c>
      <c r="E185" s="165" t="s">
        <v>512</v>
      </c>
      <c r="F185" s="165">
        <v>8181</v>
      </c>
      <c r="G185" s="165" t="s">
        <v>513</v>
      </c>
      <c r="H185" s="165">
        <v>12</v>
      </c>
      <c r="I185" s="165">
        <v>10</v>
      </c>
      <c r="J185" s="165" t="s">
        <v>514</v>
      </c>
      <c r="K185" s="165"/>
      <c r="L185" s="165" t="s">
        <v>512</v>
      </c>
      <c r="M185" s="165"/>
      <c r="N185" s="165"/>
      <c r="O185" s="185" t="s">
        <v>847</v>
      </c>
      <c r="P185" s="186" t="s">
        <v>715</v>
      </c>
    </row>
    <row r="186" spans="1:16">
      <c r="A186" s="184" t="s">
        <v>697</v>
      </c>
      <c r="B186" s="165" t="s">
        <v>510</v>
      </c>
      <c r="C186" s="165" t="s">
        <v>511</v>
      </c>
      <c r="D186" s="165" t="s">
        <v>512</v>
      </c>
      <c r="E186" s="165" t="s">
        <v>512</v>
      </c>
      <c r="F186" s="165">
        <v>8182</v>
      </c>
      <c r="G186" s="165" t="s">
        <v>513</v>
      </c>
      <c r="H186" s="165">
        <v>12</v>
      </c>
      <c r="I186" s="165">
        <v>10</v>
      </c>
      <c r="J186" s="165" t="s">
        <v>514</v>
      </c>
      <c r="K186" s="165"/>
      <c r="L186" s="165" t="s">
        <v>512</v>
      </c>
      <c r="M186" s="165"/>
      <c r="N186" s="165"/>
      <c r="O186" s="185" t="s">
        <v>848</v>
      </c>
      <c r="P186" s="186" t="s">
        <v>715</v>
      </c>
    </row>
    <row r="187" spans="1:16">
      <c r="A187" s="184" t="s">
        <v>698</v>
      </c>
      <c r="B187" s="165" t="s">
        <v>510</v>
      </c>
      <c r="C187" s="165" t="s">
        <v>511</v>
      </c>
      <c r="D187" s="165" t="s">
        <v>512</v>
      </c>
      <c r="E187" s="165" t="s">
        <v>512</v>
      </c>
      <c r="F187" s="165">
        <v>8183</v>
      </c>
      <c r="G187" s="165" t="s">
        <v>513</v>
      </c>
      <c r="H187" s="165">
        <v>12</v>
      </c>
      <c r="I187" s="165">
        <v>10</v>
      </c>
      <c r="J187" s="165" t="s">
        <v>514</v>
      </c>
      <c r="K187" s="165"/>
      <c r="L187" s="165" t="s">
        <v>512</v>
      </c>
      <c r="M187" s="165"/>
      <c r="N187" s="165"/>
      <c r="O187" s="185" t="s">
        <v>849</v>
      </c>
      <c r="P187" s="186" t="s">
        <v>715</v>
      </c>
    </row>
    <row r="188" spans="1:16">
      <c r="A188" s="184" t="s">
        <v>699</v>
      </c>
      <c r="B188" s="165" t="s">
        <v>510</v>
      </c>
      <c r="C188" s="165" t="s">
        <v>511</v>
      </c>
      <c r="D188" s="165" t="s">
        <v>512</v>
      </c>
      <c r="E188" s="165" t="s">
        <v>512</v>
      </c>
      <c r="F188" s="165">
        <v>8184</v>
      </c>
      <c r="G188" s="165" t="s">
        <v>513</v>
      </c>
      <c r="H188" s="165">
        <v>12</v>
      </c>
      <c r="I188" s="165">
        <v>10</v>
      </c>
      <c r="J188" s="165" t="s">
        <v>514</v>
      </c>
      <c r="K188" s="165"/>
      <c r="L188" s="165" t="s">
        <v>512</v>
      </c>
      <c r="M188" s="165"/>
      <c r="N188" s="165"/>
      <c r="O188" s="185" t="s">
        <v>850</v>
      </c>
      <c r="P188" s="186" t="s">
        <v>715</v>
      </c>
    </row>
    <row r="189" spans="1:16">
      <c r="A189" s="184" t="s">
        <v>700</v>
      </c>
      <c r="B189" s="165" t="s">
        <v>510</v>
      </c>
      <c r="C189" s="165" t="s">
        <v>511</v>
      </c>
      <c r="D189" s="165" t="s">
        <v>512</v>
      </c>
      <c r="E189" s="165" t="s">
        <v>512</v>
      </c>
      <c r="F189" s="165">
        <v>8185</v>
      </c>
      <c r="G189" s="165" t="s">
        <v>513</v>
      </c>
      <c r="H189" s="165">
        <v>12</v>
      </c>
      <c r="I189" s="165">
        <v>10</v>
      </c>
      <c r="J189" s="165" t="s">
        <v>514</v>
      </c>
      <c r="K189" s="165"/>
      <c r="L189" s="165" t="s">
        <v>512</v>
      </c>
      <c r="M189" s="165"/>
      <c r="N189" s="165"/>
      <c r="O189" s="185" t="s">
        <v>851</v>
      </c>
      <c r="P189" s="186" t="s">
        <v>715</v>
      </c>
    </row>
    <row r="190" spans="1:16">
      <c r="A190" s="184" t="s">
        <v>701</v>
      </c>
      <c r="B190" s="165" t="s">
        <v>510</v>
      </c>
      <c r="C190" s="165" t="s">
        <v>511</v>
      </c>
      <c r="D190" s="165" t="s">
        <v>512</v>
      </c>
      <c r="E190" s="165" t="s">
        <v>512</v>
      </c>
      <c r="F190" s="165">
        <v>8186</v>
      </c>
      <c r="G190" s="165" t="s">
        <v>513</v>
      </c>
      <c r="H190" s="165">
        <v>12</v>
      </c>
      <c r="I190" s="165">
        <v>10</v>
      </c>
      <c r="J190" s="165" t="s">
        <v>514</v>
      </c>
      <c r="K190" s="165"/>
      <c r="L190" s="165" t="s">
        <v>512</v>
      </c>
      <c r="M190" s="165"/>
      <c r="N190" s="165"/>
      <c r="O190" s="185" t="s">
        <v>852</v>
      </c>
      <c r="P190" s="186" t="s">
        <v>715</v>
      </c>
    </row>
    <row r="191" spans="1:16">
      <c r="A191" s="184" t="s">
        <v>702</v>
      </c>
      <c r="B191" s="165" t="s">
        <v>510</v>
      </c>
      <c r="C191" s="165" t="s">
        <v>511</v>
      </c>
      <c r="D191" s="165" t="s">
        <v>512</v>
      </c>
      <c r="E191" s="165" t="s">
        <v>512</v>
      </c>
      <c r="F191" s="165">
        <v>8187</v>
      </c>
      <c r="G191" s="165" t="s">
        <v>513</v>
      </c>
      <c r="H191" s="165">
        <v>12</v>
      </c>
      <c r="I191" s="165">
        <v>10</v>
      </c>
      <c r="J191" s="165" t="s">
        <v>514</v>
      </c>
      <c r="K191" s="165"/>
      <c r="L191" s="165" t="s">
        <v>512</v>
      </c>
      <c r="M191" s="165"/>
      <c r="N191" s="165"/>
      <c r="O191" s="185" t="s">
        <v>853</v>
      </c>
      <c r="P191" s="186" t="s">
        <v>715</v>
      </c>
    </row>
    <row r="192" spans="1:16">
      <c r="A192" s="184" t="s">
        <v>703</v>
      </c>
      <c r="B192" s="165" t="s">
        <v>510</v>
      </c>
      <c r="C192" s="165" t="s">
        <v>511</v>
      </c>
      <c r="D192" s="165" t="s">
        <v>512</v>
      </c>
      <c r="E192" s="165" t="s">
        <v>512</v>
      </c>
      <c r="F192" s="165">
        <v>8188</v>
      </c>
      <c r="G192" s="165" t="s">
        <v>513</v>
      </c>
      <c r="H192" s="165">
        <v>12</v>
      </c>
      <c r="I192" s="165">
        <v>10</v>
      </c>
      <c r="J192" s="165" t="s">
        <v>514</v>
      </c>
      <c r="K192" s="165"/>
      <c r="L192" s="165" t="s">
        <v>512</v>
      </c>
      <c r="M192" s="165"/>
      <c r="N192" s="165"/>
      <c r="O192" s="185" t="s">
        <v>854</v>
      </c>
      <c r="P192" s="186" t="s">
        <v>715</v>
      </c>
    </row>
    <row r="193" spans="1:16">
      <c r="A193" s="184" t="s">
        <v>704</v>
      </c>
      <c r="B193" s="165" t="s">
        <v>510</v>
      </c>
      <c r="C193" s="165" t="s">
        <v>511</v>
      </c>
      <c r="D193" s="165" t="s">
        <v>512</v>
      </c>
      <c r="E193" s="165" t="s">
        <v>512</v>
      </c>
      <c r="F193" s="165">
        <v>8189</v>
      </c>
      <c r="G193" s="165" t="s">
        <v>513</v>
      </c>
      <c r="H193" s="165">
        <v>12</v>
      </c>
      <c r="I193" s="165">
        <v>10</v>
      </c>
      <c r="J193" s="165" t="s">
        <v>514</v>
      </c>
      <c r="K193" s="165"/>
      <c r="L193" s="165" t="s">
        <v>512</v>
      </c>
      <c r="M193" s="165"/>
      <c r="N193" s="165"/>
      <c r="O193" s="185" t="s">
        <v>855</v>
      </c>
      <c r="P193" s="186" t="s">
        <v>715</v>
      </c>
    </row>
    <row r="194" spans="1:16">
      <c r="A194" s="184" t="s">
        <v>705</v>
      </c>
      <c r="B194" s="165" t="s">
        <v>510</v>
      </c>
      <c r="C194" s="165" t="s">
        <v>511</v>
      </c>
      <c r="D194" s="165" t="s">
        <v>512</v>
      </c>
      <c r="E194" s="165" t="s">
        <v>512</v>
      </c>
      <c r="F194" s="165">
        <v>8190</v>
      </c>
      <c r="G194" s="165" t="s">
        <v>513</v>
      </c>
      <c r="H194" s="165">
        <v>12</v>
      </c>
      <c r="I194" s="165">
        <v>10</v>
      </c>
      <c r="J194" s="165" t="s">
        <v>514</v>
      </c>
      <c r="K194" s="165"/>
      <c r="L194" s="165" t="s">
        <v>512</v>
      </c>
      <c r="M194" s="165"/>
      <c r="N194" s="165"/>
      <c r="O194" s="185" t="s">
        <v>856</v>
      </c>
      <c r="P194" s="186" t="s">
        <v>715</v>
      </c>
    </row>
    <row r="195" spans="1:16">
      <c r="A195" s="184" t="s">
        <v>706</v>
      </c>
      <c r="B195" s="165" t="s">
        <v>510</v>
      </c>
      <c r="C195" s="165" t="s">
        <v>511</v>
      </c>
      <c r="D195" s="165" t="s">
        <v>512</v>
      </c>
      <c r="E195" s="165" t="s">
        <v>512</v>
      </c>
      <c r="F195" s="165">
        <v>8191</v>
      </c>
      <c r="G195" s="165" t="s">
        <v>513</v>
      </c>
      <c r="H195" s="165">
        <v>12</v>
      </c>
      <c r="I195" s="165">
        <v>10</v>
      </c>
      <c r="J195" s="165" t="s">
        <v>514</v>
      </c>
      <c r="K195" s="165"/>
      <c r="L195" s="165" t="s">
        <v>512</v>
      </c>
      <c r="M195" s="165"/>
      <c r="N195" s="165"/>
      <c r="O195" s="185" t="s">
        <v>857</v>
      </c>
      <c r="P195" s="186" t="s">
        <v>715</v>
      </c>
    </row>
    <row r="196" spans="1:16">
      <c r="A196" s="184" t="s">
        <v>707</v>
      </c>
      <c r="B196" s="165" t="s">
        <v>510</v>
      </c>
      <c r="C196" s="165" t="s">
        <v>511</v>
      </c>
      <c r="D196" s="165" t="s">
        <v>512</v>
      </c>
      <c r="E196" s="165" t="s">
        <v>512</v>
      </c>
      <c r="F196" s="165">
        <v>8192</v>
      </c>
      <c r="G196" s="165" t="s">
        <v>513</v>
      </c>
      <c r="H196" s="165">
        <v>12</v>
      </c>
      <c r="I196" s="165">
        <v>10</v>
      </c>
      <c r="J196" s="165" t="s">
        <v>514</v>
      </c>
      <c r="K196" s="165"/>
      <c r="L196" s="165" t="s">
        <v>512</v>
      </c>
      <c r="M196" s="165"/>
      <c r="N196" s="165"/>
      <c r="O196" s="185" t="s">
        <v>858</v>
      </c>
      <c r="P196" s="186" t="s">
        <v>715</v>
      </c>
    </row>
    <row r="197" spans="1:16">
      <c r="A197" s="184" t="s">
        <v>708</v>
      </c>
      <c r="B197" s="165" t="s">
        <v>510</v>
      </c>
      <c r="C197" s="165" t="s">
        <v>511</v>
      </c>
      <c r="D197" s="165" t="s">
        <v>512</v>
      </c>
      <c r="E197" s="165" t="s">
        <v>512</v>
      </c>
      <c r="F197" s="165">
        <v>8193</v>
      </c>
      <c r="G197" s="165" t="s">
        <v>513</v>
      </c>
      <c r="H197" s="165">
        <v>12</v>
      </c>
      <c r="I197" s="165">
        <v>10</v>
      </c>
      <c r="J197" s="165" t="s">
        <v>514</v>
      </c>
      <c r="K197" s="165"/>
      <c r="L197" s="165" t="s">
        <v>512</v>
      </c>
      <c r="M197" s="165"/>
      <c r="N197" s="165"/>
      <c r="O197" s="185" t="s">
        <v>859</v>
      </c>
      <c r="P197" s="186" t="s">
        <v>715</v>
      </c>
    </row>
    <row r="198" spans="1:16">
      <c r="A198" s="184" t="s">
        <v>709</v>
      </c>
      <c r="B198" s="165" t="s">
        <v>510</v>
      </c>
      <c r="C198" s="165" t="s">
        <v>511</v>
      </c>
      <c r="D198" s="165" t="s">
        <v>512</v>
      </c>
      <c r="E198" s="165" t="s">
        <v>512</v>
      </c>
      <c r="F198" s="165">
        <v>8194</v>
      </c>
      <c r="G198" s="165" t="s">
        <v>513</v>
      </c>
      <c r="H198" s="165">
        <v>12</v>
      </c>
      <c r="I198" s="165">
        <v>10</v>
      </c>
      <c r="J198" s="165" t="s">
        <v>514</v>
      </c>
      <c r="K198" s="165"/>
      <c r="L198" s="165" t="s">
        <v>512</v>
      </c>
      <c r="M198" s="165"/>
      <c r="N198" s="165"/>
      <c r="O198" s="185" t="s">
        <v>860</v>
      </c>
      <c r="P198" s="186" t="s">
        <v>715</v>
      </c>
    </row>
    <row r="199" spans="1:16">
      <c r="A199" s="184" t="s">
        <v>710</v>
      </c>
      <c r="B199" s="165" t="s">
        <v>510</v>
      </c>
      <c r="C199" s="165" t="s">
        <v>511</v>
      </c>
      <c r="D199" s="165" t="s">
        <v>512</v>
      </c>
      <c r="E199" s="165" t="s">
        <v>512</v>
      </c>
      <c r="F199" s="165">
        <v>8195</v>
      </c>
      <c r="G199" s="165" t="s">
        <v>513</v>
      </c>
      <c r="H199" s="165">
        <v>12</v>
      </c>
      <c r="I199" s="165">
        <v>10</v>
      </c>
      <c r="J199" s="165" t="s">
        <v>514</v>
      </c>
      <c r="K199" s="165"/>
      <c r="L199" s="165" t="s">
        <v>512</v>
      </c>
      <c r="M199" s="165"/>
      <c r="N199" s="165"/>
      <c r="O199" s="185" t="s">
        <v>861</v>
      </c>
      <c r="P199" s="186" t="s">
        <v>715</v>
      </c>
    </row>
    <row r="200" spans="1:16">
      <c r="A200" s="184" t="s">
        <v>711</v>
      </c>
      <c r="B200" s="165" t="s">
        <v>510</v>
      </c>
      <c r="C200" s="165" t="s">
        <v>511</v>
      </c>
      <c r="D200" s="165" t="s">
        <v>512</v>
      </c>
      <c r="E200" s="165" t="s">
        <v>512</v>
      </c>
      <c r="F200" s="165">
        <v>8196</v>
      </c>
      <c r="G200" s="165" t="s">
        <v>513</v>
      </c>
      <c r="H200" s="165">
        <v>12</v>
      </c>
      <c r="I200" s="165">
        <v>10</v>
      </c>
      <c r="J200" s="165" t="s">
        <v>514</v>
      </c>
      <c r="K200" s="165"/>
      <c r="L200" s="165" t="s">
        <v>512</v>
      </c>
      <c r="M200" s="165"/>
      <c r="N200" s="165"/>
      <c r="O200" s="185" t="s">
        <v>862</v>
      </c>
      <c r="P200" s="186" t="s">
        <v>715</v>
      </c>
    </row>
    <row r="201" spans="1:16">
      <c r="A201" s="184" t="s">
        <v>712</v>
      </c>
      <c r="B201" s="165" t="s">
        <v>510</v>
      </c>
      <c r="C201" s="165" t="s">
        <v>511</v>
      </c>
      <c r="D201" s="165" t="s">
        <v>512</v>
      </c>
      <c r="E201" s="165" t="s">
        <v>512</v>
      </c>
      <c r="F201" s="165">
        <v>8197</v>
      </c>
      <c r="G201" s="165" t="s">
        <v>513</v>
      </c>
      <c r="H201" s="165">
        <v>12</v>
      </c>
      <c r="I201" s="165">
        <v>10</v>
      </c>
      <c r="J201" s="165" t="s">
        <v>514</v>
      </c>
      <c r="K201" s="165"/>
      <c r="L201" s="165" t="s">
        <v>512</v>
      </c>
      <c r="M201" s="165"/>
      <c r="N201" s="165"/>
      <c r="O201" s="185" t="s">
        <v>863</v>
      </c>
      <c r="P201" s="186" t="s">
        <v>715</v>
      </c>
    </row>
    <row r="202" spans="1:16" s="184" customFormat="1">
      <c r="A202" s="165" t="s">
        <v>713</v>
      </c>
      <c r="B202" s="165" t="s">
        <v>510</v>
      </c>
      <c r="C202" s="165" t="s">
        <v>511</v>
      </c>
      <c r="D202" s="165" t="s">
        <v>512</v>
      </c>
      <c r="E202" s="165" t="s">
        <v>512</v>
      </c>
      <c r="F202" s="184">
        <v>8198</v>
      </c>
      <c r="G202" s="165" t="s">
        <v>513</v>
      </c>
      <c r="H202" s="165">
        <v>12</v>
      </c>
      <c r="I202" s="165">
        <v>10</v>
      </c>
      <c r="J202" s="165" t="s">
        <v>514</v>
      </c>
      <c r="K202" s="165"/>
      <c r="L202" s="165" t="s">
        <v>512</v>
      </c>
      <c r="N202" s="165"/>
      <c r="P202" s="165" t="s">
        <v>515</v>
      </c>
    </row>
  </sheetData>
  <autoFilter ref="A3:P81" xr:uid="{9E456B86-207D-410C-A679-6F2CBFF53C75}"/>
  <hyperlinks>
    <hyperlink ref="B1" r:id="rId1" display="https://help.mypurecloud.com/articles/about-groups/" xr:uid="{8ECF7139-DA95-4B99-8173-BB0D26DD89F1}"/>
    <hyperlink ref="B2" r:id="rId2" display="https://help.mypurecloud.com/articles/setting-groups-admins/" xr:uid="{C21A135E-D08B-41FF-9CCE-CA0198BD638C}"/>
    <hyperlink ref="O66" r:id="rId3" xr:uid="{F855751E-C3DF-447F-8CAC-47756E7461F9}"/>
    <hyperlink ref="O27" r:id="rId4" xr:uid="{647E9E33-31F0-474B-936A-114ACC12BBF5}"/>
  </hyperlinks>
  <pageMargins left="0.7" right="0.7" top="0.75" bottom="0.75" header="0.3" footer="0.3"/>
  <legacyDrawing r:id="rId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40B4C-A7C9-4ECC-92BC-C786A355D22D}">
  <sheetPr>
    <tabColor rgb="FFFF4F1F"/>
  </sheetPr>
  <dimension ref="A1:Q15"/>
  <sheetViews>
    <sheetView workbookViewId="0">
      <selection activeCell="A3" sqref="A3"/>
    </sheetView>
  </sheetViews>
  <sheetFormatPr defaultColWidth="9.140625" defaultRowHeight="15"/>
  <cols>
    <col min="1" max="1" width="38.140625" customWidth="1"/>
    <col min="2" max="2" width="45.7109375" customWidth="1"/>
    <col min="3" max="3" width="8" bestFit="1" customWidth="1"/>
    <col min="4" max="4" width="8.42578125" bestFit="1" customWidth="1"/>
    <col min="5" max="5" width="13.7109375" bestFit="1" customWidth="1"/>
    <col min="6" max="6" width="21.7109375" customWidth="1"/>
    <col min="7" max="7" width="8" bestFit="1" customWidth="1"/>
    <col min="8" max="8" width="8.42578125" bestFit="1" customWidth="1"/>
    <col min="9" max="9" width="18.42578125" customWidth="1"/>
    <col min="10" max="10" width="26.5703125" customWidth="1"/>
    <col min="13" max="13" width="18.28515625" customWidth="1"/>
  </cols>
  <sheetData>
    <row r="1" spans="1:17" ht="18.75">
      <c r="A1" s="145" t="s">
        <v>864</v>
      </c>
      <c r="B1" s="145"/>
      <c r="C1" s="145"/>
      <c r="D1" s="145"/>
      <c r="E1" s="145"/>
      <c r="F1" s="145"/>
      <c r="G1" s="145"/>
      <c r="H1" s="145"/>
      <c r="I1" s="145"/>
      <c r="J1" s="145"/>
      <c r="K1" s="145"/>
      <c r="L1" s="145"/>
      <c r="M1" s="145"/>
      <c r="N1" s="145"/>
      <c r="O1" s="145"/>
      <c r="Q1" s="5" t="s">
        <v>467</v>
      </c>
    </row>
    <row r="2" spans="1:17" ht="15" customHeight="1">
      <c r="A2" s="5" t="s">
        <v>865</v>
      </c>
      <c r="B2" t="s">
        <v>866</v>
      </c>
    </row>
    <row r="3" spans="1:17" ht="15" customHeight="1"/>
    <row r="6" spans="1:17" ht="14.45" customHeight="1"/>
    <row r="12" spans="1:17" ht="14.45" customHeight="1"/>
    <row r="15" spans="1:17" ht="25.5" customHeight="1"/>
  </sheetData>
  <hyperlinks>
    <hyperlink ref="Q1" r:id="rId1" display="https://help.mypurecloud.com/articles/about-groups/" xr:uid="{604563D9-02B1-48D2-9FDD-987FC66C5FB8}"/>
    <hyperlink ref="A2" r:id="rId2" xr:uid="{5FB2A32F-2DB3-467D-8AA8-F70BABDDDD08}"/>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FC639-AB6B-440F-BD10-22342B0002E4}">
  <sheetPr codeName="Sheet25">
    <tabColor rgb="FF92D050"/>
  </sheetPr>
  <dimension ref="A1:F502"/>
  <sheetViews>
    <sheetView workbookViewId="0">
      <pane ySplit="2" topLeftCell="A487" activePane="bottomLeft" state="frozen"/>
      <selection activeCell="H31" sqref="H31"/>
      <selection pane="bottomLeft" activeCell="B496" sqref="B496"/>
    </sheetView>
  </sheetViews>
  <sheetFormatPr defaultColWidth="9" defaultRowHeight="15"/>
  <cols>
    <col min="1" max="1" width="21.28515625" bestFit="1" customWidth="1"/>
    <col min="2" max="3" width="51.5703125" customWidth="1"/>
    <col min="4" max="4" width="27" customWidth="1"/>
    <col min="5" max="5" width="12.28515625" customWidth="1"/>
  </cols>
  <sheetData>
    <row r="1" spans="1:6" ht="18.75">
      <c r="A1" s="18" t="s">
        <v>36</v>
      </c>
      <c r="B1" s="49"/>
      <c r="C1" s="49"/>
      <c r="D1" s="5" t="s">
        <v>867</v>
      </c>
    </row>
    <row r="2" spans="1:6">
      <c r="A2" s="17" t="s">
        <v>868</v>
      </c>
      <c r="B2" s="17" t="s">
        <v>869</v>
      </c>
      <c r="C2" s="17" t="s">
        <v>870</v>
      </c>
      <c r="D2" s="19" t="s">
        <v>871</v>
      </c>
      <c r="E2" s="33" t="s">
        <v>260</v>
      </c>
      <c r="F2" s="33" t="s">
        <v>228</v>
      </c>
    </row>
    <row r="3" spans="1:6">
      <c r="A3" s="142">
        <v>12125988000</v>
      </c>
      <c r="B3" s="142" t="s">
        <v>872</v>
      </c>
      <c r="C3" s="142" t="s">
        <v>873</v>
      </c>
      <c r="D3" s="142" t="s">
        <v>874</v>
      </c>
      <c r="E3" s="47" t="s">
        <v>192</v>
      </c>
      <c r="F3" s="47" t="s">
        <v>192</v>
      </c>
    </row>
    <row r="4" spans="1:6">
      <c r="A4" s="142">
        <v>12125988016</v>
      </c>
      <c r="B4" s="142" t="s">
        <v>875</v>
      </c>
      <c r="C4" s="142" t="s">
        <v>876</v>
      </c>
      <c r="D4" s="142" t="s">
        <v>877</v>
      </c>
      <c r="E4" s="47" t="s">
        <v>192</v>
      </c>
      <c r="F4" s="47" t="s">
        <v>192</v>
      </c>
    </row>
    <row r="5" spans="1:6">
      <c r="A5" s="142">
        <v>12125988327</v>
      </c>
      <c r="B5" s="142" t="s">
        <v>878</v>
      </c>
      <c r="C5" s="142" t="s">
        <v>876</v>
      </c>
      <c r="D5" s="142" t="s">
        <v>879</v>
      </c>
      <c r="E5" s="47" t="s">
        <v>192</v>
      </c>
      <c r="F5" s="47" t="s">
        <v>192</v>
      </c>
    </row>
    <row r="6" spans="1:6">
      <c r="A6" s="142">
        <v>12125988386</v>
      </c>
      <c r="B6" s="142" t="s">
        <v>880</v>
      </c>
      <c r="C6" s="142" t="s">
        <v>876</v>
      </c>
      <c r="D6" s="142" t="s">
        <v>881</v>
      </c>
      <c r="E6" s="47" t="s">
        <v>192</v>
      </c>
      <c r="F6" s="47" t="s">
        <v>192</v>
      </c>
    </row>
    <row r="7" spans="1:6">
      <c r="A7" s="142">
        <v>12129192148</v>
      </c>
      <c r="B7" s="142" t="s">
        <v>882</v>
      </c>
      <c r="C7" s="142" t="s">
        <v>876</v>
      </c>
      <c r="D7" s="142" t="s">
        <v>883</v>
      </c>
      <c r="E7" s="47" t="s">
        <v>192</v>
      </c>
      <c r="F7" s="47" t="s">
        <v>192</v>
      </c>
    </row>
    <row r="8" spans="1:6">
      <c r="A8" s="142">
        <v>12129192150</v>
      </c>
      <c r="B8" s="142" t="s">
        <v>884</v>
      </c>
      <c r="C8" s="142" t="s">
        <v>876</v>
      </c>
      <c r="D8" s="142" t="s">
        <v>885</v>
      </c>
      <c r="E8" s="47" t="s">
        <v>192</v>
      </c>
      <c r="F8" s="47" t="s">
        <v>192</v>
      </c>
    </row>
    <row r="9" spans="1:6" ht="13.7" customHeight="1">
      <c r="A9" s="142">
        <v>12129192386</v>
      </c>
      <c r="B9" s="142" t="s">
        <v>886</v>
      </c>
      <c r="C9" s="142" t="s">
        <v>876</v>
      </c>
      <c r="D9" s="142" t="s">
        <v>887</v>
      </c>
      <c r="E9" s="47" t="s">
        <v>192</v>
      </c>
      <c r="F9" s="47" t="s">
        <v>192</v>
      </c>
    </row>
    <row r="10" spans="1:6" ht="13.7" customHeight="1">
      <c r="A10" s="142">
        <v>12129192699</v>
      </c>
      <c r="B10" s="142" t="s">
        <v>888</v>
      </c>
      <c r="C10" s="142" t="s">
        <v>876</v>
      </c>
      <c r="D10" s="142" t="s">
        <v>889</v>
      </c>
      <c r="E10" s="47" t="s">
        <v>192</v>
      </c>
      <c r="F10" s="47" t="s">
        <v>192</v>
      </c>
    </row>
    <row r="11" spans="1:6" ht="13.7" customHeight="1">
      <c r="A11" s="142">
        <v>12129192986</v>
      </c>
      <c r="B11" s="142" t="s">
        <v>890</v>
      </c>
      <c r="C11" s="142" t="s">
        <v>876</v>
      </c>
      <c r="D11" s="142" t="s">
        <v>891</v>
      </c>
      <c r="E11" s="47" t="s">
        <v>192</v>
      </c>
      <c r="F11" s="47" t="s">
        <v>192</v>
      </c>
    </row>
    <row r="12" spans="1:6" ht="13.7" customHeight="1">
      <c r="A12" s="142">
        <v>12129193036</v>
      </c>
      <c r="B12" s="142" t="s">
        <v>892</v>
      </c>
      <c r="C12" s="142" t="s">
        <v>876</v>
      </c>
      <c r="D12" s="142" t="s">
        <v>893</v>
      </c>
      <c r="E12" s="47" t="s">
        <v>192</v>
      </c>
      <c r="F12" s="47" t="s">
        <v>192</v>
      </c>
    </row>
    <row r="13" spans="1:6" ht="13.7" customHeight="1">
      <c r="A13" s="142">
        <v>12129194558</v>
      </c>
      <c r="B13" s="142" t="s">
        <v>894</v>
      </c>
      <c r="C13" s="142" t="s">
        <v>876</v>
      </c>
      <c r="D13" s="142" t="s">
        <v>895</v>
      </c>
      <c r="E13" s="47" t="s">
        <v>192</v>
      </c>
      <c r="F13" s="47" t="s">
        <v>192</v>
      </c>
    </row>
    <row r="14" spans="1:6">
      <c r="A14" s="142">
        <v>12129195021</v>
      </c>
      <c r="B14" s="142" t="s">
        <v>896</v>
      </c>
      <c r="C14" s="142" t="s">
        <v>876</v>
      </c>
      <c r="D14" s="142" t="s">
        <v>897</v>
      </c>
      <c r="E14" s="47" t="s">
        <v>192</v>
      </c>
      <c r="F14" s="47" t="s">
        <v>192</v>
      </c>
    </row>
    <row r="15" spans="1:6" ht="13.7" customHeight="1">
      <c r="A15" s="142">
        <v>12129195306</v>
      </c>
      <c r="B15" s="142" t="s">
        <v>898</v>
      </c>
      <c r="C15" s="142" t="s">
        <v>876</v>
      </c>
      <c r="D15" s="142" t="s">
        <v>899</v>
      </c>
      <c r="E15" s="47" t="s">
        <v>192</v>
      </c>
      <c r="F15" s="47" t="s">
        <v>192</v>
      </c>
    </row>
    <row r="16" spans="1:6" ht="13.7" customHeight="1">
      <c r="A16" s="142">
        <v>12129195355</v>
      </c>
      <c r="B16" s="142" t="s">
        <v>900</v>
      </c>
      <c r="C16" s="142" t="s">
        <v>876</v>
      </c>
      <c r="D16" s="142" t="s">
        <v>901</v>
      </c>
      <c r="E16" s="47" t="s">
        <v>192</v>
      </c>
      <c r="F16" s="47" t="s">
        <v>192</v>
      </c>
    </row>
    <row r="17" spans="1:6" ht="13.7" customHeight="1">
      <c r="A17" s="142">
        <v>12129195645</v>
      </c>
      <c r="B17" s="142" t="s">
        <v>902</v>
      </c>
      <c r="C17" s="142" t="s">
        <v>873</v>
      </c>
      <c r="D17" s="142" t="s">
        <v>903</v>
      </c>
      <c r="E17" s="47" t="s">
        <v>192</v>
      </c>
      <c r="F17" s="47" t="s">
        <v>192</v>
      </c>
    </row>
    <row r="18" spans="1:6" ht="13.7" customHeight="1">
      <c r="A18" s="142">
        <v>12129197000</v>
      </c>
      <c r="B18" s="142" t="s">
        <v>904</v>
      </c>
      <c r="C18" s="142" t="s">
        <v>873</v>
      </c>
      <c r="D18" s="142" t="s">
        <v>905</v>
      </c>
      <c r="E18" s="47" t="s">
        <v>192</v>
      </c>
      <c r="F18" s="47" t="s">
        <v>192</v>
      </c>
    </row>
    <row r="19" spans="1:6" ht="14.1" customHeight="1">
      <c r="A19" s="142">
        <v>12129197081</v>
      </c>
      <c r="B19" s="142" t="s">
        <v>906</v>
      </c>
      <c r="C19" s="142" t="s">
        <v>876</v>
      </c>
      <c r="D19" s="142" t="s">
        <v>907</v>
      </c>
      <c r="E19" s="47" t="s">
        <v>192</v>
      </c>
      <c r="F19" s="47" t="s">
        <v>192</v>
      </c>
    </row>
    <row r="20" spans="1:6">
      <c r="A20" s="142">
        <v>12129197615</v>
      </c>
      <c r="B20" s="142" t="s">
        <v>908</v>
      </c>
      <c r="C20" s="142" t="s">
        <v>876</v>
      </c>
      <c r="D20" s="142" t="s">
        <v>909</v>
      </c>
      <c r="E20" s="47" t="s">
        <v>192</v>
      </c>
      <c r="F20" s="47" t="s">
        <v>192</v>
      </c>
    </row>
    <row r="21" spans="1:6">
      <c r="A21" s="142">
        <v>12129198324</v>
      </c>
      <c r="B21" s="142" t="s">
        <v>910</v>
      </c>
      <c r="C21" s="142" t="s">
        <v>876</v>
      </c>
      <c r="D21" s="142" t="s">
        <v>911</v>
      </c>
      <c r="E21" s="47" t="s">
        <v>192</v>
      </c>
      <c r="F21" s="47" t="s">
        <v>192</v>
      </c>
    </row>
    <row r="22" spans="1:6">
      <c r="A22" s="142">
        <v>12129198403</v>
      </c>
      <c r="B22" s="142" t="s">
        <v>912</v>
      </c>
      <c r="C22" s="142" t="s">
        <v>876</v>
      </c>
      <c r="D22" s="142" t="s">
        <v>913</v>
      </c>
      <c r="E22" s="47" t="s">
        <v>192</v>
      </c>
      <c r="F22" s="47" t="s">
        <v>192</v>
      </c>
    </row>
    <row r="23" spans="1:6">
      <c r="A23" s="142">
        <v>12129198417</v>
      </c>
      <c r="B23" s="142" t="s">
        <v>914</v>
      </c>
      <c r="C23" s="142" t="s">
        <v>876</v>
      </c>
      <c r="D23" s="142" t="s">
        <v>915</v>
      </c>
      <c r="E23" s="47" t="s">
        <v>192</v>
      </c>
      <c r="F23" s="47" t="s">
        <v>192</v>
      </c>
    </row>
    <row r="24" spans="1:6">
      <c r="A24" s="142">
        <v>12158390119</v>
      </c>
      <c r="B24" s="142" t="s">
        <v>916</v>
      </c>
      <c r="C24" s="142" t="s">
        <v>876</v>
      </c>
      <c r="D24" s="142" t="s">
        <v>917</v>
      </c>
      <c r="E24" s="47" t="s">
        <v>192</v>
      </c>
      <c r="F24" s="47" t="s">
        <v>192</v>
      </c>
    </row>
    <row r="25" spans="1:6">
      <c r="A25" s="142">
        <v>14133954100</v>
      </c>
      <c r="B25" s="142" t="s">
        <v>918</v>
      </c>
      <c r="C25" s="142" t="s">
        <v>876</v>
      </c>
      <c r="D25" s="142" t="s">
        <v>919</v>
      </c>
      <c r="E25" s="47" t="s">
        <v>192</v>
      </c>
      <c r="F25" s="47" t="s">
        <v>192</v>
      </c>
    </row>
    <row r="26" spans="1:6">
      <c r="A26" s="142" t="s">
        <v>920</v>
      </c>
      <c r="B26" s="142" t="s">
        <v>921</v>
      </c>
      <c r="C26" s="142" t="s">
        <v>876</v>
      </c>
      <c r="D26" s="142" t="s">
        <v>919</v>
      </c>
      <c r="E26" s="47" t="s">
        <v>192</v>
      </c>
      <c r="F26" s="47" t="s">
        <v>192</v>
      </c>
    </row>
    <row r="27" spans="1:6">
      <c r="A27" s="142">
        <v>14133954305</v>
      </c>
      <c r="B27" s="142" t="s">
        <v>922</v>
      </c>
      <c r="C27" s="142" t="s">
        <v>876</v>
      </c>
      <c r="D27" s="142" t="s">
        <v>923</v>
      </c>
      <c r="E27" s="47" t="s">
        <v>192</v>
      </c>
      <c r="F27" s="47" t="s">
        <v>192</v>
      </c>
    </row>
    <row r="28" spans="1:6">
      <c r="A28" s="142">
        <v>14133954644</v>
      </c>
      <c r="B28" s="142" t="s">
        <v>924</v>
      </c>
      <c r="C28" s="142" t="s">
        <v>876</v>
      </c>
      <c r="D28" s="142" t="s">
        <v>925</v>
      </c>
      <c r="E28" s="47" t="s">
        <v>192</v>
      </c>
      <c r="F28" s="47" t="s">
        <v>192</v>
      </c>
    </row>
    <row r="29" spans="1:6">
      <c r="A29" s="142">
        <v>14133954791</v>
      </c>
      <c r="B29" s="142" t="s">
        <v>926</v>
      </c>
      <c r="C29" s="142" t="s">
        <v>876</v>
      </c>
      <c r="D29" s="142" t="s">
        <v>927</v>
      </c>
      <c r="E29" s="47" t="s">
        <v>192</v>
      </c>
      <c r="F29" s="47" t="s">
        <v>192</v>
      </c>
    </row>
    <row r="30" spans="1:6">
      <c r="A30" s="142">
        <v>15083088396</v>
      </c>
      <c r="B30" s="142" t="s">
        <v>928</v>
      </c>
      <c r="C30" s="142" t="s">
        <v>876</v>
      </c>
      <c r="D30" s="142" t="s">
        <v>929</v>
      </c>
      <c r="E30" s="47" t="s">
        <v>192</v>
      </c>
      <c r="F30" s="47" t="s">
        <v>192</v>
      </c>
    </row>
    <row r="31" spans="1:6">
      <c r="A31" s="142">
        <v>15094686000</v>
      </c>
      <c r="B31" s="142" t="s">
        <v>930</v>
      </c>
      <c r="C31" s="142" t="s">
        <v>873</v>
      </c>
      <c r="D31" s="142" t="s">
        <v>931</v>
      </c>
      <c r="E31" s="47" t="s">
        <v>192</v>
      </c>
      <c r="F31" s="47" t="s">
        <v>192</v>
      </c>
    </row>
    <row r="32" spans="1:6">
      <c r="A32" s="142">
        <v>15094686724</v>
      </c>
      <c r="B32" s="142" t="s">
        <v>932</v>
      </c>
      <c r="C32" s="142" t="s">
        <v>876</v>
      </c>
      <c r="D32" s="142" t="s">
        <v>933</v>
      </c>
      <c r="E32" s="47" t="s">
        <v>192</v>
      </c>
      <c r="F32" s="47" t="s">
        <v>192</v>
      </c>
    </row>
    <row r="33" spans="1:6">
      <c r="A33" s="142">
        <v>15551001524</v>
      </c>
      <c r="B33" s="142" t="s">
        <v>934</v>
      </c>
      <c r="C33" s="142" t="s">
        <v>873</v>
      </c>
      <c r="D33" s="142" t="s">
        <v>935</v>
      </c>
      <c r="E33" s="47" t="s">
        <v>192</v>
      </c>
      <c r="F33" s="47" t="s">
        <v>192</v>
      </c>
    </row>
    <row r="34" spans="1:6">
      <c r="A34" s="142">
        <v>15552220094</v>
      </c>
      <c r="B34" s="142" t="s">
        <v>936</v>
      </c>
      <c r="C34" s="142" t="s">
        <v>873</v>
      </c>
      <c r="D34" s="142" t="s">
        <v>937</v>
      </c>
      <c r="E34" s="47" t="s">
        <v>192</v>
      </c>
      <c r="F34" s="47" t="s">
        <v>192</v>
      </c>
    </row>
    <row r="35" spans="1:6">
      <c r="A35" s="142">
        <v>15555554008</v>
      </c>
      <c r="B35" s="142" t="s">
        <v>938</v>
      </c>
      <c r="C35" s="142" t="s">
        <v>873</v>
      </c>
      <c r="D35" s="142" t="s">
        <v>939</v>
      </c>
      <c r="E35" s="47" t="s">
        <v>192</v>
      </c>
      <c r="F35" s="47" t="s">
        <v>192</v>
      </c>
    </row>
    <row r="36" spans="1:6">
      <c r="A36" s="142">
        <v>15555554096</v>
      </c>
      <c r="B36" s="142" t="s">
        <v>940</v>
      </c>
      <c r="C36" s="142" t="s">
        <v>873</v>
      </c>
      <c r="D36" s="142" t="s">
        <v>941</v>
      </c>
      <c r="E36" s="47" t="s">
        <v>192</v>
      </c>
      <c r="F36" s="47" t="s">
        <v>192</v>
      </c>
    </row>
    <row r="37" spans="1:6">
      <c r="A37" s="142">
        <v>15555559005</v>
      </c>
      <c r="B37" s="142" t="s">
        <v>942</v>
      </c>
      <c r="C37" s="142" t="s">
        <v>873</v>
      </c>
      <c r="D37" s="142" t="s">
        <v>943</v>
      </c>
      <c r="E37" s="47" t="s">
        <v>192</v>
      </c>
      <c r="F37" s="47" t="s">
        <v>192</v>
      </c>
    </row>
    <row r="38" spans="1:6">
      <c r="A38" s="142">
        <v>15555559033</v>
      </c>
      <c r="B38" s="142" t="s">
        <v>944</v>
      </c>
      <c r="C38" s="142" t="s">
        <v>873</v>
      </c>
      <c r="D38" s="142" t="s">
        <v>945</v>
      </c>
      <c r="E38" s="47" t="s">
        <v>192</v>
      </c>
      <c r="F38" s="47" t="s">
        <v>192</v>
      </c>
    </row>
    <row r="39" spans="1:6">
      <c r="A39" s="142">
        <v>15555559034</v>
      </c>
      <c r="B39" s="142" t="s">
        <v>946</v>
      </c>
      <c r="C39" s="142" t="s">
        <v>873</v>
      </c>
      <c r="D39" s="142" t="s">
        <v>947</v>
      </c>
      <c r="E39" s="47" t="s">
        <v>192</v>
      </c>
      <c r="F39" s="47" t="s">
        <v>192</v>
      </c>
    </row>
    <row r="40" spans="1:6">
      <c r="A40" s="142">
        <v>16101990002</v>
      </c>
      <c r="B40" s="142" t="s">
        <v>948</v>
      </c>
      <c r="C40" s="142" t="s">
        <v>949</v>
      </c>
      <c r="D40" s="142" t="s">
        <v>950</v>
      </c>
      <c r="E40" s="47" t="s">
        <v>192</v>
      </c>
      <c r="F40" s="47" t="s">
        <v>192</v>
      </c>
    </row>
    <row r="41" spans="1:6">
      <c r="A41" s="142">
        <v>16101990003</v>
      </c>
      <c r="B41" s="142" t="s">
        <v>951</v>
      </c>
      <c r="C41" s="142" t="s">
        <v>949</v>
      </c>
      <c r="D41" s="142" t="s">
        <v>952</v>
      </c>
      <c r="E41" s="47" t="s">
        <v>192</v>
      </c>
      <c r="F41" s="47" t="s">
        <v>192</v>
      </c>
    </row>
    <row r="42" spans="1:6">
      <c r="A42" s="142">
        <v>16101990004</v>
      </c>
      <c r="B42" s="142" t="s">
        <v>953</v>
      </c>
      <c r="C42" s="142" t="s">
        <v>949</v>
      </c>
      <c r="D42" s="142" t="s">
        <v>954</v>
      </c>
      <c r="E42" s="47" t="s">
        <v>192</v>
      </c>
      <c r="F42" s="47" t="s">
        <v>192</v>
      </c>
    </row>
    <row r="43" spans="1:6">
      <c r="A43" s="142">
        <v>16101990005</v>
      </c>
      <c r="B43" s="142" t="s">
        <v>955</v>
      </c>
      <c r="C43" s="142" t="s">
        <v>949</v>
      </c>
      <c r="D43" s="142" t="s">
        <v>956</v>
      </c>
      <c r="E43" s="47" t="s">
        <v>192</v>
      </c>
      <c r="F43" s="47" t="s">
        <v>192</v>
      </c>
    </row>
    <row r="44" spans="1:6">
      <c r="A44" s="142">
        <v>16101990006</v>
      </c>
      <c r="B44" s="142" t="s">
        <v>957</v>
      </c>
      <c r="C44" s="142" t="s">
        <v>949</v>
      </c>
      <c r="D44" s="142" t="s">
        <v>958</v>
      </c>
      <c r="E44" s="47" t="s">
        <v>192</v>
      </c>
      <c r="F44" s="47" t="s">
        <v>192</v>
      </c>
    </row>
    <row r="45" spans="1:6">
      <c r="A45" s="142">
        <v>16101990007</v>
      </c>
      <c r="B45" s="142" t="s">
        <v>959</v>
      </c>
      <c r="C45" s="142" t="s">
        <v>949</v>
      </c>
      <c r="D45" s="142" t="s">
        <v>960</v>
      </c>
      <c r="E45" s="47" t="s">
        <v>192</v>
      </c>
      <c r="F45" s="47" t="s">
        <v>192</v>
      </c>
    </row>
    <row r="46" spans="1:6">
      <c r="A46" s="142">
        <v>16101990008</v>
      </c>
      <c r="B46" s="142" t="s">
        <v>961</v>
      </c>
      <c r="C46" s="142" t="s">
        <v>949</v>
      </c>
      <c r="D46" s="142" t="s">
        <v>962</v>
      </c>
      <c r="E46" s="47" t="s">
        <v>192</v>
      </c>
      <c r="F46" s="47" t="s">
        <v>192</v>
      </c>
    </row>
    <row r="47" spans="1:6">
      <c r="A47" s="142">
        <v>16101990009</v>
      </c>
      <c r="B47" s="142" t="s">
        <v>963</v>
      </c>
      <c r="C47" s="142" t="s">
        <v>949</v>
      </c>
      <c r="D47" s="142" t="s">
        <v>964</v>
      </c>
      <c r="E47" s="47" t="s">
        <v>192</v>
      </c>
      <c r="F47" s="47" t="s">
        <v>192</v>
      </c>
    </row>
    <row r="48" spans="1:6">
      <c r="A48" s="142">
        <v>16101990010</v>
      </c>
      <c r="B48" s="142" t="s">
        <v>965</v>
      </c>
      <c r="C48" s="142" t="s">
        <v>949</v>
      </c>
      <c r="D48" s="142" t="s">
        <v>966</v>
      </c>
      <c r="E48" s="47" t="s">
        <v>192</v>
      </c>
      <c r="F48" s="47" t="s">
        <v>192</v>
      </c>
    </row>
    <row r="49" spans="1:6">
      <c r="A49" s="142">
        <v>16101990011</v>
      </c>
      <c r="B49" s="142" t="s">
        <v>967</v>
      </c>
      <c r="C49" s="142" t="s">
        <v>949</v>
      </c>
      <c r="D49" s="142" t="s">
        <v>968</v>
      </c>
      <c r="E49" s="47" t="s">
        <v>192</v>
      </c>
      <c r="F49" s="47" t="s">
        <v>192</v>
      </c>
    </row>
    <row r="50" spans="1:6">
      <c r="A50" s="142">
        <v>16101990012</v>
      </c>
      <c r="B50" s="142" t="s">
        <v>969</v>
      </c>
      <c r="C50" s="142" t="s">
        <v>949</v>
      </c>
      <c r="D50" s="142" t="s">
        <v>970</v>
      </c>
      <c r="E50" s="47" t="s">
        <v>192</v>
      </c>
      <c r="F50" s="47" t="s">
        <v>192</v>
      </c>
    </row>
    <row r="51" spans="1:6">
      <c r="A51" s="142">
        <v>16101990013</v>
      </c>
      <c r="B51" s="142" t="s">
        <v>971</v>
      </c>
      <c r="C51" s="142" t="s">
        <v>949</v>
      </c>
      <c r="D51" s="142" t="s">
        <v>972</v>
      </c>
      <c r="E51" s="47" t="s">
        <v>192</v>
      </c>
      <c r="F51" s="47" t="s">
        <v>192</v>
      </c>
    </row>
    <row r="52" spans="1:6">
      <c r="A52" s="142">
        <v>16101990014</v>
      </c>
      <c r="B52" s="142" t="s">
        <v>973</v>
      </c>
      <c r="C52" s="142" t="s">
        <v>949</v>
      </c>
      <c r="D52" s="142" t="s">
        <v>974</v>
      </c>
      <c r="E52" s="47" t="s">
        <v>192</v>
      </c>
      <c r="F52" s="47" t="s">
        <v>192</v>
      </c>
    </row>
    <row r="53" spans="1:6">
      <c r="A53" s="142">
        <v>16101990015</v>
      </c>
      <c r="B53" s="142" t="s">
        <v>975</v>
      </c>
      <c r="C53" s="142" t="s">
        <v>949</v>
      </c>
      <c r="D53" s="142" t="s">
        <v>976</v>
      </c>
      <c r="E53" s="47" t="s">
        <v>192</v>
      </c>
      <c r="F53" s="47" t="s">
        <v>192</v>
      </c>
    </row>
    <row r="54" spans="1:6">
      <c r="A54" s="142">
        <v>16101990017</v>
      </c>
      <c r="B54" s="142" t="s">
        <v>977</v>
      </c>
      <c r="C54" s="142" t="s">
        <v>949</v>
      </c>
      <c r="D54" s="142" t="s">
        <v>978</v>
      </c>
      <c r="E54" s="47" t="s">
        <v>192</v>
      </c>
      <c r="F54" s="47" t="s">
        <v>192</v>
      </c>
    </row>
    <row r="55" spans="1:6">
      <c r="A55" s="142">
        <v>16101990018</v>
      </c>
      <c r="B55" s="142" t="s">
        <v>979</v>
      </c>
      <c r="C55" s="142" t="s">
        <v>949</v>
      </c>
      <c r="D55" s="142" t="s">
        <v>980</v>
      </c>
      <c r="E55" s="47" t="s">
        <v>192</v>
      </c>
      <c r="F55" s="47" t="s">
        <v>192</v>
      </c>
    </row>
    <row r="56" spans="1:6">
      <c r="A56" s="142">
        <v>16101990019</v>
      </c>
      <c r="B56" s="142" t="s">
        <v>981</v>
      </c>
      <c r="C56" s="142" t="s">
        <v>949</v>
      </c>
      <c r="D56" s="142" t="s">
        <v>982</v>
      </c>
      <c r="E56" s="47" t="s">
        <v>192</v>
      </c>
      <c r="F56" s="47" t="s">
        <v>192</v>
      </c>
    </row>
    <row r="57" spans="1:6">
      <c r="A57" s="142">
        <v>16101990022</v>
      </c>
      <c r="B57" s="142" t="s">
        <v>983</v>
      </c>
      <c r="C57" s="142" t="s">
        <v>949</v>
      </c>
      <c r="D57" s="142" t="s">
        <v>984</v>
      </c>
      <c r="E57" s="47" t="s">
        <v>192</v>
      </c>
      <c r="F57" s="47" t="s">
        <v>192</v>
      </c>
    </row>
    <row r="58" spans="1:6">
      <c r="A58" s="142">
        <v>16101990023</v>
      </c>
      <c r="B58" s="142" t="s">
        <v>985</v>
      </c>
      <c r="C58" s="142" t="s">
        <v>949</v>
      </c>
      <c r="D58" s="142" t="s">
        <v>986</v>
      </c>
      <c r="E58" s="47" t="s">
        <v>192</v>
      </c>
      <c r="F58" s="47" t="s">
        <v>192</v>
      </c>
    </row>
    <row r="59" spans="1:6">
      <c r="A59" s="142">
        <v>16101990026</v>
      </c>
      <c r="B59" s="142" t="s">
        <v>987</v>
      </c>
      <c r="C59" s="142" t="s">
        <v>949</v>
      </c>
      <c r="D59" s="142" t="s">
        <v>988</v>
      </c>
      <c r="E59" s="47" t="s">
        <v>192</v>
      </c>
      <c r="F59" s="47" t="s">
        <v>192</v>
      </c>
    </row>
    <row r="60" spans="1:6">
      <c r="A60" s="142">
        <v>16101990030</v>
      </c>
      <c r="B60" s="142" t="s">
        <v>989</v>
      </c>
      <c r="C60" s="142" t="s">
        <v>949</v>
      </c>
      <c r="D60" s="142" t="s">
        <v>990</v>
      </c>
      <c r="E60" s="47" t="s">
        <v>192</v>
      </c>
      <c r="F60" s="47" t="s">
        <v>192</v>
      </c>
    </row>
    <row r="61" spans="1:6">
      <c r="A61" s="142">
        <v>16101990031</v>
      </c>
      <c r="B61" s="142" t="s">
        <v>991</v>
      </c>
      <c r="C61" s="142" t="s">
        <v>949</v>
      </c>
      <c r="D61" s="142" t="s">
        <v>992</v>
      </c>
      <c r="E61" s="47" t="s">
        <v>192</v>
      </c>
      <c r="F61" s="47" t="s">
        <v>192</v>
      </c>
    </row>
    <row r="62" spans="1:6">
      <c r="A62" s="142">
        <v>16101990032</v>
      </c>
      <c r="B62" s="142" t="s">
        <v>993</v>
      </c>
      <c r="C62" s="142" t="s">
        <v>949</v>
      </c>
      <c r="D62" s="142" t="s">
        <v>994</v>
      </c>
      <c r="E62" s="47" t="s">
        <v>192</v>
      </c>
      <c r="F62" s="47" t="s">
        <v>192</v>
      </c>
    </row>
    <row r="63" spans="1:6">
      <c r="A63" s="142">
        <v>16101990034</v>
      </c>
      <c r="B63" s="142" t="s">
        <v>995</v>
      </c>
      <c r="C63" s="142" t="s">
        <v>949</v>
      </c>
      <c r="D63" s="142" t="s">
        <v>996</v>
      </c>
      <c r="E63" s="47" t="s">
        <v>192</v>
      </c>
      <c r="F63" s="47" t="s">
        <v>192</v>
      </c>
    </row>
    <row r="64" spans="1:6">
      <c r="A64" s="142">
        <v>16101990035</v>
      </c>
      <c r="B64" s="142" t="s">
        <v>997</v>
      </c>
      <c r="C64" s="142" t="s">
        <v>949</v>
      </c>
      <c r="D64" s="142" t="s">
        <v>998</v>
      </c>
      <c r="E64" s="47" t="s">
        <v>192</v>
      </c>
      <c r="F64" s="47" t="s">
        <v>192</v>
      </c>
    </row>
    <row r="65" spans="1:6">
      <c r="A65" s="142">
        <v>16101990036</v>
      </c>
      <c r="B65" s="142" t="s">
        <v>999</v>
      </c>
      <c r="C65" s="142" t="s">
        <v>949</v>
      </c>
      <c r="D65" s="142" t="s">
        <v>1000</v>
      </c>
      <c r="E65" s="47" t="s">
        <v>192</v>
      </c>
      <c r="F65" s="47" t="s">
        <v>192</v>
      </c>
    </row>
    <row r="66" spans="1:6">
      <c r="A66" s="142">
        <v>16101990037</v>
      </c>
      <c r="B66" s="142" t="s">
        <v>1001</v>
      </c>
      <c r="C66" s="142" t="s">
        <v>949</v>
      </c>
      <c r="D66" s="142" t="s">
        <v>1002</v>
      </c>
      <c r="E66" s="47" t="s">
        <v>192</v>
      </c>
      <c r="F66" s="47" t="s">
        <v>192</v>
      </c>
    </row>
    <row r="67" spans="1:6">
      <c r="A67" s="142">
        <v>16101990041</v>
      </c>
      <c r="B67" s="142" t="s">
        <v>1003</v>
      </c>
      <c r="C67" s="142" t="s">
        <v>949</v>
      </c>
      <c r="D67" s="142" t="s">
        <v>1004</v>
      </c>
      <c r="E67" s="47" t="s">
        <v>192</v>
      </c>
      <c r="F67" s="47" t="s">
        <v>192</v>
      </c>
    </row>
    <row r="68" spans="1:6">
      <c r="A68" s="142">
        <v>16101990051</v>
      </c>
      <c r="B68" s="142" t="s">
        <v>1005</v>
      </c>
      <c r="C68" s="142" t="s">
        <v>949</v>
      </c>
      <c r="D68" s="142" t="s">
        <v>1006</v>
      </c>
      <c r="E68" s="47" t="s">
        <v>192</v>
      </c>
      <c r="F68" s="47" t="s">
        <v>192</v>
      </c>
    </row>
    <row r="69" spans="1:6">
      <c r="A69" s="142">
        <v>16101990053</v>
      </c>
      <c r="B69" s="142" t="s">
        <v>1007</v>
      </c>
      <c r="C69" s="142" t="s">
        <v>949</v>
      </c>
      <c r="D69" s="142" t="s">
        <v>1008</v>
      </c>
      <c r="E69" s="47" t="s">
        <v>192</v>
      </c>
      <c r="F69" s="47" t="s">
        <v>192</v>
      </c>
    </row>
    <row r="70" spans="1:6">
      <c r="A70" s="142">
        <v>16101990054</v>
      </c>
      <c r="B70" s="142" t="s">
        <v>1009</v>
      </c>
      <c r="C70" s="142" t="s">
        <v>949</v>
      </c>
      <c r="D70" s="142" t="s">
        <v>1010</v>
      </c>
      <c r="E70" s="47" t="s">
        <v>192</v>
      </c>
      <c r="F70" s="47" t="s">
        <v>192</v>
      </c>
    </row>
    <row r="71" spans="1:6">
      <c r="A71" s="142">
        <v>16101990055</v>
      </c>
      <c r="B71" s="142" t="s">
        <v>1011</v>
      </c>
      <c r="C71" s="142" t="s">
        <v>949</v>
      </c>
      <c r="D71" s="142" t="s">
        <v>1012</v>
      </c>
      <c r="E71" s="47" t="s">
        <v>192</v>
      </c>
      <c r="F71" s="47" t="s">
        <v>192</v>
      </c>
    </row>
    <row r="72" spans="1:6">
      <c r="A72" s="142">
        <v>16101990104</v>
      </c>
      <c r="B72" s="142" t="s">
        <v>1013</v>
      </c>
      <c r="C72" s="142" t="s">
        <v>949</v>
      </c>
      <c r="D72" s="142" t="s">
        <v>1014</v>
      </c>
      <c r="E72" s="47" t="s">
        <v>192</v>
      </c>
      <c r="F72" s="47" t="s">
        <v>192</v>
      </c>
    </row>
    <row r="73" spans="1:6">
      <c r="A73" s="142">
        <v>16101990105</v>
      </c>
      <c r="B73" s="142" t="s">
        <v>1015</v>
      </c>
      <c r="C73" s="142" t="s">
        <v>949</v>
      </c>
      <c r="D73" s="142" t="s">
        <v>1016</v>
      </c>
      <c r="E73" s="47" t="s">
        <v>192</v>
      </c>
      <c r="F73" s="47" t="s">
        <v>192</v>
      </c>
    </row>
    <row r="74" spans="1:6">
      <c r="A74" s="142">
        <v>16101990108</v>
      </c>
      <c r="B74" s="142" t="s">
        <v>1017</v>
      </c>
      <c r="C74" s="142" t="s">
        <v>949</v>
      </c>
      <c r="D74" s="142" t="s">
        <v>1018</v>
      </c>
      <c r="E74" s="47" t="s">
        <v>192</v>
      </c>
      <c r="F74" s="47" t="s">
        <v>192</v>
      </c>
    </row>
    <row r="75" spans="1:6">
      <c r="A75" s="142">
        <v>16101990109</v>
      </c>
      <c r="B75" s="142" t="s">
        <v>1019</v>
      </c>
      <c r="C75" s="142" t="s">
        <v>949</v>
      </c>
      <c r="D75" s="142" t="s">
        <v>1020</v>
      </c>
      <c r="E75" s="47" t="s">
        <v>192</v>
      </c>
      <c r="F75" s="47" t="s">
        <v>192</v>
      </c>
    </row>
    <row r="76" spans="1:6">
      <c r="A76" s="142">
        <v>16101990125</v>
      </c>
      <c r="B76" s="142" t="s">
        <v>1021</v>
      </c>
      <c r="C76" s="142" t="s">
        <v>949</v>
      </c>
      <c r="D76" s="142" t="s">
        <v>1022</v>
      </c>
      <c r="E76" s="47" t="s">
        <v>192</v>
      </c>
      <c r="F76" s="47" t="s">
        <v>192</v>
      </c>
    </row>
    <row r="77" spans="1:6">
      <c r="A77" s="142">
        <v>16101990126</v>
      </c>
      <c r="B77" s="142" t="s">
        <v>1023</v>
      </c>
      <c r="C77" s="142" t="s">
        <v>949</v>
      </c>
      <c r="D77" s="142" t="s">
        <v>1024</v>
      </c>
      <c r="E77" s="47" t="s">
        <v>192</v>
      </c>
      <c r="F77" s="47" t="s">
        <v>192</v>
      </c>
    </row>
    <row r="78" spans="1:6">
      <c r="A78" s="142">
        <v>16101990127</v>
      </c>
      <c r="B78" s="142" t="s">
        <v>1025</v>
      </c>
      <c r="C78" s="142" t="s">
        <v>949</v>
      </c>
      <c r="D78" s="142" t="s">
        <v>1026</v>
      </c>
      <c r="E78" s="47" t="s">
        <v>192</v>
      </c>
      <c r="F78" s="47" t="s">
        <v>192</v>
      </c>
    </row>
    <row r="79" spans="1:6">
      <c r="A79" s="142">
        <v>16101990128</v>
      </c>
      <c r="B79" s="142" t="s">
        <v>1027</v>
      </c>
      <c r="C79" s="142" t="s">
        <v>949</v>
      </c>
      <c r="D79" s="142" t="s">
        <v>1028</v>
      </c>
      <c r="E79" s="47" t="s">
        <v>192</v>
      </c>
      <c r="F79" s="47" t="s">
        <v>192</v>
      </c>
    </row>
    <row r="80" spans="1:6">
      <c r="A80" s="142">
        <v>16101990129</v>
      </c>
      <c r="B80" s="142" t="s">
        <v>1029</v>
      </c>
      <c r="C80" s="142" t="s">
        <v>949</v>
      </c>
      <c r="D80" s="142" t="s">
        <v>1030</v>
      </c>
      <c r="E80" s="47" t="s">
        <v>192</v>
      </c>
      <c r="F80" s="47" t="s">
        <v>192</v>
      </c>
    </row>
    <row r="81" spans="1:6">
      <c r="A81" s="142">
        <v>16101990130</v>
      </c>
      <c r="B81" s="142" t="s">
        <v>1031</v>
      </c>
      <c r="C81" s="142" t="s">
        <v>949</v>
      </c>
      <c r="D81" s="142" t="s">
        <v>1032</v>
      </c>
      <c r="E81" s="47" t="s">
        <v>192</v>
      </c>
      <c r="F81" s="47" t="s">
        <v>192</v>
      </c>
    </row>
    <row r="82" spans="1:6">
      <c r="A82" s="142">
        <v>16101990133</v>
      </c>
      <c r="B82" s="142" t="s">
        <v>1033</v>
      </c>
      <c r="C82" s="142" t="s">
        <v>949</v>
      </c>
      <c r="D82" s="142" t="s">
        <v>1034</v>
      </c>
      <c r="E82" s="47" t="s">
        <v>192</v>
      </c>
      <c r="F82" s="47" t="s">
        <v>192</v>
      </c>
    </row>
    <row r="83" spans="1:6">
      <c r="A83" s="142">
        <v>16101990134</v>
      </c>
      <c r="B83" s="142" t="s">
        <v>1035</v>
      </c>
      <c r="C83" s="142" t="s">
        <v>949</v>
      </c>
      <c r="D83" s="142" t="s">
        <v>1036</v>
      </c>
      <c r="E83" s="47" t="s">
        <v>192</v>
      </c>
      <c r="F83" s="47" t="s">
        <v>192</v>
      </c>
    </row>
    <row r="84" spans="1:6">
      <c r="A84" s="142">
        <v>16101990137</v>
      </c>
      <c r="B84" s="142" t="s">
        <v>1037</v>
      </c>
      <c r="C84" s="142" t="s">
        <v>949</v>
      </c>
      <c r="D84" s="142" t="s">
        <v>1038</v>
      </c>
      <c r="E84" s="47" t="s">
        <v>192</v>
      </c>
      <c r="F84" s="47" t="s">
        <v>192</v>
      </c>
    </row>
    <row r="85" spans="1:6">
      <c r="A85" s="142">
        <v>16101990150</v>
      </c>
      <c r="B85" s="142" t="s">
        <v>1039</v>
      </c>
      <c r="C85" s="142" t="s">
        <v>949</v>
      </c>
      <c r="D85" s="142" t="s">
        <v>1040</v>
      </c>
      <c r="E85" s="47" t="s">
        <v>192</v>
      </c>
      <c r="F85" s="47" t="s">
        <v>192</v>
      </c>
    </row>
    <row r="86" spans="1:6">
      <c r="A86" s="142">
        <v>16101990152</v>
      </c>
      <c r="B86" s="142" t="s">
        <v>1041</v>
      </c>
      <c r="C86" s="142" t="s">
        <v>949</v>
      </c>
      <c r="D86" s="142" t="s">
        <v>1042</v>
      </c>
      <c r="E86" s="47" t="s">
        <v>192</v>
      </c>
      <c r="F86" s="47" t="s">
        <v>192</v>
      </c>
    </row>
    <row r="87" spans="1:6">
      <c r="A87" s="142">
        <v>16101990155</v>
      </c>
      <c r="B87" s="142" t="s">
        <v>1043</v>
      </c>
      <c r="C87" s="142" t="s">
        <v>949</v>
      </c>
      <c r="D87" s="142" t="s">
        <v>1044</v>
      </c>
      <c r="E87" s="47" t="s">
        <v>192</v>
      </c>
      <c r="F87" s="47" t="s">
        <v>192</v>
      </c>
    </row>
    <row r="88" spans="1:6">
      <c r="A88" s="142">
        <v>16101990175</v>
      </c>
      <c r="B88" s="142" t="s">
        <v>1045</v>
      </c>
      <c r="C88" s="142" t="s">
        <v>949</v>
      </c>
      <c r="D88" s="142" t="s">
        <v>1046</v>
      </c>
      <c r="E88" s="47" t="s">
        <v>192</v>
      </c>
      <c r="F88" s="47" t="s">
        <v>192</v>
      </c>
    </row>
    <row r="89" spans="1:6">
      <c r="A89" s="142">
        <v>16101990176</v>
      </c>
      <c r="B89" s="142" t="s">
        <v>355</v>
      </c>
      <c r="C89" s="142" t="s">
        <v>949</v>
      </c>
      <c r="D89" s="142" t="s">
        <v>1047</v>
      </c>
      <c r="E89" s="47" t="s">
        <v>192</v>
      </c>
      <c r="F89" s="47" t="s">
        <v>192</v>
      </c>
    </row>
    <row r="90" spans="1:6">
      <c r="A90" s="142">
        <v>16101990177</v>
      </c>
      <c r="B90" s="142" t="s">
        <v>1048</v>
      </c>
      <c r="C90" s="142" t="s">
        <v>949</v>
      </c>
      <c r="D90" s="142" t="s">
        <v>1049</v>
      </c>
      <c r="E90" s="47" t="s">
        <v>192</v>
      </c>
      <c r="F90" s="47" t="s">
        <v>192</v>
      </c>
    </row>
    <row r="91" spans="1:6">
      <c r="A91" s="142">
        <v>16101990180</v>
      </c>
      <c r="B91" s="142" t="s">
        <v>1050</v>
      </c>
      <c r="C91" s="142" t="s">
        <v>949</v>
      </c>
      <c r="D91" s="142" t="s">
        <v>1051</v>
      </c>
      <c r="E91" s="47" t="s">
        <v>192</v>
      </c>
      <c r="F91" s="47" t="s">
        <v>192</v>
      </c>
    </row>
    <row r="92" spans="1:6">
      <c r="A92" s="142">
        <v>16101990181</v>
      </c>
      <c r="B92" s="142" t="s">
        <v>1052</v>
      </c>
      <c r="C92" s="142" t="s">
        <v>949</v>
      </c>
      <c r="D92" s="142" t="s">
        <v>1053</v>
      </c>
      <c r="E92" s="47" t="s">
        <v>192</v>
      </c>
      <c r="F92" s="47" t="s">
        <v>192</v>
      </c>
    </row>
    <row r="93" spans="1:6">
      <c r="A93" s="142">
        <v>16101990182</v>
      </c>
      <c r="B93" s="142" t="s">
        <v>1054</v>
      </c>
      <c r="C93" s="142" t="s">
        <v>949</v>
      </c>
      <c r="D93" s="142" t="s">
        <v>1055</v>
      </c>
      <c r="E93" s="47" t="s">
        <v>192</v>
      </c>
      <c r="F93" s="47" t="s">
        <v>192</v>
      </c>
    </row>
    <row r="94" spans="1:6">
      <c r="A94" s="142">
        <v>16101990183</v>
      </c>
      <c r="B94" s="142" t="s">
        <v>1056</v>
      </c>
      <c r="C94" s="142" t="s">
        <v>949</v>
      </c>
      <c r="D94" s="142" t="s">
        <v>1057</v>
      </c>
      <c r="E94" s="47" t="s">
        <v>192</v>
      </c>
      <c r="F94" s="47" t="s">
        <v>192</v>
      </c>
    </row>
    <row r="95" spans="1:6">
      <c r="A95" s="142">
        <v>16101990184</v>
      </c>
      <c r="B95" s="142" t="s">
        <v>1058</v>
      </c>
      <c r="C95" s="142" t="s">
        <v>949</v>
      </c>
      <c r="D95" s="142" t="s">
        <v>1059</v>
      </c>
      <c r="E95" s="47" t="s">
        <v>192</v>
      </c>
      <c r="F95" s="47" t="s">
        <v>192</v>
      </c>
    </row>
    <row r="96" spans="1:6">
      <c r="A96" s="142">
        <v>16101990185</v>
      </c>
      <c r="B96" s="142" t="s">
        <v>1060</v>
      </c>
      <c r="C96" s="142" t="s">
        <v>949</v>
      </c>
      <c r="D96" s="142" t="s">
        <v>1061</v>
      </c>
      <c r="E96" s="47" t="s">
        <v>192</v>
      </c>
      <c r="F96" s="47" t="s">
        <v>192</v>
      </c>
    </row>
    <row r="97" spans="1:6">
      <c r="A97" s="142">
        <v>16101990186</v>
      </c>
      <c r="B97" s="142" t="s">
        <v>1062</v>
      </c>
      <c r="C97" s="142" t="s">
        <v>949</v>
      </c>
      <c r="D97" s="142" t="s">
        <v>1063</v>
      </c>
      <c r="E97" s="47" t="s">
        <v>192</v>
      </c>
      <c r="F97" s="47" t="s">
        <v>192</v>
      </c>
    </row>
    <row r="98" spans="1:6">
      <c r="A98" s="142">
        <v>16101990187</v>
      </c>
      <c r="B98" s="142" t="s">
        <v>1064</v>
      </c>
      <c r="C98" s="142" t="s">
        <v>949</v>
      </c>
      <c r="D98" s="142" t="s">
        <v>1065</v>
      </c>
      <c r="E98" s="47" t="s">
        <v>192</v>
      </c>
      <c r="F98" s="47" t="s">
        <v>192</v>
      </c>
    </row>
    <row r="99" spans="1:6">
      <c r="A99" s="142">
        <v>16101990188</v>
      </c>
      <c r="B99" s="142" t="s">
        <v>1066</v>
      </c>
      <c r="C99" s="142" t="s">
        <v>949</v>
      </c>
      <c r="D99" s="142" t="s">
        <v>1067</v>
      </c>
      <c r="E99" s="47" t="s">
        <v>192</v>
      </c>
      <c r="F99" s="47" t="s">
        <v>192</v>
      </c>
    </row>
    <row r="100" spans="1:6">
      <c r="A100" s="142">
        <v>16101990189</v>
      </c>
      <c r="B100" s="142" t="s">
        <v>1068</v>
      </c>
      <c r="C100" s="142" t="s">
        <v>949</v>
      </c>
      <c r="D100" s="142" t="s">
        <v>1069</v>
      </c>
      <c r="E100" s="47" t="s">
        <v>192</v>
      </c>
      <c r="F100" s="47" t="s">
        <v>192</v>
      </c>
    </row>
    <row r="101" spans="1:6">
      <c r="A101" s="142">
        <v>16101990190</v>
      </c>
      <c r="B101" s="142" t="s">
        <v>1070</v>
      </c>
      <c r="C101" s="142" t="s">
        <v>949</v>
      </c>
      <c r="D101" s="142" t="s">
        <v>1071</v>
      </c>
      <c r="E101" s="47" t="s">
        <v>192</v>
      </c>
      <c r="F101" s="47" t="s">
        <v>192</v>
      </c>
    </row>
    <row r="102" spans="1:6">
      <c r="A102" s="142">
        <v>16101990191</v>
      </c>
      <c r="B102" s="142" t="s">
        <v>1072</v>
      </c>
      <c r="C102" s="142" t="s">
        <v>949</v>
      </c>
      <c r="D102" s="142" t="s">
        <v>1073</v>
      </c>
      <c r="E102" s="47" t="s">
        <v>192</v>
      </c>
      <c r="F102" s="47" t="s">
        <v>192</v>
      </c>
    </row>
    <row r="103" spans="1:6">
      <c r="A103" s="142">
        <v>16101990192</v>
      </c>
      <c r="B103" s="142" t="s">
        <v>1074</v>
      </c>
      <c r="C103" s="142" t="s">
        <v>949</v>
      </c>
      <c r="D103" s="142" t="s">
        <v>1075</v>
      </c>
      <c r="E103" s="47" t="s">
        <v>192</v>
      </c>
      <c r="F103" s="47" t="s">
        <v>192</v>
      </c>
    </row>
    <row r="104" spans="1:6">
      <c r="A104" s="142">
        <v>16101990193</v>
      </c>
      <c r="B104" s="142" t="s">
        <v>1076</v>
      </c>
      <c r="C104" s="142" t="s">
        <v>949</v>
      </c>
      <c r="D104" s="142" t="s">
        <v>1077</v>
      </c>
      <c r="E104" s="47" t="s">
        <v>192</v>
      </c>
      <c r="F104" s="47" t="s">
        <v>192</v>
      </c>
    </row>
    <row r="105" spans="1:6">
      <c r="A105" s="142">
        <v>16101990194</v>
      </c>
      <c r="B105" s="142" t="s">
        <v>1078</v>
      </c>
      <c r="C105" s="142" t="s">
        <v>949</v>
      </c>
      <c r="D105" s="142" t="s">
        <v>1079</v>
      </c>
      <c r="E105" s="47" t="s">
        <v>192</v>
      </c>
      <c r="F105" s="47" t="s">
        <v>192</v>
      </c>
    </row>
    <row r="106" spans="1:6">
      <c r="A106" s="142">
        <v>16101990195</v>
      </c>
      <c r="B106" s="142" t="s">
        <v>1080</v>
      </c>
      <c r="C106" s="142" t="s">
        <v>949</v>
      </c>
      <c r="D106" s="142" t="s">
        <v>1081</v>
      </c>
      <c r="E106" s="47" t="s">
        <v>192</v>
      </c>
      <c r="F106" s="47" t="s">
        <v>192</v>
      </c>
    </row>
    <row r="107" spans="1:6">
      <c r="A107" s="142">
        <v>16101990196</v>
      </c>
      <c r="B107" s="142" t="s">
        <v>1082</v>
      </c>
      <c r="C107" s="142" t="s">
        <v>949</v>
      </c>
      <c r="D107" s="142" t="s">
        <v>1083</v>
      </c>
      <c r="E107" s="47" t="s">
        <v>192</v>
      </c>
      <c r="F107" s="47" t="s">
        <v>192</v>
      </c>
    </row>
    <row r="108" spans="1:6">
      <c r="A108" s="142">
        <v>16101990197</v>
      </c>
      <c r="B108" s="142" t="s">
        <v>1084</v>
      </c>
      <c r="C108" s="142" t="s">
        <v>949</v>
      </c>
      <c r="D108" s="142" t="s">
        <v>1085</v>
      </c>
      <c r="E108" s="47" t="s">
        <v>192</v>
      </c>
      <c r="F108" s="47" t="s">
        <v>192</v>
      </c>
    </row>
    <row r="109" spans="1:6">
      <c r="A109" s="142">
        <v>16101990198</v>
      </c>
      <c r="B109" s="142" t="s">
        <v>1086</v>
      </c>
      <c r="C109" s="142" t="s">
        <v>949</v>
      </c>
      <c r="D109" s="142" t="s">
        <v>1087</v>
      </c>
      <c r="E109" s="47" t="s">
        <v>192</v>
      </c>
      <c r="F109" s="47" t="s">
        <v>192</v>
      </c>
    </row>
    <row r="110" spans="1:6">
      <c r="A110" s="142">
        <v>16101990199</v>
      </c>
      <c r="B110" s="142" t="s">
        <v>1088</v>
      </c>
      <c r="C110" s="142" t="s">
        <v>949</v>
      </c>
      <c r="D110" s="142" t="s">
        <v>1089</v>
      </c>
      <c r="E110" s="47" t="s">
        <v>192</v>
      </c>
      <c r="F110" s="47" t="s">
        <v>192</v>
      </c>
    </row>
    <row r="111" spans="1:6">
      <c r="A111" s="142">
        <v>16101990201</v>
      </c>
      <c r="B111" s="142" t="s">
        <v>1090</v>
      </c>
      <c r="C111" s="142" t="s">
        <v>949</v>
      </c>
      <c r="D111" s="142" t="s">
        <v>1091</v>
      </c>
      <c r="E111" s="47" t="s">
        <v>192</v>
      </c>
      <c r="F111" s="47" t="s">
        <v>192</v>
      </c>
    </row>
    <row r="112" spans="1:6">
      <c r="A112" s="142">
        <v>16101990202</v>
      </c>
      <c r="B112" s="142" t="s">
        <v>1092</v>
      </c>
      <c r="C112" s="142" t="s">
        <v>949</v>
      </c>
      <c r="D112" s="142" t="s">
        <v>1093</v>
      </c>
      <c r="E112" s="47" t="s">
        <v>192</v>
      </c>
      <c r="F112" s="47" t="s">
        <v>192</v>
      </c>
    </row>
    <row r="113" spans="1:6">
      <c r="A113" s="142">
        <v>16101990203</v>
      </c>
      <c r="B113" s="142" t="s">
        <v>1094</v>
      </c>
      <c r="C113" s="142" t="s">
        <v>949</v>
      </c>
      <c r="D113" s="142" t="s">
        <v>1095</v>
      </c>
      <c r="E113" s="47" t="s">
        <v>192</v>
      </c>
      <c r="F113" s="47" t="s">
        <v>192</v>
      </c>
    </row>
    <row r="114" spans="1:6">
      <c r="A114" s="142">
        <v>16101990204</v>
      </c>
      <c r="B114" s="142" t="s">
        <v>1096</v>
      </c>
      <c r="C114" s="142" t="s">
        <v>949</v>
      </c>
      <c r="D114" s="142" t="s">
        <v>1097</v>
      </c>
      <c r="E114" s="47" t="s">
        <v>192</v>
      </c>
      <c r="F114" s="47" t="s">
        <v>192</v>
      </c>
    </row>
    <row r="115" spans="1:6">
      <c r="A115" s="142">
        <v>16101990206</v>
      </c>
      <c r="B115" s="142" t="s">
        <v>1098</v>
      </c>
      <c r="C115" s="142" t="s">
        <v>949</v>
      </c>
      <c r="D115" s="142" t="s">
        <v>1099</v>
      </c>
      <c r="E115" s="47" t="s">
        <v>192</v>
      </c>
      <c r="F115" s="47" t="s">
        <v>192</v>
      </c>
    </row>
    <row r="116" spans="1:6">
      <c r="A116" s="142">
        <v>16101990207</v>
      </c>
      <c r="B116" s="142" t="s">
        <v>1100</v>
      </c>
      <c r="C116" s="142" t="s">
        <v>949</v>
      </c>
      <c r="D116" s="142" t="s">
        <v>1101</v>
      </c>
      <c r="E116" s="47" t="s">
        <v>192</v>
      </c>
      <c r="F116" s="47" t="s">
        <v>192</v>
      </c>
    </row>
    <row r="117" spans="1:6">
      <c r="A117" s="142">
        <v>16101990208</v>
      </c>
      <c r="B117" s="142" t="s">
        <v>1102</v>
      </c>
      <c r="C117" s="142" t="s">
        <v>949</v>
      </c>
      <c r="D117" s="142" t="s">
        <v>1103</v>
      </c>
      <c r="E117" s="47" t="s">
        <v>192</v>
      </c>
      <c r="F117" s="47" t="s">
        <v>192</v>
      </c>
    </row>
    <row r="118" spans="1:6">
      <c r="A118" s="142">
        <v>16101990209</v>
      </c>
      <c r="B118" s="142" t="s">
        <v>1104</v>
      </c>
      <c r="C118" s="142" t="s">
        <v>949</v>
      </c>
      <c r="D118" s="142" t="s">
        <v>1105</v>
      </c>
      <c r="E118" s="47" t="s">
        <v>192</v>
      </c>
      <c r="F118" s="47" t="s">
        <v>192</v>
      </c>
    </row>
    <row r="119" spans="1:6">
      <c r="A119" s="142">
        <v>16101990210</v>
      </c>
      <c r="B119" s="142" t="s">
        <v>1106</v>
      </c>
      <c r="C119" s="142" t="s">
        <v>949</v>
      </c>
      <c r="D119" s="142" t="s">
        <v>1107</v>
      </c>
      <c r="E119" s="47" t="s">
        <v>192</v>
      </c>
      <c r="F119" s="47" t="s">
        <v>192</v>
      </c>
    </row>
    <row r="120" spans="1:6">
      <c r="A120" s="142">
        <v>16101990211</v>
      </c>
      <c r="B120" s="142" t="s">
        <v>1108</v>
      </c>
      <c r="C120" s="142" t="s">
        <v>949</v>
      </c>
      <c r="D120" s="142" t="s">
        <v>1109</v>
      </c>
      <c r="E120" s="47" t="s">
        <v>192</v>
      </c>
      <c r="F120" s="47" t="s">
        <v>192</v>
      </c>
    </row>
    <row r="121" spans="1:6">
      <c r="A121" s="142">
        <v>16101990212</v>
      </c>
      <c r="B121" s="142" t="s">
        <v>1110</v>
      </c>
      <c r="C121" s="142" t="s">
        <v>949</v>
      </c>
      <c r="D121" s="142" t="s">
        <v>1111</v>
      </c>
      <c r="E121" s="47" t="s">
        <v>192</v>
      </c>
      <c r="F121" s="47" t="s">
        <v>192</v>
      </c>
    </row>
    <row r="122" spans="1:6">
      <c r="A122" s="142">
        <v>16101990213</v>
      </c>
      <c r="B122" s="142" t="s">
        <v>1112</v>
      </c>
      <c r="C122" s="142" t="s">
        <v>949</v>
      </c>
      <c r="D122" s="142" t="s">
        <v>1113</v>
      </c>
      <c r="E122" s="47" t="s">
        <v>192</v>
      </c>
      <c r="F122" s="47" t="s">
        <v>192</v>
      </c>
    </row>
    <row r="123" spans="1:6">
      <c r="A123" s="142">
        <v>16101990214</v>
      </c>
      <c r="B123" s="142" t="s">
        <v>1114</v>
      </c>
      <c r="C123" s="142" t="s">
        <v>949</v>
      </c>
      <c r="D123" s="142" t="s">
        <v>1115</v>
      </c>
      <c r="E123" s="47" t="s">
        <v>192</v>
      </c>
      <c r="F123" s="47" t="s">
        <v>192</v>
      </c>
    </row>
    <row r="124" spans="1:6">
      <c r="A124" s="142">
        <v>16101990216</v>
      </c>
      <c r="B124" s="142" t="s">
        <v>1116</v>
      </c>
      <c r="C124" s="142" t="s">
        <v>949</v>
      </c>
      <c r="D124" s="142" t="s">
        <v>1117</v>
      </c>
      <c r="E124" s="47" t="s">
        <v>192</v>
      </c>
      <c r="F124" s="47" t="s">
        <v>192</v>
      </c>
    </row>
    <row r="125" spans="1:6">
      <c r="A125" s="142">
        <v>16101990217</v>
      </c>
      <c r="B125" s="142" t="s">
        <v>1118</v>
      </c>
      <c r="C125" s="142" t="s">
        <v>949</v>
      </c>
      <c r="D125" s="142" t="s">
        <v>1119</v>
      </c>
      <c r="E125" s="47" t="s">
        <v>192</v>
      </c>
      <c r="F125" s="47" t="s">
        <v>192</v>
      </c>
    </row>
    <row r="126" spans="1:6">
      <c r="A126" s="142">
        <v>16101990218</v>
      </c>
      <c r="B126" s="142" t="s">
        <v>1120</v>
      </c>
      <c r="C126" s="142" t="s">
        <v>949</v>
      </c>
      <c r="D126" s="142" t="s">
        <v>1121</v>
      </c>
      <c r="E126" s="47" t="s">
        <v>192</v>
      </c>
      <c r="F126" s="47" t="s">
        <v>192</v>
      </c>
    </row>
    <row r="127" spans="1:6">
      <c r="A127" s="142">
        <v>16101990219</v>
      </c>
      <c r="B127" s="142" t="s">
        <v>1122</v>
      </c>
      <c r="C127" s="142" t="s">
        <v>949</v>
      </c>
      <c r="D127" s="142" t="s">
        <v>1123</v>
      </c>
      <c r="E127" s="47" t="s">
        <v>192</v>
      </c>
      <c r="F127" s="47" t="s">
        <v>192</v>
      </c>
    </row>
    <row r="128" spans="1:6">
      <c r="A128" s="142">
        <v>16101990221</v>
      </c>
      <c r="B128" s="142" t="s">
        <v>1124</v>
      </c>
      <c r="C128" s="142" t="s">
        <v>949</v>
      </c>
      <c r="D128" s="142" t="s">
        <v>1125</v>
      </c>
      <c r="E128" s="47" t="s">
        <v>192</v>
      </c>
      <c r="F128" s="47" t="s">
        <v>192</v>
      </c>
    </row>
    <row r="129" spans="1:6">
      <c r="A129" s="142">
        <v>16101990222</v>
      </c>
      <c r="B129" s="142" t="s">
        <v>1126</v>
      </c>
      <c r="C129" s="142" t="s">
        <v>949</v>
      </c>
      <c r="D129" s="142" t="s">
        <v>1127</v>
      </c>
      <c r="E129" s="47" t="s">
        <v>192</v>
      </c>
      <c r="F129" s="47" t="s">
        <v>192</v>
      </c>
    </row>
    <row r="130" spans="1:6">
      <c r="A130" s="142">
        <v>16101990223</v>
      </c>
      <c r="B130" s="142" t="s">
        <v>1128</v>
      </c>
      <c r="C130" s="142" t="s">
        <v>949</v>
      </c>
      <c r="D130" s="142" t="s">
        <v>1129</v>
      </c>
      <c r="E130" s="47" t="s">
        <v>192</v>
      </c>
      <c r="F130" s="47" t="s">
        <v>192</v>
      </c>
    </row>
    <row r="131" spans="1:6">
      <c r="A131" s="142">
        <v>16101990224</v>
      </c>
      <c r="B131" s="142" t="s">
        <v>1130</v>
      </c>
      <c r="C131" s="142" t="s">
        <v>949</v>
      </c>
      <c r="D131" s="142" t="s">
        <v>1131</v>
      </c>
      <c r="E131" s="47" t="s">
        <v>192</v>
      </c>
      <c r="F131" s="47" t="s">
        <v>192</v>
      </c>
    </row>
    <row r="132" spans="1:6">
      <c r="A132" s="142">
        <v>16101990226</v>
      </c>
      <c r="B132" s="142" t="s">
        <v>1132</v>
      </c>
      <c r="C132" s="142" t="s">
        <v>949</v>
      </c>
      <c r="D132" s="142" t="s">
        <v>1133</v>
      </c>
      <c r="E132" s="47" t="s">
        <v>192</v>
      </c>
      <c r="F132" s="47" t="s">
        <v>192</v>
      </c>
    </row>
    <row r="133" spans="1:6">
      <c r="A133" s="142">
        <v>16101990227</v>
      </c>
      <c r="B133" s="142" t="s">
        <v>1134</v>
      </c>
      <c r="C133" s="142" t="s">
        <v>949</v>
      </c>
      <c r="D133" s="142" t="s">
        <v>1135</v>
      </c>
      <c r="E133" s="47" t="s">
        <v>192</v>
      </c>
      <c r="F133" s="47" t="s">
        <v>192</v>
      </c>
    </row>
    <row r="134" spans="1:6">
      <c r="A134" s="142">
        <v>16101990228</v>
      </c>
      <c r="B134" s="142" t="s">
        <v>1136</v>
      </c>
      <c r="C134" s="142" t="s">
        <v>949</v>
      </c>
      <c r="D134" s="142" t="s">
        <v>1137</v>
      </c>
      <c r="E134" s="47" t="s">
        <v>192</v>
      </c>
      <c r="F134" s="47" t="s">
        <v>192</v>
      </c>
    </row>
    <row r="135" spans="1:6">
      <c r="A135" s="142">
        <v>16101990229</v>
      </c>
      <c r="B135" s="142" t="s">
        <v>1138</v>
      </c>
      <c r="C135" s="142" t="s">
        <v>949</v>
      </c>
      <c r="D135" s="142" t="s">
        <v>1139</v>
      </c>
      <c r="E135" s="47" t="s">
        <v>192</v>
      </c>
      <c r="F135" s="47" t="s">
        <v>192</v>
      </c>
    </row>
    <row r="136" spans="1:6">
      <c r="A136" s="142">
        <v>16101990230</v>
      </c>
      <c r="B136" s="142" t="s">
        <v>1140</v>
      </c>
      <c r="C136" s="142" t="s">
        <v>949</v>
      </c>
      <c r="D136" s="142" t="s">
        <v>1141</v>
      </c>
      <c r="E136" s="47" t="s">
        <v>192</v>
      </c>
      <c r="F136" s="47" t="s">
        <v>192</v>
      </c>
    </row>
    <row r="137" spans="1:6">
      <c r="A137" s="142">
        <v>16101990231</v>
      </c>
      <c r="B137" s="142" t="s">
        <v>1142</v>
      </c>
      <c r="C137" s="142" t="s">
        <v>949</v>
      </c>
      <c r="D137" s="142" t="s">
        <v>1143</v>
      </c>
      <c r="E137" s="47" t="s">
        <v>192</v>
      </c>
      <c r="F137" s="47" t="s">
        <v>192</v>
      </c>
    </row>
    <row r="138" spans="1:6">
      <c r="A138" s="142">
        <v>16101990232</v>
      </c>
      <c r="B138" s="142" t="s">
        <v>1144</v>
      </c>
      <c r="C138" s="142" t="s">
        <v>949</v>
      </c>
      <c r="D138" s="142" t="s">
        <v>1145</v>
      </c>
      <c r="E138" s="47" t="s">
        <v>192</v>
      </c>
      <c r="F138" s="47" t="s">
        <v>192</v>
      </c>
    </row>
    <row r="139" spans="1:6">
      <c r="A139" s="142">
        <v>16101990233</v>
      </c>
      <c r="B139" s="142" t="s">
        <v>1146</v>
      </c>
      <c r="C139" s="142" t="s">
        <v>949</v>
      </c>
      <c r="D139" s="142" t="s">
        <v>1147</v>
      </c>
      <c r="E139" s="47" t="s">
        <v>192</v>
      </c>
      <c r="F139" s="47" t="s">
        <v>192</v>
      </c>
    </row>
    <row r="140" spans="1:6">
      <c r="A140" s="142">
        <v>16101990242</v>
      </c>
      <c r="B140" s="142" t="s">
        <v>1148</v>
      </c>
      <c r="C140" s="142" t="s">
        <v>949</v>
      </c>
      <c r="D140" s="142" t="s">
        <v>1149</v>
      </c>
      <c r="E140" s="47" t="s">
        <v>192</v>
      </c>
      <c r="F140" s="47" t="s">
        <v>192</v>
      </c>
    </row>
    <row r="141" spans="1:6">
      <c r="A141" s="142">
        <v>16101990243</v>
      </c>
      <c r="B141" s="142" t="s">
        <v>1150</v>
      </c>
      <c r="C141" s="142" t="s">
        <v>949</v>
      </c>
      <c r="D141" s="142" t="s">
        <v>1151</v>
      </c>
      <c r="E141" s="47" t="s">
        <v>192</v>
      </c>
      <c r="F141" s="47" t="s">
        <v>192</v>
      </c>
    </row>
    <row r="142" spans="1:6">
      <c r="A142" s="142">
        <v>16101990244</v>
      </c>
      <c r="B142" s="142" t="s">
        <v>1152</v>
      </c>
      <c r="C142" s="142" t="s">
        <v>949</v>
      </c>
      <c r="D142" s="142" t="s">
        <v>1153</v>
      </c>
      <c r="E142" s="47" t="s">
        <v>192</v>
      </c>
      <c r="F142" s="47" t="s">
        <v>192</v>
      </c>
    </row>
    <row r="143" spans="1:6">
      <c r="A143" s="142">
        <v>16101990245</v>
      </c>
      <c r="B143" s="142" t="s">
        <v>1154</v>
      </c>
      <c r="C143" s="142" t="s">
        <v>949</v>
      </c>
      <c r="D143" s="142" t="s">
        <v>1155</v>
      </c>
      <c r="E143" s="47" t="s">
        <v>192</v>
      </c>
      <c r="F143" s="47" t="s">
        <v>192</v>
      </c>
    </row>
    <row r="144" spans="1:6">
      <c r="A144" s="142">
        <v>16101990246</v>
      </c>
      <c r="B144" s="142" t="s">
        <v>1156</v>
      </c>
      <c r="C144" s="142" t="s">
        <v>949</v>
      </c>
      <c r="D144" s="142" t="s">
        <v>1157</v>
      </c>
      <c r="E144" s="47" t="s">
        <v>192</v>
      </c>
      <c r="F144" s="47" t="s">
        <v>192</v>
      </c>
    </row>
    <row r="145" spans="1:6">
      <c r="A145" s="142">
        <v>16101990247</v>
      </c>
      <c r="B145" s="142" t="s">
        <v>1158</v>
      </c>
      <c r="C145" s="142" t="s">
        <v>949</v>
      </c>
      <c r="D145" s="142" t="s">
        <v>1159</v>
      </c>
      <c r="E145" s="47" t="s">
        <v>192</v>
      </c>
      <c r="F145" s="47" t="s">
        <v>192</v>
      </c>
    </row>
    <row r="146" spans="1:6">
      <c r="A146" s="142">
        <v>16101990248</v>
      </c>
      <c r="B146" s="142" t="s">
        <v>1160</v>
      </c>
      <c r="C146" s="142" t="s">
        <v>949</v>
      </c>
      <c r="D146" s="142" t="s">
        <v>1161</v>
      </c>
      <c r="E146" s="47" t="s">
        <v>192</v>
      </c>
      <c r="F146" s="47" t="s">
        <v>192</v>
      </c>
    </row>
    <row r="147" spans="1:6">
      <c r="A147" s="142">
        <v>16101990249</v>
      </c>
      <c r="B147" s="142" t="s">
        <v>1162</v>
      </c>
      <c r="C147" s="142" t="s">
        <v>949</v>
      </c>
      <c r="D147" s="142" t="s">
        <v>1163</v>
      </c>
      <c r="E147" s="47" t="s">
        <v>192</v>
      </c>
      <c r="F147" s="47" t="s">
        <v>192</v>
      </c>
    </row>
    <row r="148" spans="1:6">
      <c r="A148" s="142">
        <v>16101990250</v>
      </c>
      <c r="B148" s="142" t="s">
        <v>1164</v>
      </c>
      <c r="C148" s="142" t="s">
        <v>949</v>
      </c>
      <c r="D148" s="142" t="s">
        <v>1165</v>
      </c>
      <c r="E148" s="47" t="s">
        <v>192</v>
      </c>
      <c r="F148" s="47" t="s">
        <v>192</v>
      </c>
    </row>
    <row r="149" spans="1:6">
      <c r="A149" s="142">
        <v>16101990251</v>
      </c>
      <c r="B149" s="142" t="s">
        <v>1166</v>
      </c>
      <c r="C149" s="142" t="s">
        <v>949</v>
      </c>
      <c r="D149" s="142" t="s">
        <v>1167</v>
      </c>
      <c r="E149" s="47" t="s">
        <v>192</v>
      </c>
      <c r="F149" s="47" t="s">
        <v>192</v>
      </c>
    </row>
    <row r="150" spans="1:6">
      <c r="A150" s="142">
        <v>16101990252</v>
      </c>
      <c r="B150" s="142" t="s">
        <v>1168</v>
      </c>
      <c r="C150" s="142" t="s">
        <v>949</v>
      </c>
      <c r="D150" s="142" t="s">
        <v>1169</v>
      </c>
      <c r="E150" s="47" t="s">
        <v>192</v>
      </c>
      <c r="F150" s="47" t="s">
        <v>192</v>
      </c>
    </row>
    <row r="151" spans="1:6">
      <c r="A151" s="142">
        <v>16101990253</v>
      </c>
      <c r="B151" s="142" t="s">
        <v>1170</v>
      </c>
      <c r="C151" s="142" t="s">
        <v>949</v>
      </c>
      <c r="D151" s="142" t="s">
        <v>1171</v>
      </c>
      <c r="E151" s="47" t="s">
        <v>192</v>
      </c>
      <c r="F151" s="47" t="s">
        <v>192</v>
      </c>
    </row>
    <row r="152" spans="1:6">
      <c r="A152" s="142">
        <v>16101990254</v>
      </c>
      <c r="B152" s="142" t="s">
        <v>1172</v>
      </c>
      <c r="C152" s="142" t="s">
        <v>949</v>
      </c>
      <c r="D152" s="142" t="s">
        <v>1173</v>
      </c>
      <c r="E152" s="47" t="s">
        <v>192</v>
      </c>
      <c r="F152" s="47" t="s">
        <v>192</v>
      </c>
    </row>
    <row r="153" spans="1:6">
      <c r="A153" s="142">
        <v>16101990255</v>
      </c>
      <c r="B153" s="142" t="s">
        <v>1174</v>
      </c>
      <c r="C153" s="142" t="s">
        <v>949</v>
      </c>
      <c r="D153" s="142" t="s">
        <v>1175</v>
      </c>
      <c r="E153" s="47" t="s">
        <v>192</v>
      </c>
      <c r="F153" s="47" t="s">
        <v>192</v>
      </c>
    </row>
    <row r="154" spans="1:6">
      <c r="A154" s="142">
        <v>16101990256</v>
      </c>
      <c r="B154" s="142" t="s">
        <v>1176</v>
      </c>
      <c r="C154" s="142" t="s">
        <v>949</v>
      </c>
      <c r="D154" s="142" t="s">
        <v>1177</v>
      </c>
      <c r="E154" s="47" t="s">
        <v>192</v>
      </c>
      <c r="F154" s="47" t="s">
        <v>192</v>
      </c>
    </row>
    <row r="155" spans="1:6">
      <c r="A155" s="142">
        <v>16101990257</v>
      </c>
      <c r="B155" s="142" t="s">
        <v>1178</v>
      </c>
      <c r="C155" s="142" t="s">
        <v>949</v>
      </c>
      <c r="D155" s="142" t="s">
        <v>1179</v>
      </c>
      <c r="E155" s="47" t="s">
        <v>192</v>
      </c>
      <c r="F155" s="47" t="s">
        <v>192</v>
      </c>
    </row>
    <row r="156" spans="1:6">
      <c r="A156" s="142">
        <v>16101990258</v>
      </c>
      <c r="B156" s="142" t="s">
        <v>1180</v>
      </c>
      <c r="C156" s="142" t="s">
        <v>949</v>
      </c>
      <c r="D156" s="142" t="s">
        <v>1181</v>
      </c>
      <c r="E156" s="47" t="s">
        <v>192</v>
      </c>
      <c r="F156" s="47" t="s">
        <v>192</v>
      </c>
    </row>
    <row r="157" spans="1:6">
      <c r="A157" s="142">
        <v>16101990259</v>
      </c>
      <c r="B157" s="142" t="s">
        <v>1182</v>
      </c>
      <c r="C157" s="142" t="s">
        <v>949</v>
      </c>
      <c r="D157" s="142" t="s">
        <v>1183</v>
      </c>
      <c r="E157" s="47" t="s">
        <v>192</v>
      </c>
      <c r="F157" s="47" t="s">
        <v>192</v>
      </c>
    </row>
    <row r="158" spans="1:6">
      <c r="A158" s="142">
        <v>16101990260</v>
      </c>
      <c r="B158" s="142" t="s">
        <v>1184</v>
      </c>
      <c r="C158" s="142" t="s">
        <v>949</v>
      </c>
      <c r="D158" s="142" t="s">
        <v>1185</v>
      </c>
      <c r="E158" s="47" t="s">
        <v>192</v>
      </c>
      <c r="F158" s="47" t="s">
        <v>192</v>
      </c>
    </row>
    <row r="159" spans="1:6">
      <c r="A159" s="142">
        <v>16101990261</v>
      </c>
      <c r="B159" s="142" t="s">
        <v>1186</v>
      </c>
      <c r="C159" s="142" t="s">
        <v>949</v>
      </c>
      <c r="D159" s="142" t="s">
        <v>1187</v>
      </c>
      <c r="E159" s="47" t="s">
        <v>192</v>
      </c>
      <c r="F159" s="47" t="s">
        <v>192</v>
      </c>
    </row>
    <row r="160" spans="1:6">
      <c r="A160" s="142">
        <v>16101990262</v>
      </c>
      <c r="B160" s="142" t="s">
        <v>1188</v>
      </c>
      <c r="C160" s="142" t="s">
        <v>949</v>
      </c>
      <c r="D160" s="142" t="s">
        <v>1189</v>
      </c>
      <c r="E160" s="47" t="s">
        <v>192</v>
      </c>
      <c r="F160" s="47" t="s">
        <v>192</v>
      </c>
    </row>
    <row r="161" spans="1:6">
      <c r="A161" s="142">
        <v>16101990263</v>
      </c>
      <c r="B161" s="142" t="s">
        <v>1190</v>
      </c>
      <c r="C161" s="142" t="s">
        <v>949</v>
      </c>
      <c r="D161" s="142" t="s">
        <v>1191</v>
      </c>
      <c r="E161" s="47" t="s">
        <v>192</v>
      </c>
      <c r="F161" s="47" t="s">
        <v>192</v>
      </c>
    </row>
    <row r="162" spans="1:6">
      <c r="A162" s="142">
        <v>16101990264</v>
      </c>
      <c r="B162" s="142" t="s">
        <v>1192</v>
      </c>
      <c r="C162" s="142" t="s">
        <v>949</v>
      </c>
      <c r="D162" s="142" t="s">
        <v>1193</v>
      </c>
      <c r="E162" s="47" t="s">
        <v>192</v>
      </c>
      <c r="F162" s="47" t="s">
        <v>192</v>
      </c>
    </row>
    <row r="163" spans="1:6">
      <c r="A163" s="142">
        <v>16101990265</v>
      </c>
      <c r="B163" s="142" t="s">
        <v>1194</v>
      </c>
      <c r="C163" s="142" t="s">
        <v>949</v>
      </c>
      <c r="D163" s="142" t="s">
        <v>1195</v>
      </c>
      <c r="E163" s="47" t="s">
        <v>192</v>
      </c>
      <c r="F163" s="47" t="s">
        <v>192</v>
      </c>
    </row>
    <row r="164" spans="1:6">
      <c r="A164" s="142">
        <v>16101990266</v>
      </c>
      <c r="B164" s="142" t="s">
        <v>1196</v>
      </c>
      <c r="C164" s="142" t="s">
        <v>949</v>
      </c>
      <c r="D164" s="142" t="s">
        <v>1197</v>
      </c>
      <c r="E164" s="47" t="s">
        <v>192</v>
      </c>
      <c r="F164" s="47" t="s">
        <v>192</v>
      </c>
    </row>
    <row r="165" spans="1:6">
      <c r="A165" s="142">
        <v>16101990267</v>
      </c>
      <c r="B165" s="142" t="s">
        <v>1198</v>
      </c>
      <c r="C165" s="142" t="s">
        <v>949</v>
      </c>
      <c r="D165" s="142" t="s">
        <v>1199</v>
      </c>
      <c r="E165" s="47" t="s">
        <v>192</v>
      </c>
      <c r="F165" s="47" t="s">
        <v>192</v>
      </c>
    </row>
    <row r="166" spans="1:6">
      <c r="A166" s="142">
        <v>16101990268</v>
      </c>
      <c r="B166" s="142" t="s">
        <v>1200</v>
      </c>
      <c r="C166" s="142" t="s">
        <v>949</v>
      </c>
      <c r="D166" s="142" t="s">
        <v>1201</v>
      </c>
      <c r="E166" s="47" t="s">
        <v>192</v>
      </c>
      <c r="F166" s="47" t="s">
        <v>192</v>
      </c>
    </row>
    <row r="167" spans="1:6">
      <c r="A167" s="142">
        <v>16101990269</v>
      </c>
      <c r="B167" s="142" t="s">
        <v>1202</v>
      </c>
      <c r="C167" s="142" t="s">
        <v>949</v>
      </c>
      <c r="D167" s="142" t="s">
        <v>1203</v>
      </c>
      <c r="E167" s="47" t="s">
        <v>192</v>
      </c>
      <c r="F167" s="47" t="s">
        <v>192</v>
      </c>
    </row>
    <row r="168" spans="1:6">
      <c r="A168" s="142">
        <v>16101990278</v>
      </c>
      <c r="B168" s="142" t="s">
        <v>1204</v>
      </c>
      <c r="C168" s="142" t="s">
        <v>949</v>
      </c>
      <c r="D168" s="142" t="s">
        <v>1205</v>
      </c>
      <c r="E168" s="47" t="s">
        <v>192</v>
      </c>
      <c r="F168" s="47" t="s">
        <v>192</v>
      </c>
    </row>
    <row r="169" spans="1:6">
      <c r="A169" s="142">
        <v>16101990279</v>
      </c>
      <c r="B169" s="142" t="s">
        <v>1206</v>
      </c>
      <c r="C169" s="142" t="s">
        <v>949</v>
      </c>
      <c r="D169" s="142" t="s">
        <v>1207</v>
      </c>
      <c r="E169" s="47" t="s">
        <v>192</v>
      </c>
      <c r="F169" s="47" t="s">
        <v>192</v>
      </c>
    </row>
    <row r="170" spans="1:6">
      <c r="A170" s="142">
        <v>16101990280</v>
      </c>
      <c r="B170" s="142" t="s">
        <v>1208</v>
      </c>
      <c r="C170" s="142" t="s">
        <v>949</v>
      </c>
      <c r="D170" s="142" t="s">
        <v>1209</v>
      </c>
      <c r="E170" s="47" t="s">
        <v>192</v>
      </c>
      <c r="F170" s="47" t="s">
        <v>192</v>
      </c>
    </row>
    <row r="171" spans="1:6">
      <c r="A171" s="142">
        <v>16101990281</v>
      </c>
      <c r="B171" s="142" t="s">
        <v>1210</v>
      </c>
      <c r="C171" s="142" t="s">
        <v>949</v>
      </c>
      <c r="D171" s="142" t="s">
        <v>1211</v>
      </c>
      <c r="E171" s="47" t="s">
        <v>192</v>
      </c>
      <c r="F171" s="47" t="s">
        <v>192</v>
      </c>
    </row>
    <row r="172" spans="1:6">
      <c r="A172" s="142">
        <v>16101990282</v>
      </c>
      <c r="B172" s="142" t="s">
        <v>1212</v>
      </c>
      <c r="C172" s="142" t="s">
        <v>949</v>
      </c>
      <c r="D172" s="142" t="s">
        <v>1213</v>
      </c>
      <c r="E172" s="47" t="s">
        <v>192</v>
      </c>
      <c r="F172" s="47" t="s">
        <v>192</v>
      </c>
    </row>
    <row r="173" spans="1:6">
      <c r="A173" s="142">
        <v>16101990283</v>
      </c>
      <c r="B173" s="142" t="s">
        <v>1214</v>
      </c>
      <c r="C173" s="142" t="s">
        <v>949</v>
      </c>
      <c r="D173" s="142" t="s">
        <v>1215</v>
      </c>
      <c r="E173" s="47" t="s">
        <v>192</v>
      </c>
      <c r="F173" s="47" t="s">
        <v>192</v>
      </c>
    </row>
    <row r="174" spans="1:6">
      <c r="A174" s="142">
        <v>16101990284</v>
      </c>
      <c r="B174" s="142" t="s">
        <v>1216</v>
      </c>
      <c r="C174" s="142" t="s">
        <v>949</v>
      </c>
      <c r="D174" s="142" t="s">
        <v>1217</v>
      </c>
      <c r="E174" s="47" t="s">
        <v>192</v>
      </c>
      <c r="F174" s="47" t="s">
        <v>192</v>
      </c>
    </row>
    <row r="175" spans="1:6">
      <c r="A175" s="142">
        <v>16101990285</v>
      </c>
      <c r="B175" s="142" t="s">
        <v>1218</v>
      </c>
      <c r="C175" s="142" t="s">
        <v>949</v>
      </c>
      <c r="D175" s="142" t="s">
        <v>1219</v>
      </c>
      <c r="E175" s="47" t="s">
        <v>192</v>
      </c>
      <c r="F175" s="47" t="s">
        <v>192</v>
      </c>
    </row>
    <row r="176" spans="1:6">
      <c r="A176" s="142">
        <v>16101990286</v>
      </c>
      <c r="B176" s="142" t="s">
        <v>1220</v>
      </c>
      <c r="C176" s="142" t="s">
        <v>949</v>
      </c>
      <c r="D176" s="142" t="s">
        <v>1221</v>
      </c>
      <c r="E176" s="47" t="s">
        <v>192</v>
      </c>
      <c r="F176" s="47" t="s">
        <v>192</v>
      </c>
    </row>
    <row r="177" spans="1:6">
      <c r="A177" s="142">
        <v>16101990287</v>
      </c>
      <c r="B177" s="142" t="s">
        <v>1222</v>
      </c>
      <c r="C177" s="142" t="s">
        <v>949</v>
      </c>
      <c r="D177" s="142" t="s">
        <v>1223</v>
      </c>
      <c r="E177" s="47" t="s">
        <v>192</v>
      </c>
      <c r="F177" s="47" t="s">
        <v>192</v>
      </c>
    </row>
    <row r="178" spans="1:6">
      <c r="A178" s="142">
        <v>16101990288</v>
      </c>
      <c r="B178" s="142" t="s">
        <v>1224</v>
      </c>
      <c r="C178" s="142" t="s">
        <v>949</v>
      </c>
      <c r="D178" s="142" t="s">
        <v>1225</v>
      </c>
      <c r="E178" s="47" t="s">
        <v>192</v>
      </c>
      <c r="F178" s="47" t="s">
        <v>192</v>
      </c>
    </row>
    <row r="179" spans="1:6">
      <c r="A179" s="142">
        <v>16101990289</v>
      </c>
      <c r="B179" s="142" t="s">
        <v>1226</v>
      </c>
      <c r="C179" s="142" t="s">
        <v>949</v>
      </c>
      <c r="D179" s="142" t="s">
        <v>1227</v>
      </c>
      <c r="E179" s="47" t="s">
        <v>192</v>
      </c>
      <c r="F179" s="47" t="s">
        <v>192</v>
      </c>
    </row>
    <row r="180" spans="1:6">
      <c r="A180" s="142">
        <v>16101990290</v>
      </c>
      <c r="B180" s="142" t="s">
        <v>1228</v>
      </c>
      <c r="C180" s="142" t="s">
        <v>949</v>
      </c>
      <c r="D180" s="142" t="s">
        <v>1229</v>
      </c>
      <c r="E180" s="47" t="s">
        <v>192</v>
      </c>
      <c r="F180" s="47" t="s">
        <v>192</v>
      </c>
    </row>
    <row r="181" spans="1:6">
      <c r="A181" s="142">
        <v>16101990291</v>
      </c>
      <c r="B181" s="142" t="s">
        <v>1230</v>
      </c>
      <c r="C181" s="142" t="s">
        <v>949</v>
      </c>
      <c r="D181" s="142" t="s">
        <v>1231</v>
      </c>
      <c r="E181" s="47" t="s">
        <v>192</v>
      </c>
      <c r="F181" s="47" t="s">
        <v>192</v>
      </c>
    </row>
    <row r="182" spans="1:6">
      <c r="A182" s="142">
        <v>16101990292</v>
      </c>
      <c r="B182" s="142" t="s">
        <v>1232</v>
      </c>
      <c r="C182" s="142" t="s">
        <v>949</v>
      </c>
      <c r="D182" s="142" t="s">
        <v>1233</v>
      </c>
      <c r="E182" s="47" t="s">
        <v>192</v>
      </c>
      <c r="F182" s="47" t="s">
        <v>192</v>
      </c>
    </row>
    <row r="183" spans="1:6">
      <c r="A183" s="142">
        <v>16101990293</v>
      </c>
      <c r="B183" s="142" t="s">
        <v>1234</v>
      </c>
      <c r="C183" s="142" t="s">
        <v>949</v>
      </c>
      <c r="D183" s="142" t="s">
        <v>1235</v>
      </c>
      <c r="E183" s="47" t="s">
        <v>192</v>
      </c>
      <c r="F183" s="47" t="s">
        <v>192</v>
      </c>
    </row>
    <row r="184" spans="1:6">
      <c r="A184" s="142">
        <v>16101990294</v>
      </c>
      <c r="B184" s="142" t="s">
        <v>1236</v>
      </c>
      <c r="C184" s="142" t="s">
        <v>949</v>
      </c>
      <c r="D184" s="142" t="s">
        <v>1237</v>
      </c>
      <c r="E184" s="47" t="s">
        <v>192</v>
      </c>
      <c r="F184" s="47" t="s">
        <v>192</v>
      </c>
    </row>
    <row r="185" spans="1:6">
      <c r="A185" s="142">
        <v>16101990295</v>
      </c>
      <c r="B185" s="142" t="s">
        <v>1238</v>
      </c>
      <c r="C185" s="142" t="s">
        <v>949</v>
      </c>
      <c r="D185" s="142" t="s">
        <v>1239</v>
      </c>
      <c r="E185" s="47" t="s">
        <v>192</v>
      </c>
      <c r="F185" s="47" t="s">
        <v>192</v>
      </c>
    </row>
    <row r="186" spans="1:6">
      <c r="A186" s="142">
        <v>16101990296</v>
      </c>
      <c r="B186" s="142" t="s">
        <v>1240</v>
      </c>
      <c r="C186" s="142" t="s">
        <v>949</v>
      </c>
      <c r="D186" s="142" t="s">
        <v>1241</v>
      </c>
      <c r="E186" s="47" t="s">
        <v>192</v>
      </c>
      <c r="F186" s="47" t="s">
        <v>192</v>
      </c>
    </row>
    <row r="187" spans="1:6">
      <c r="A187" s="142">
        <v>16101990297</v>
      </c>
      <c r="B187" s="142" t="s">
        <v>1242</v>
      </c>
      <c r="C187" s="142" t="s">
        <v>949</v>
      </c>
      <c r="D187" s="142" t="s">
        <v>1243</v>
      </c>
      <c r="E187" s="47" t="s">
        <v>192</v>
      </c>
      <c r="F187" s="47" t="s">
        <v>192</v>
      </c>
    </row>
    <row r="188" spans="1:6">
      <c r="A188" s="142">
        <v>16101990298</v>
      </c>
      <c r="B188" s="142" t="s">
        <v>1244</v>
      </c>
      <c r="C188" s="142" t="s">
        <v>949</v>
      </c>
      <c r="D188" s="142" t="s">
        <v>1245</v>
      </c>
      <c r="E188" s="47" t="s">
        <v>192</v>
      </c>
      <c r="F188" s="47" t="s">
        <v>192</v>
      </c>
    </row>
    <row r="189" spans="1:6">
      <c r="A189" s="142">
        <v>16101990299</v>
      </c>
      <c r="B189" s="142" t="s">
        <v>1246</v>
      </c>
      <c r="C189" s="142" t="s">
        <v>949</v>
      </c>
      <c r="D189" s="142" t="s">
        <v>1247</v>
      </c>
      <c r="E189" s="47" t="s">
        <v>192</v>
      </c>
      <c r="F189" s="47" t="s">
        <v>192</v>
      </c>
    </row>
    <row r="190" spans="1:6">
      <c r="A190" s="142">
        <v>16101990400</v>
      </c>
      <c r="B190" s="142" t="s">
        <v>1248</v>
      </c>
      <c r="C190" s="142" t="s">
        <v>949</v>
      </c>
      <c r="D190" s="142" t="s">
        <v>1249</v>
      </c>
      <c r="E190" s="47" t="s">
        <v>192</v>
      </c>
      <c r="F190" s="47" t="s">
        <v>192</v>
      </c>
    </row>
    <row r="191" spans="1:6">
      <c r="A191" s="142">
        <v>16101990401</v>
      </c>
      <c r="B191" s="142" t="s">
        <v>1250</v>
      </c>
      <c r="C191" s="142" t="s">
        <v>949</v>
      </c>
      <c r="D191" s="142" t="s">
        <v>1251</v>
      </c>
      <c r="E191" s="47" t="s">
        <v>192</v>
      </c>
      <c r="F191" s="47" t="s">
        <v>192</v>
      </c>
    </row>
    <row r="192" spans="1:6">
      <c r="A192" s="142">
        <v>16101990402</v>
      </c>
      <c r="B192" s="142" t="s">
        <v>1252</v>
      </c>
      <c r="C192" s="142" t="s">
        <v>949</v>
      </c>
      <c r="D192" s="142" t="s">
        <v>1253</v>
      </c>
      <c r="E192" s="47" t="s">
        <v>192</v>
      </c>
      <c r="F192" s="47" t="s">
        <v>192</v>
      </c>
    </row>
    <row r="193" spans="1:6">
      <c r="A193" s="142">
        <v>16101990404</v>
      </c>
      <c r="B193" s="142" t="s">
        <v>1254</v>
      </c>
      <c r="C193" s="142" t="s">
        <v>949</v>
      </c>
      <c r="D193" s="142" t="s">
        <v>1255</v>
      </c>
      <c r="E193" s="47" t="s">
        <v>192</v>
      </c>
      <c r="F193" s="47" t="s">
        <v>192</v>
      </c>
    </row>
    <row r="194" spans="1:6">
      <c r="A194" s="142">
        <v>16101990405</v>
      </c>
      <c r="B194" s="142" t="s">
        <v>1256</v>
      </c>
      <c r="C194" s="142" t="s">
        <v>949</v>
      </c>
      <c r="D194" s="142" t="s">
        <v>1257</v>
      </c>
      <c r="E194" s="47" t="s">
        <v>192</v>
      </c>
      <c r="F194" s="47" t="s">
        <v>192</v>
      </c>
    </row>
    <row r="195" spans="1:6">
      <c r="A195" s="142">
        <v>16101990406</v>
      </c>
      <c r="B195" s="142" t="s">
        <v>1258</v>
      </c>
      <c r="C195" s="142" t="s">
        <v>949</v>
      </c>
      <c r="D195" s="142" t="s">
        <v>1259</v>
      </c>
      <c r="E195" s="47" t="s">
        <v>192</v>
      </c>
      <c r="F195" s="47" t="s">
        <v>192</v>
      </c>
    </row>
    <row r="196" spans="1:6">
      <c r="A196" s="142">
        <v>16101990407</v>
      </c>
      <c r="B196" s="142" t="s">
        <v>1260</v>
      </c>
      <c r="C196" s="142" t="s">
        <v>949</v>
      </c>
      <c r="D196" s="142" t="s">
        <v>1261</v>
      </c>
      <c r="E196" s="47" t="s">
        <v>192</v>
      </c>
      <c r="F196" s="47" t="s">
        <v>192</v>
      </c>
    </row>
    <row r="197" spans="1:6">
      <c r="A197" s="142">
        <v>16101990408</v>
      </c>
      <c r="B197" s="142" t="s">
        <v>1262</v>
      </c>
      <c r="C197" s="142" t="s">
        <v>949</v>
      </c>
      <c r="D197" s="142" t="s">
        <v>1263</v>
      </c>
      <c r="E197" s="47" t="s">
        <v>192</v>
      </c>
      <c r="F197" s="47" t="s">
        <v>192</v>
      </c>
    </row>
    <row r="198" spans="1:6">
      <c r="A198" s="142">
        <v>16101990409</v>
      </c>
      <c r="B198" s="142" t="s">
        <v>1264</v>
      </c>
      <c r="C198" s="142" t="s">
        <v>949</v>
      </c>
      <c r="D198" s="142" t="s">
        <v>1265</v>
      </c>
      <c r="E198" s="47" t="s">
        <v>192</v>
      </c>
      <c r="F198" s="47" t="s">
        <v>192</v>
      </c>
    </row>
    <row r="199" spans="1:6">
      <c r="A199" s="142">
        <v>16101990410</v>
      </c>
      <c r="B199" s="142" t="s">
        <v>1266</v>
      </c>
      <c r="C199" s="142" t="s">
        <v>949</v>
      </c>
      <c r="D199" s="142" t="s">
        <v>1267</v>
      </c>
      <c r="E199" s="47" t="s">
        <v>192</v>
      </c>
      <c r="F199" s="47" t="s">
        <v>192</v>
      </c>
    </row>
    <row r="200" spans="1:6">
      <c r="A200" s="142">
        <v>16101990412</v>
      </c>
      <c r="B200" s="142" t="s">
        <v>1268</v>
      </c>
      <c r="C200" s="142" t="s">
        <v>949</v>
      </c>
      <c r="D200" s="142" t="s">
        <v>1269</v>
      </c>
      <c r="E200" s="47" t="s">
        <v>192</v>
      </c>
      <c r="F200" s="47" t="s">
        <v>192</v>
      </c>
    </row>
    <row r="201" spans="1:6">
      <c r="A201" s="142">
        <v>16101990413</v>
      </c>
      <c r="B201" s="142" t="s">
        <v>1270</v>
      </c>
      <c r="C201" s="142" t="s">
        <v>949</v>
      </c>
      <c r="D201" s="142" t="s">
        <v>1271</v>
      </c>
      <c r="E201" s="47" t="s">
        <v>192</v>
      </c>
      <c r="F201" s="47" t="s">
        <v>192</v>
      </c>
    </row>
    <row r="202" spans="1:6">
      <c r="A202" s="142">
        <v>16101990414</v>
      </c>
      <c r="B202" s="142" t="s">
        <v>1272</v>
      </c>
      <c r="C202" s="142" t="s">
        <v>949</v>
      </c>
      <c r="D202" s="142" t="s">
        <v>1273</v>
      </c>
      <c r="E202" s="47" t="s">
        <v>192</v>
      </c>
      <c r="F202" s="47" t="s">
        <v>192</v>
      </c>
    </row>
    <row r="203" spans="1:6">
      <c r="A203" s="142">
        <v>16101990415</v>
      </c>
      <c r="B203" s="142" t="s">
        <v>1274</v>
      </c>
      <c r="C203" s="142" t="s">
        <v>949</v>
      </c>
      <c r="D203" s="142" t="s">
        <v>1275</v>
      </c>
      <c r="E203" s="47" t="s">
        <v>192</v>
      </c>
      <c r="F203" s="47" t="s">
        <v>192</v>
      </c>
    </row>
    <row r="204" spans="1:6">
      <c r="A204" s="142">
        <v>16101990416</v>
      </c>
      <c r="B204" s="142" t="s">
        <v>1276</v>
      </c>
      <c r="C204" s="142" t="s">
        <v>949</v>
      </c>
      <c r="D204" s="142" t="s">
        <v>1277</v>
      </c>
      <c r="E204" s="47" t="s">
        <v>192</v>
      </c>
      <c r="F204" s="47" t="s">
        <v>192</v>
      </c>
    </row>
    <row r="205" spans="1:6">
      <c r="A205" s="142">
        <v>16101990417</v>
      </c>
      <c r="B205" s="142" t="s">
        <v>1278</v>
      </c>
      <c r="C205" s="142" t="s">
        <v>949</v>
      </c>
      <c r="D205" s="142" t="s">
        <v>1279</v>
      </c>
      <c r="E205" s="47" t="s">
        <v>192</v>
      </c>
      <c r="F205" s="47" t="s">
        <v>192</v>
      </c>
    </row>
    <row r="206" spans="1:6">
      <c r="A206" s="142">
        <v>16101990418</v>
      </c>
      <c r="B206" s="142" t="s">
        <v>1280</v>
      </c>
      <c r="C206" s="142" t="s">
        <v>949</v>
      </c>
      <c r="D206" s="142" t="s">
        <v>1281</v>
      </c>
      <c r="E206" s="47" t="s">
        <v>192</v>
      </c>
      <c r="F206" s="47" t="s">
        <v>192</v>
      </c>
    </row>
    <row r="207" spans="1:6">
      <c r="A207" s="142">
        <v>16101990419</v>
      </c>
      <c r="B207" s="142" t="s">
        <v>1282</v>
      </c>
      <c r="C207" s="142" t="s">
        <v>949</v>
      </c>
      <c r="D207" s="142" t="s">
        <v>1283</v>
      </c>
      <c r="E207" s="47" t="s">
        <v>192</v>
      </c>
      <c r="F207" s="47" t="s">
        <v>192</v>
      </c>
    </row>
    <row r="208" spans="1:6">
      <c r="A208" s="142">
        <v>16101990420</v>
      </c>
      <c r="B208" s="142" t="s">
        <v>1284</v>
      </c>
      <c r="C208" s="142" t="s">
        <v>949</v>
      </c>
      <c r="D208" s="142" t="s">
        <v>1285</v>
      </c>
      <c r="E208" s="47" t="s">
        <v>192</v>
      </c>
      <c r="F208" s="47" t="s">
        <v>192</v>
      </c>
    </row>
    <row r="209" spans="1:6">
      <c r="A209" s="142">
        <v>16101990421</v>
      </c>
      <c r="B209" s="142" t="s">
        <v>1286</v>
      </c>
      <c r="C209" s="142" t="s">
        <v>949</v>
      </c>
      <c r="D209" s="142" t="s">
        <v>1287</v>
      </c>
      <c r="E209" s="47" t="s">
        <v>192</v>
      </c>
      <c r="F209" s="47" t="s">
        <v>192</v>
      </c>
    </row>
    <row r="210" spans="1:6">
      <c r="A210" s="142">
        <v>16101990422</v>
      </c>
      <c r="B210" s="142" t="s">
        <v>1288</v>
      </c>
      <c r="C210" s="142" t="s">
        <v>949</v>
      </c>
      <c r="D210" s="142" t="s">
        <v>1289</v>
      </c>
      <c r="E210" s="47" t="s">
        <v>192</v>
      </c>
      <c r="F210" s="47" t="s">
        <v>192</v>
      </c>
    </row>
    <row r="211" spans="1:6">
      <c r="A211" s="142">
        <v>16101990423</v>
      </c>
      <c r="B211" s="142" t="s">
        <v>1290</v>
      </c>
      <c r="C211" s="142" t="s">
        <v>949</v>
      </c>
      <c r="D211" s="142" t="s">
        <v>1291</v>
      </c>
      <c r="E211" s="47" t="s">
        <v>192</v>
      </c>
      <c r="F211" s="47" t="s">
        <v>192</v>
      </c>
    </row>
    <row r="212" spans="1:6">
      <c r="A212" s="142">
        <v>16101990424</v>
      </c>
      <c r="B212" s="142" t="s">
        <v>1292</v>
      </c>
      <c r="C212" s="142" t="s">
        <v>949</v>
      </c>
      <c r="D212" s="142" t="s">
        <v>1293</v>
      </c>
      <c r="E212" s="47" t="s">
        <v>192</v>
      </c>
      <c r="F212" s="47" t="s">
        <v>192</v>
      </c>
    </row>
    <row r="213" spans="1:6">
      <c r="A213" s="142">
        <v>16101990425</v>
      </c>
      <c r="B213" s="142" t="s">
        <v>1294</v>
      </c>
      <c r="C213" s="142" t="s">
        <v>949</v>
      </c>
      <c r="D213" s="142" t="s">
        <v>1295</v>
      </c>
      <c r="E213" s="47" t="s">
        <v>192</v>
      </c>
      <c r="F213" s="47" t="s">
        <v>192</v>
      </c>
    </row>
    <row r="214" spans="1:6">
      <c r="A214" s="142">
        <v>16101990426</v>
      </c>
      <c r="B214" s="142" t="s">
        <v>1296</v>
      </c>
      <c r="C214" s="142" t="s">
        <v>949</v>
      </c>
      <c r="D214" s="142" t="s">
        <v>1297</v>
      </c>
      <c r="E214" s="47" t="s">
        <v>192</v>
      </c>
      <c r="F214" s="47" t="s">
        <v>192</v>
      </c>
    </row>
    <row r="215" spans="1:6">
      <c r="A215" s="142">
        <v>16101990427</v>
      </c>
      <c r="B215" s="142" t="s">
        <v>1298</v>
      </c>
      <c r="C215" s="142" t="s">
        <v>949</v>
      </c>
      <c r="D215" s="142" t="s">
        <v>1299</v>
      </c>
      <c r="E215" s="47" t="s">
        <v>192</v>
      </c>
      <c r="F215" s="47" t="s">
        <v>192</v>
      </c>
    </row>
    <row r="216" spans="1:6">
      <c r="A216" s="142">
        <v>16101990428</v>
      </c>
      <c r="B216" s="142" t="s">
        <v>1300</v>
      </c>
      <c r="C216" s="142" t="s">
        <v>949</v>
      </c>
      <c r="D216" s="142" t="s">
        <v>1301</v>
      </c>
      <c r="E216" s="47" t="s">
        <v>192</v>
      </c>
      <c r="F216" s="47" t="s">
        <v>192</v>
      </c>
    </row>
    <row r="217" spans="1:6">
      <c r="A217" s="142">
        <v>16101990429</v>
      </c>
      <c r="B217" s="142" t="s">
        <v>1302</v>
      </c>
      <c r="C217" s="142" t="s">
        <v>949</v>
      </c>
      <c r="D217" s="142" t="s">
        <v>1303</v>
      </c>
      <c r="E217" s="47" t="s">
        <v>192</v>
      </c>
      <c r="F217" s="47" t="s">
        <v>192</v>
      </c>
    </row>
    <row r="218" spans="1:6">
      <c r="A218" s="142">
        <v>16101990430</v>
      </c>
      <c r="B218" s="142" t="s">
        <v>1304</v>
      </c>
      <c r="C218" s="142" t="s">
        <v>949</v>
      </c>
      <c r="D218" s="142" t="s">
        <v>1305</v>
      </c>
      <c r="E218" s="47" t="s">
        <v>192</v>
      </c>
      <c r="F218" s="47" t="s">
        <v>192</v>
      </c>
    </row>
    <row r="219" spans="1:6">
      <c r="A219" s="142">
        <v>16101990431</v>
      </c>
      <c r="B219" s="142" t="s">
        <v>1306</v>
      </c>
      <c r="C219" s="142" t="s">
        <v>949</v>
      </c>
      <c r="D219" s="142" t="s">
        <v>1307</v>
      </c>
      <c r="E219" s="47" t="s">
        <v>192</v>
      </c>
      <c r="F219" s="47" t="s">
        <v>192</v>
      </c>
    </row>
    <row r="220" spans="1:6">
      <c r="A220" s="142">
        <v>16101990432</v>
      </c>
      <c r="B220" s="142" t="s">
        <v>1308</v>
      </c>
      <c r="C220" s="142" t="s">
        <v>949</v>
      </c>
      <c r="D220" s="142" t="s">
        <v>1309</v>
      </c>
      <c r="E220" s="47" t="s">
        <v>192</v>
      </c>
      <c r="F220" s="47" t="s">
        <v>192</v>
      </c>
    </row>
    <row r="221" spans="1:6">
      <c r="A221" s="142">
        <v>16101990433</v>
      </c>
      <c r="B221" s="142" t="s">
        <v>1310</v>
      </c>
      <c r="C221" s="142" t="s">
        <v>949</v>
      </c>
      <c r="D221" s="142" t="s">
        <v>1311</v>
      </c>
      <c r="E221" s="47" t="s">
        <v>192</v>
      </c>
      <c r="F221" s="47" t="s">
        <v>192</v>
      </c>
    </row>
    <row r="222" spans="1:6">
      <c r="A222" s="142">
        <v>16101990434</v>
      </c>
      <c r="B222" s="142" t="s">
        <v>1312</v>
      </c>
      <c r="C222" s="142" t="s">
        <v>949</v>
      </c>
      <c r="D222" s="142" t="s">
        <v>1313</v>
      </c>
      <c r="E222" s="47" t="s">
        <v>192</v>
      </c>
      <c r="F222" s="47" t="s">
        <v>192</v>
      </c>
    </row>
    <row r="223" spans="1:6">
      <c r="A223" s="142">
        <v>16101990435</v>
      </c>
      <c r="B223" s="142" t="s">
        <v>1314</v>
      </c>
      <c r="C223" s="142" t="s">
        <v>949</v>
      </c>
      <c r="D223" s="142" t="s">
        <v>1315</v>
      </c>
      <c r="E223" s="47" t="s">
        <v>192</v>
      </c>
      <c r="F223" s="47" t="s">
        <v>192</v>
      </c>
    </row>
    <row r="224" spans="1:6">
      <c r="A224" s="142">
        <v>16101990436</v>
      </c>
      <c r="B224" s="142" t="s">
        <v>1316</v>
      </c>
      <c r="C224" s="142" t="s">
        <v>949</v>
      </c>
      <c r="D224" s="142" t="s">
        <v>1317</v>
      </c>
      <c r="E224" s="47" t="s">
        <v>192</v>
      </c>
      <c r="F224" s="47" t="s">
        <v>192</v>
      </c>
    </row>
    <row r="225" spans="1:6">
      <c r="A225" s="142">
        <v>16101990437</v>
      </c>
      <c r="B225" s="142" t="s">
        <v>1318</v>
      </c>
      <c r="C225" s="142" t="s">
        <v>949</v>
      </c>
      <c r="D225" s="142" t="s">
        <v>1319</v>
      </c>
      <c r="E225" s="47" t="s">
        <v>192</v>
      </c>
      <c r="F225" s="47" t="s">
        <v>192</v>
      </c>
    </row>
    <row r="226" spans="1:6">
      <c r="A226" s="142">
        <v>16101990438</v>
      </c>
      <c r="B226" s="142" t="s">
        <v>1320</v>
      </c>
      <c r="C226" s="142" t="s">
        <v>949</v>
      </c>
      <c r="D226" s="142" t="s">
        <v>1321</v>
      </c>
      <c r="E226" s="47" t="s">
        <v>192</v>
      </c>
      <c r="F226" s="47" t="s">
        <v>192</v>
      </c>
    </row>
    <row r="227" spans="1:6">
      <c r="A227" s="142">
        <v>16101990439</v>
      </c>
      <c r="B227" s="142" t="s">
        <v>1322</v>
      </c>
      <c r="C227" s="142" t="s">
        <v>949</v>
      </c>
      <c r="D227" s="142" t="s">
        <v>1323</v>
      </c>
      <c r="E227" s="47" t="s">
        <v>192</v>
      </c>
      <c r="F227" s="47" t="s">
        <v>192</v>
      </c>
    </row>
    <row r="228" spans="1:6">
      <c r="A228" s="142">
        <v>16101990440</v>
      </c>
      <c r="B228" s="142" t="s">
        <v>1324</v>
      </c>
      <c r="C228" s="142" t="s">
        <v>949</v>
      </c>
      <c r="D228" s="142" t="s">
        <v>1325</v>
      </c>
      <c r="E228" s="47" t="s">
        <v>192</v>
      </c>
      <c r="F228" s="47" t="s">
        <v>192</v>
      </c>
    </row>
    <row r="229" spans="1:6">
      <c r="A229" s="142">
        <v>16101990441</v>
      </c>
      <c r="B229" s="142" t="s">
        <v>1326</v>
      </c>
      <c r="C229" s="142" t="s">
        <v>949</v>
      </c>
      <c r="D229" s="142" t="s">
        <v>1327</v>
      </c>
      <c r="E229" s="47" t="s">
        <v>192</v>
      </c>
      <c r="F229" s="47" t="s">
        <v>192</v>
      </c>
    </row>
    <row r="230" spans="1:6">
      <c r="A230" s="142">
        <v>16101990442</v>
      </c>
      <c r="B230" s="142" t="s">
        <v>1328</v>
      </c>
      <c r="C230" s="142" t="s">
        <v>949</v>
      </c>
      <c r="D230" s="142" t="s">
        <v>1329</v>
      </c>
      <c r="E230" s="47" t="s">
        <v>192</v>
      </c>
      <c r="F230" s="47" t="s">
        <v>192</v>
      </c>
    </row>
    <row r="231" spans="1:6">
      <c r="A231" s="142">
        <v>16101990443</v>
      </c>
      <c r="B231" s="142" t="s">
        <v>1330</v>
      </c>
      <c r="C231" s="142" t="s">
        <v>949</v>
      </c>
      <c r="D231" s="142" t="s">
        <v>1331</v>
      </c>
      <c r="E231" s="47" t="s">
        <v>192</v>
      </c>
      <c r="F231" s="47" t="s">
        <v>192</v>
      </c>
    </row>
    <row r="232" spans="1:6">
      <c r="A232" s="142">
        <v>16101990444</v>
      </c>
      <c r="B232" s="142" t="s">
        <v>1332</v>
      </c>
      <c r="C232" s="142" t="s">
        <v>949</v>
      </c>
      <c r="D232" s="142" t="s">
        <v>1333</v>
      </c>
      <c r="E232" s="47" t="s">
        <v>192</v>
      </c>
      <c r="F232" s="47" t="s">
        <v>192</v>
      </c>
    </row>
    <row r="233" spans="1:6">
      <c r="A233" s="142">
        <v>16101990445</v>
      </c>
      <c r="B233" s="142" t="s">
        <v>1334</v>
      </c>
      <c r="C233" s="142" t="s">
        <v>949</v>
      </c>
      <c r="D233" s="142" t="s">
        <v>1335</v>
      </c>
      <c r="E233" s="47" t="s">
        <v>192</v>
      </c>
      <c r="F233" s="47" t="s">
        <v>192</v>
      </c>
    </row>
    <row r="234" spans="1:6">
      <c r="A234" s="142">
        <v>16101990446</v>
      </c>
      <c r="B234" s="142" t="s">
        <v>1336</v>
      </c>
      <c r="C234" s="142" t="s">
        <v>949</v>
      </c>
      <c r="D234" s="142" t="s">
        <v>1337</v>
      </c>
      <c r="E234" s="47" t="s">
        <v>192</v>
      </c>
      <c r="F234" s="47" t="s">
        <v>192</v>
      </c>
    </row>
    <row r="235" spans="1:6">
      <c r="A235" s="142">
        <v>16101990447</v>
      </c>
      <c r="B235" s="142" t="s">
        <v>1338</v>
      </c>
      <c r="C235" s="142" t="s">
        <v>949</v>
      </c>
      <c r="D235" s="142" t="s">
        <v>1339</v>
      </c>
      <c r="E235" s="47" t="s">
        <v>192</v>
      </c>
      <c r="F235" s="47" t="s">
        <v>192</v>
      </c>
    </row>
    <row r="236" spans="1:6">
      <c r="A236" s="142">
        <v>16101990448</v>
      </c>
      <c r="B236" s="142" t="s">
        <v>1340</v>
      </c>
      <c r="C236" s="142" t="s">
        <v>949</v>
      </c>
      <c r="D236" s="142" t="s">
        <v>1341</v>
      </c>
      <c r="E236" s="47" t="s">
        <v>192</v>
      </c>
      <c r="F236" s="47" t="s">
        <v>192</v>
      </c>
    </row>
    <row r="237" spans="1:6">
      <c r="A237" s="142">
        <v>16101990449</v>
      </c>
      <c r="B237" s="142" t="s">
        <v>1342</v>
      </c>
      <c r="C237" s="142" t="s">
        <v>949</v>
      </c>
      <c r="D237" s="142" t="s">
        <v>1343</v>
      </c>
      <c r="E237" s="47" t="s">
        <v>192</v>
      </c>
      <c r="F237" s="47" t="s">
        <v>192</v>
      </c>
    </row>
    <row r="238" spans="1:6">
      <c r="A238" s="142">
        <v>16101990450</v>
      </c>
      <c r="B238" s="142" t="s">
        <v>1344</v>
      </c>
      <c r="C238" s="142" t="s">
        <v>949</v>
      </c>
      <c r="D238" s="142" t="s">
        <v>1345</v>
      </c>
      <c r="E238" s="47" t="s">
        <v>192</v>
      </c>
      <c r="F238" s="47" t="s">
        <v>192</v>
      </c>
    </row>
    <row r="239" spans="1:6">
      <c r="A239" s="142">
        <v>16101990451</v>
      </c>
      <c r="B239" s="142" t="s">
        <v>1346</v>
      </c>
      <c r="C239" s="142" t="s">
        <v>949</v>
      </c>
      <c r="D239" s="142" t="s">
        <v>1347</v>
      </c>
      <c r="E239" s="47" t="s">
        <v>192</v>
      </c>
      <c r="F239" s="47" t="s">
        <v>192</v>
      </c>
    </row>
    <row r="240" spans="1:6">
      <c r="A240" s="142">
        <v>16101990452</v>
      </c>
      <c r="B240" s="142" t="s">
        <v>1348</v>
      </c>
      <c r="C240" s="142" t="s">
        <v>949</v>
      </c>
      <c r="D240" s="142" t="s">
        <v>1349</v>
      </c>
      <c r="E240" s="47" t="s">
        <v>192</v>
      </c>
      <c r="F240" s="47" t="s">
        <v>192</v>
      </c>
    </row>
    <row r="241" spans="1:6">
      <c r="A241" s="142">
        <v>16101990453</v>
      </c>
      <c r="B241" s="142" t="s">
        <v>1350</v>
      </c>
      <c r="C241" s="142" t="s">
        <v>949</v>
      </c>
      <c r="D241" s="142" t="s">
        <v>1351</v>
      </c>
      <c r="E241" s="47" t="s">
        <v>192</v>
      </c>
      <c r="F241" s="47" t="s">
        <v>192</v>
      </c>
    </row>
    <row r="242" spans="1:6">
      <c r="A242" s="142">
        <v>16101990454</v>
      </c>
      <c r="B242" s="142" t="s">
        <v>1352</v>
      </c>
      <c r="C242" s="142" t="s">
        <v>949</v>
      </c>
      <c r="D242" s="142" t="s">
        <v>1353</v>
      </c>
      <c r="E242" s="47" t="s">
        <v>192</v>
      </c>
      <c r="F242" s="47" t="s">
        <v>192</v>
      </c>
    </row>
    <row r="243" spans="1:6">
      <c r="A243" s="142">
        <v>16101990455</v>
      </c>
      <c r="B243" s="142" t="s">
        <v>1354</v>
      </c>
      <c r="C243" s="142" t="s">
        <v>949</v>
      </c>
      <c r="D243" s="142" t="s">
        <v>1355</v>
      </c>
      <c r="E243" s="47" t="s">
        <v>192</v>
      </c>
      <c r="F243" s="47" t="s">
        <v>192</v>
      </c>
    </row>
    <row r="244" spans="1:6">
      <c r="A244" s="142">
        <v>16101990456</v>
      </c>
      <c r="B244" s="142" t="s">
        <v>1356</v>
      </c>
      <c r="C244" s="142" t="s">
        <v>949</v>
      </c>
      <c r="D244" s="142" t="s">
        <v>1357</v>
      </c>
      <c r="E244" s="47" t="s">
        <v>192</v>
      </c>
      <c r="F244" s="47" t="s">
        <v>192</v>
      </c>
    </row>
    <row r="245" spans="1:6">
      <c r="A245" s="142">
        <v>16101990457</v>
      </c>
      <c r="B245" s="142" t="s">
        <v>1358</v>
      </c>
      <c r="C245" s="142" t="s">
        <v>949</v>
      </c>
      <c r="D245" s="142" t="s">
        <v>1359</v>
      </c>
      <c r="E245" s="47" t="s">
        <v>192</v>
      </c>
      <c r="F245" s="47" t="s">
        <v>192</v>
      </c>
    </row>
    <row r="246" spans="1:6">
      <c r="A246" s="142">
        <v>16101990458</v>
      </c>
      <c r="B246" s="142" t="s">
        <v>1360</v>
      </c>
      <c r="C246" s="142" t="s">
        <v>949</v>
      </c>
      <c r="D246" s="142" t="s">
        <v>1361</v>
      </c>
      <c r="E246" s="47" t="s">
        <v>192</v>
      </c>
      <c r="F246" s="47" t="s">
        <v>192</v>
      </c>
    </row>
    <row r="247" spans="1:6">
      <c r="A247" s="142">
        <v>16101990459</v>
      </c>
      <c r="B247" s="142" t="s">
        <v>1362</v>
      </c>
      <c r="C247" s="142" t="s">
        <v>949</v>
      </c>
      <c r="D247" s="142" t="s">
        <v>1363</v>
      </c>
      <c r="E247" s="47" t="s">
        <v>192</v>
      </c>
      <c r="F247" s="47" t="s">
        <v>192</v>
      </c>
    </row>
    <row r="248" spans="1:6">
      <c r="A248" s="142">
        <v>16101990460</v>
      </c>
      <c r="B248" s="142" t="s">
        <v>1364</v>
      </c>
      <c r="C248" s="142" t="s">
        <v>949</v>
      </c>
      <c r="D248" s="142" t="s">
        <v>1365</v>
      </c>
      <c r="E248" s="47" t="s">
        <v>192</v>
      </c>
      <c r="F248" s="47" t="s">
        <v>192</v>
      </c>
    </row>
    <row r="249" spans="1:6">
      <c r="A249" s="142">
        <v>16101990461</v>
      </c>
      <c r="B249" s="142" t="s">
        <v>1366</v>
      </c>
      <c r="C249" s="142" t="s">
        <v>949</v>
      </c>
      <c r="D249" s="142" t="s">
        <v>1367</v>
      </c>
      <c r="E249" s="47" t="s">
        <v>192</v>
      </c>
      <c r="F249" s="47" t="s">
        <v>192</v>
      </c>
    </row>
    <row r="250" spans="1:6">
      <c r="A250" s="142">
        <v>16101990462</v>
      </c>
      <c r="B250" s="142" t="s">
        <v>1368</v>
      </c>
      <c r="C250" s="142" t="s">
        <v>949</v>
      </c>
      <c r="D250" s="142" t="s">
        <v>1369</v>
      </c>
      <c r="E250" s="47" t="s">
        <v>192</v>
      </c>
      <c r="F250" s="47" t="s">
        <v>192</v>
      </c>
    </row>
    <row r="251" spans="1:6">
      <c r="A251" s="142">
        <v>16101990463</v>
      </c>
      <c r="B251" s="142" t="s">
        <v>1370</v>
      </c>
      <c r="C251" s="142" t="s">
        <v>949</v>
      </c>
      <c r="D251" s="142" t="s">
        <v>1371</v>
      </c>
      <c r="E251" s="47" t="s">
        <v>192</v>
      </c>
      <c r="F251" s="47" t="s">
        <v>192</v>
      </c>
    </row>
    <row r="252" spans="1:6">
      <c r="A252" s="142">
        <v>16101990464</v>
      </c>
      <c r="B252" s="142" t="s">
        <v>1372</v>
      </c>
      <c r="C252" s="142" t="s">
        <v>949</v>
      </c>
      <c r="D252" s="142" t="s">
        <v>1373</v>
      </c>
      <c r="E252" s="47" t="s">
        <v>192</v>
      </c>
      <c r="F252" s="47" t="s">
        <v>192</v>
      </c>
    </row>
    <row r="253" spans="1:6">
      <c r="A253" s="142">
        <v>16101990465</v>
      </c>
      <c r="B253" s="142" t="s">
        <v>1374</v>
      </c>
      <c r="C253" s="142" t="s">
        <v>949</v>
      </c>
      <c r="D253" s="142" t="s">
        <v>1375</v>
      </c>
      <c r="E253" s="47" t="s">
        <v>192</v>
      </c>
      <c r="F253" s="47" t="s">
        <v>192</v>
      </c>
    </row>
    <row r="254" spans="1:6">
      <c r="A254" s="142">
        <v>16101990466</v>
      </c>
      <c r="B254" s="142" t="s">
        <v>1376</v>
      </c>
      <c r="C254" s="142" t="s">
        <v>949</v>
      </c>
      <c r="D254" s="142" t="s">
        <v>1377</v>
      </c>
      <c r="E254" s="47" t="s">
        <v>192</v>
      </c>
      <c r="F254" s="47" t="s">
        <v>192</v>
      </c>
    </row>
    <row r="255" spans="1:6">
      <c r="A255" s="142">
        <v>16101990467</v>
      </c>
      <c r="B255" s="142" t="s">
        <v>1378</v>
      </c>
      <c r="C255" s="142" t="s">
        <v>949</v>
      </c>
      <c r="D255" s="142" t="s">
        <v>1379</v>
      </c>
      <c r="E255" s="47" t="s">
        <v>192</v>
      </c>
      <c r="F255" s="47" t="s">
        <v>192</v>
      </c>
    </row>
    <row r="256" spans="1:6">
      <c r="A256" s="142">
        <v>16101990468</v>
      </c>
      <c r="B256" s="142" t="s">
        <v>1380</v>
      </c>
      <c r="C256" s="142" t="s">
        <v>949</v>
      </c>
      <c r="D256" s="142" t="s">
        <v>1381</v>
      </c>
      <c r="E256" s="47" t="s">
        <v>192</v>
      </c>
      <c r="F256" s="47" t="s">
        <v>192</v>
      </c>
    </row>
    <row r="257" spans="1:6">
      <c r="A257" s="142">
        <v>16101990469</v>
      </c>
      <c r="B257" s="142" t="s">
        <v>1382</v>
      </c>
      <c r="C257" s="142" t="s">
        <v>949</v>
      </c>
      <c r="D257" s="142" t="s">
        <v>1383</v>
      </c>
      <c r="E257" s="47" t="s">
        <v>192</v>
      </c>
      <c r="F257" s="47" t="s">
        <v>192</v>
      </c>
    </row>
    <row r="258" spans="1:6">
      <c r="A258" s="142">
        <v>16101990470</v>
      </c>
      <c r="B258" s="142" t="s">
        <v>1384</v>
      </c>
      <c r="C258" s="142" t="s">
        <v>949</v>
      </c>
      <c r="D258" s="142" t="s">
        <v>1385</v>
      </c>
      <c r="E258" s="47" t="s">
        <v>192</v>
      </c>
      <c r="F258" s="47" t="s">
        <v>192</v>
      </c>
    </row>
    <row r="259" spans="1:6">
      <c r="A259" s="142">
        <v>16101990471</v>
      </c>
      <c r="B259" s="142" t="s">
        <v>1386</v>
      </c>
      <c r="C259" s="142" t="s">
        <v>949</v>
      </c>
      <c r="D259" s="142" t="s">
        <v>1387</v>
      </c>
      <c r="E259" s="47" t="s">
        <v>192</v>
      </c>
      <c r="F259" s="47" t="s">
        <v>192</v>
      </c>
    </row>
    <row r="260" spans="1:6">
      <c r="A260" s="142">
        <v>16101990472</v>
      </c>
      <c r="B260" s="142" t="s">
        <v>1388</v>
      </c>
      <c r="C260" s="142" t="s">
        <v>949</v>
      </c>
      <c r="D260" s="142" t="s">
        <v>1389</v>
      </c>
      <c r="E260" s="47" t="s">
        <v>192</v>
      </c>
      <c r="F260" s="47" t="s">
        <v>192</v>
      </c>
    </row>
    <row r="261" spans="1:6">
      <c r="A261" s="142">
        <v>16101990473</v>
      </c>
      <c r="B261" s="142" t="s">
        <v>1390</v>
      </c>
      <c r="C261" s="142" t="s">
        <v>949</v>
      </c>
      <c r="D261" s="142" t="s">
        <v>1391</v>
      </c>
      <c r="E261" s="47" t="s">
        <v>192</v>
      </c>
      <c r="F261" s="47" t="s">
        <v>192</v>
      </c>
    </row>
    <row r="262" spans="1:6">
      <c r="A262" s="142">
        <v>16101990474</v>
      </c>
      <c r="B262" s="142" t="s">
        <v>1392</v>
      </c>
      <c r="C262" s="142" t="s">
        <v>949</v>
      </c>
      <c r="D262" s="142" t="s">
        <v>1393</v>
      </c>
      <c r="E262" s="47" t="s">
        <v>192</v>
      </c>
      <c r="F262" s="47" t="s">
        <v>192</v>
      </c>
    </row>
    <row r="263" spans="1:6">
      <c r="A263" s="142">
        <v>16101990476</v>
      </c>
      <c r="B263" s="142" t="s">
        <v>1394</v>
      </c>
      <c r="C263" s="142" t="s">
        <v>949</v>
      </c>
      <c r="D263" s="142" t="s">
        <v>1395</v>
      </c>
      <c r="E263" s="47" t="s">
        <v>192</v>
      </c>
      <c r="F263" s="47" t="s">
        <v>192</v>
      </c>
    </row>
    <row r="264" spans="1:6">
      <c r="A264" s="142">
        <v>16101990477</v>
      </c>
      <c r="B264" s="142" t="s">
        <v>1396</v>
      </c>
      <c r="C264" s="142" t="s">
        <v>949</v>
      </c>
      <c r="D264" s="142" t="s">
        <v>1397</v>
      </c>
      <c r="E264" s="47" t="s">
        <v>192</v>
      </c>
      <c r="F264" s="47" t="s">
        <v>192</v>
      </c>
    </row>
    <row r="265" spans="1:6">
      <c r="A265" s="142">
        <v>16101990478</v>
      </c>
      <c r="B265" s="142" t="s">
        <v>1398</v>
      </c>
      <c r="C265" s="142" t="s">
        <v>949</v>
      </c>
      <c r="D265" s="142" t="s">
        <v>1399</v>
      </c>
      <c r="E265" s="47" t="s">
        <v>192</v>
      </c>
      <c r="F265" s="47" t="s">
        <v>192</v>
      </c>
    </row>
    <row r="266" spans="1:6">
      <c r="A266" s="142">
        <v>16101990479</v>
      </c>
      <c r="B266" s="142" t="s">
        <v>1400</v>
      </c>
      <c r="C266" s="142" t="s">
        <v>949</v>
      </c>
      <c r="D266" s="142" t="s">
        <v>1401</v>
      </c>
      <c r="E266" s="47" t="s">
        <v>192</v>
      </c>
      <c r="F266" s="47" t="s">
        <v>192</v>
      </c>
    </row>
    <row r="267" spans="1:6">
      <c r="A267" s="142">
        <v>16101990480</v>
      </c>
      <c r="B267" s="142" t="s">
        <v>1402</v>
      </c>
      <c r="C267" s="142" t="s">
        <v>949</v>
      </c>
      <c r="D267" s="142" t="s">
        <v>1403</v>
      </c>
      <c r="E267" s="47" t="s">
        <v>192</v>
      </c>
      <c r="F267" s="47" t="s">
        <v>192</v>
      </c>
    </row>
    <row r="268" spans="1:6">
      <c r="A268" s="142">
        <v>16101990481</v>
      </c>
      <c r="B268" s="142" t="s">
        <v>1404</v>
      </c>
      <c r="C268" s="142" t="s">
        <v>949</v>
      </c>
      <c r="D268" s="142" t="s">
        <v>1405</v>
      </c>
      <c r="E268" s="47" t="s">
        <v>192</v>
      </c>
      <c r="F268" s="47" t="s">
        <v>192</v>
      </c>
    </row>
    <row r="269" spans="1:6">
      <c r="A269" s="142">
        <v>16101990482</v>
      </c>
      <c r="B269" s="142" t="s">
        <v>1406</v>
      </c>
      <c r="C269" s="142" t="s">
        <v>949</v>
      </c>
      <c r="D269" s="142" t="s">
        <v>1407</v>
      </c>
      <c r="E269" s="47" t="s">
        <v>192</v>
      </c>
      <c r="F269" s="47" t="s">
        <v>192</v>
      </c>
    </row>
    <row r="270" spans="1:6">
      <c r="A270" s="142">
        <v>16101990483</v>
      </c>
      <c r="B270" s="142" t="s">
        <v>1408</v>
      </c>
      <c r="C270" s="142" t="s">
        <v>949</v>
      </c>
      <c r="D270" s="142" t="s">
        <v>1409</v>
      </c>
      <c r="E270" s="47" t="s">
        <v>192</v>
      </c>
      <c r="F270" s="47" t="s">
        <v>192</v>
      </c>
    </row>
    <row r="271" spans="1:6">
      <c r="A271" s="142">
        <v>16101990484</v>
      </c>
      <c r="B271" s="142" t="s">
        <v>1410</v>
      </c>
      <c r="C271" s="142" t="s">
        <v>949</v>
      </c>
      <c r="D271" s="142" t="s">
        <v>1411</v>
      </c>
      <c r="E271" s="47" t="s">
        <v>192</v>
      </c>
      <c r="F271" s="47" t="s">
        <v>192</v>
      </c>
    </row>
    <row r="272" spans="1:6">
      <c r="A272" s="142">
        <v>16101990485</v>
      </c>
      <c r="B272" s="142" t="s">
        <v>1412</v>
      </c>
      <c r="C272" s="142" t="s">
        <v>949</v>
      </c>
      <c r="D272" s="142" t="s">
        <v>1413</v>
      </c>
      <c r="E272" s="47" t="s">
        <v>192</v>
      </c>
      <c r="F272" s="47" t="s">
        <v>192</v>
      </c>
    </row>
    <row r="273" spans="1:6">
      <c r="A273" s="142">
        <v>16101990902</v>
      </c>
      <c r="B273" s="142" t="s">
        <v>1414</v>
      </c>
      <c r="C273" s="142" t="s">
        <v>949</v>
      </c>
      <c r="D273" s="142" t="s">
        <v>1415</v>
      </c>
      <c r="E273" s="47" t="s">
        <v>192</v>
      </c>
      <c r="F273" s="47" t="s">
        <v>192</v>
      </c>
    </row>
    <row r="274" spans="1:6">
      <c r="A274" s="142">
        <v>16101990903</v>
      </c>
      <c r="B274" s="142" t="s">
        <v>1416</v>
      </c>
      <c r="C274" s="142" t="s">
        <v>949</v>
      </c>
      <c r="D274" s="142" t="s">
        <v>1417</v>
      </c>
      <c r="E274" s="47" t="s">
        <v>192</v>
      </c>
      <c r="F274" s="47" t="s">
        <v>192</v>
      </c>
    </row>
    <row r="275" spans="1:6">
      <c r="A275" s="142">
        <v>16101990905</v>
      </c>
      <c r="B275" s="142" t="s">
        <v>1418</v>
      </c>
      <c r="C275" s="142" t="s">
        <v>949</v>
      </c>
      <c r="D275" s="142" t="s">
        <v>1419</v>
      </c>
      <c r="E275" s="47" t="s">
        <v>192</v>
      </c>
      <c r="F275" s="47" t="s">
        <v>192</v>
      </c>
    </row>
    <row r="276" spans="1:6">
      <c r="A276" s="142">
        <v>16101990930</v>
      </c>
      <c r="B276" s="142" t="s">
        <v>1420</v>
      </c>
      <c r="C276" s="142" t="s">
        <v>949</v>
      </c>
      <c r="D276" s="142" t="s">
        <v>1421</v>
      </c>
      <c r="E276" s="47" t="s">
        <v>192</v>
      </c>
      <c r="F276" s="47" t="s">
        <v>192</v>
      </c>
    </row>
    <row r="277" spans="1:6">
      <c r="A277" s="142">
        <v>16101990931</v>
      </c>
      <c r="B277" s="142" t="s">
        <v>1422</v>
      </c>
      <c r="C277" s="142" t="s">
        <v>949</v>
      </c>
      <c r="D277" s="142" t="s">
        <v>1423</v>
      </c>
      <c r="E277" s="47" t="s">
        <v>192</v>
      </c>
      <c r="F277" s="47" t="s">
        <v>192</v>
      </c>
    </row>
    <row r="278" spans="1:6">
      <c r="A278" s="142">
        <v>16101990949</v>
      </c>
      <c r="B278" s="142" t="s">
        <v>1424</v>
      </c>
      <c r="C278" s="142" t="s">
        <v>949</v>
      </c>
      <c r="D278" s="142" t="s">
        <v>1425</v>
      </c>
      <c r="E278" s="47" t="s">
        <v>192</v>
      </c>
      <c r="F278" s="47" t="s">
        <v>192</v>
      </c>
    </row>
    <row r="279" spans="1:6">
      <c r="A279" s="142">
        <v>16101990953</v>
      </c>
      <c r="B279" s="142" t="s">
        <v>1426</v>
      </c>
      <c r="C279" s="142" t="s">
        <v>949</v>
      </c>
      <c r="D279" s="142" t="s">
        <v>1427</v>
      </c>
      <c r="E279" s="47" t="s">
        <v>192</v>
      </c>
      <c r="F279" s="47" t="s">
        <v>192</v>
      </c>
    </row>
    <row r="280" spans="1:6">
      <c r="A280" s="142">
        <v>16101990954</v>
      </c>
      <c r="B280" s="142" t="s">
        <v>1428</v>
      </c>
      <c r="C280" s="142" t="s">
        <v>949</v>
      </c>
      <c r="D280" s="142" t="s">
        <v>1429</v>
      </c>
      <c r="E280" s="47" t="s">
        <v>192</v>
      </c>
      <c r="F280" s="47" t="s">
        <v>192</v>
      </c>
    </row>
    <row r="281" spans="1:6">
      <c r="A281" s="142">
        <v>16101990955</v>
      </c>
      <c r="B281" s="142" t="s">
        <v>1430</v>
      </c>
      <c r="C281" s="142" t="s">
        <v>949</v>
      </c>
      <c r="D281" s="142" t="s">
        <v>1431</v>
      </c>
      <c r="E281" s="47" t="s">
        <v>192</v>
      </c>
      <c r="F281" s="47" t="s">
        <v>192</v>
      </c>
    </row>
    <row r="282" spans="1:6">
      <c r="A282" s="142">
        <v>16101990956</v>
      </c>
      <c r="B282" s="142" t="s">
        <v>1432</v>
      </c>
      <c r="C282" s="142" t="s">
        <v>949</v>
      </c>
      <c r="D282" s="142" t="s">
        <v>1433</v>
      </c>
      <c r="E282" s="47" t="s">
        <v>192</v>
      </c>
      <c r="F282" s="47" t="s">
        <v>192</v>
      </c>
    </row>
    <row r="283" spans="1:6">
      <c r="A283" s="142">
        <v>16101990957</v>
      </c>
      <c r="B283" s="142" t="s">
        <v>1434</v>
      </c>
      <c r="C283" s="142" t="s">
        <v>949</v>
      </c>
      <c r="D283" s="142" t="s">
        <v>1435</v>
      </c>
      <c r="E283" s="47" t="s">
        <v>192</v>
      </c>
      <c r="F283" s="47" t="s">
        <v>192</v>
      </c>
    </row>
    <row r="284" spans="1:6">
      <c r="A284" s="142">
        <v>16101990958</v>
      </c>
      <c r="B284" s="142" t="s">
        <v>1436</v>
      </c>
      <c r="C284" s="142" t="s">
        <v>949</v>
      </c>
      <c r="D284" s="142" t="s">
        <v>1437</v>
      </c>
      <c r="E284" s="47" t="s">
        <v>192</v>
      </c>
      <c r="F284" s="47" t="s">
        <v>192</v>
      </c>
    </row>
    <row r="285" spans="1:6">
      <c r="A285" s="142">
        <v>16101990959</v>
      </c>
      <c r="B285" s="142" t="s">
        <v>1438</v>
      </c>
      <c r="C285" s="142" t="s">
        <v>949</v>
      </c>
      <c r="D285" s="142" t="s">
        <v>1439</v>
      </c>
      <c r="E285" s="47" t="s">
        <v>192</v>
      </c>
      <c r="F285" s="47" t="s">
        <v>192</v>
      </c>
    </row>
    <row r="286" spans="1:6">
      <c r="A286" s="142">
        <v>16101990977</v>
      </c>
      <c r="B286" s="142" t="s">
        <v>1440</v>
      </c>
      <c r="C286" s="142" t="s">
        <v>949</v>
      </c>
      <c r="D286" s="142" t="s">
        <v>1441</v>
      </c>
      <c r="E286" s="47" t="s">
        <v>192</v>
      </c>
      <c r="F286" s="47" t="s">
        <v>192</v>
      </c>
    </row>
    <row r="287" spans="1:6">
      <c r="A287" s="142">
        <v>16101990978</v>
      </c>
      <c r="B287" s="142" t="s">
        <v>1442</v>
      </c>
      <c r="C287" s="142" t="s">
        <v>949</v>
      </c>
      <c r="D287" s="142" t="s">
        <v>1443</v>
      </c>
      <c r="E287" s="47" t="s">
        <v>192</v>
      </c>
      <c r="F287" s="47" t="s">
        <v>192</v>
      </c>
    </row>
    <row r="288" spans="1:6">
      <c r="A288" s="142">
        <v>16101990981</v>
      </c>
      <c r="B288" s="142" t="s">
        <v>1444</v>
      </c>
      <c r="C288" s="142" t="s">
        <v>949</v>
      </c>
      <c r="D288" s="142" t="s">
        <v>1445</v>
      </c>
      <c r="E288" s="47" t="s">
        <v>192</v>
      </c>
      <c r="F288" s="47" t="s">
        <v>192</v>
      </c>
    </row>
    <row r="289" spans="1:6">
      <c r="A289" s="142">
        <v>16101990982</v>
      </c>
      <c r="B289" s="142" t="s">
        <v>1446</v>
      </c>
      <c r="C289" s="142" t="s">
        <v>949</v>
      </c>
      <c r="D289" s="142" t="s">
        <v>1447</v>
      </c>
      <c r="E289" s="47" t="s">
        <v>192</v>
      </c>
      <c r="F289" s="47" t="s">
        <v>192</v>
      </c>
    </row>
    <row r="290" spans="1:6">
      <c r="A290" s="142">
        <v>16101990984</v>
      </c>
      <c r="B290" s="142" t="s">
        <v>993</v>
      </c>
      <c r="C290" s="142" t="s">
        <v>949</v>
      </c>
      <c r="D290" s="142" t="s">
        <v>1448</v>
      </c>
      <c r="E290" s="47" t="s">
        <v>192</v>
      </c>
      <c r="F290" s="47" t="s">
        <v>192</v>
      </c>
    </row>
    <row r="291" spans="1:6">
      <c r="A291" s="142">
        <v>16101990985</v>
      </c>
      <c r="B291" s="142" t="s">
        <v>1449</v>
      </c>
      <c r="C291" s="142" t="s">
        <v>949</v>
      </c>
      <c r="D291" s="142" t="s">
        <v>1450</v>
      </c>
      <c r="E291" s="47" t="s">
        <v>192</v>
      </c>
      <c r="F291" s="47" t="s">
        <v>192</v>
      </c>
    </row>
    <row r="292" spans="1:6">
      <c r="A292" s="142">
        <v>16101990987</v>
      </c>
      <c r="B292" s="142" t="s">
        <v>1451</v>
      </c>
      <c r="C292" s="142" t="s">
        <v>949</v>
      </c>
      <c r="D292" s="142" t="s">
        <v>1452</v>
      </c>
      <c r="E292" s="47" t="s">
        <v>192</v>
      </c>
      <c r="F292" s="47" t="s">
        <v>192</v>
      </c>
    </row>
    <row r="293" spans="1:6">
      <c r="A293" s="142">
        <v>16101990988</v>
      </c>
      <c r="B293" s="142" t="s">
        <v>1453</v>
      </c>
      <c r="C293" s="142" t="s">
        <v>949</v>
      </c>
      <c r="D293" s="142" t="s">
        <v>1454</v>
      </c>
      <c r="E293" s="47" t="s">
        <v>192</v>
      </c>
      <c r="F293" s="47" t="s">
        <v>192</v>
      </c>
    </row>
    <row r="294" spans="1:6">
      <c r="A294" s="142">
        <v>16101990991</v>
      </c>
      <c r="B294" s="142" t="s">
        <v>1455</v>
      </c>
      <c r="C294" s="142" t="s">
        <v>949</v>
      </c>
      <c r="D294" s="142" t="s">
        <v>1456</v>
      </c>
      <c r="E294" s="47" t="s">
        <v>192</v>
      </c>
      <c r="F294" s="47" t="s">
        <v>192</v>
      </c>
    </row>
    <row r="295" spans="1:6">
      <c r="A295" s="142">
        <v>16101990992</v>
      </c>
      <c r="B295" s="142" t="s">
        <v>1457</v>
      </c>
      <c r="C295" s="142" t="s">
        <v>949</v>
      </c>
      <c r="D295" s="142" t="s">
        <v>1458</v>
      </c>
      <c r="E295" s="47" t="s">
        <v>192</v>
      </c>
      <c r="F295" s="47" t="s">
        <v>192</v>
      </c>
    </row>
    <row r="296" spans="1:6">
      <c r="A296" s="142">
        <v>16101991001</v>
      </c>
      <c r="B296" s="142" t="s">
        <v>1459</v>
      </c>
      <c r="C296" s="142" t="s">
        <v>949</v>
      </c>
      <c r="D296" s="142" t="s">
        <v>1460</v>
      </c>
      <c r="E296" s="47" t="s">
        <v>192</v>
      </c>
      <c r="F296" s="47" t="s">
        <v>192</v>
      </c>
    </row>
    <row r="297" spans="1:6">
      <c r="A297" s="142">
        <v>16101991002</v>
      </c>
      <c r="B297" s="142" t="s">
        <v>1461</v>
      </c>
      <c r="C297" s="142" t="s">
        <v>949</v>
      </c>
      <c r="D297" s="142" t="s">
        <v>1462</v>
      </c>
      <c r="E297" s="47" t="s">
        <v>192</v>
      </c>
      <c r="F297" s="47" t="s">
        <v>192</v>
      </c>
    </row>
    <row r="298" spans="1:6">
      <c r="A298" s="142">
        <v>16101991003</v>
      </c>
      <c r="B298" s="142" t="s">
        <v>1463</v>
      </c>
      <c r="C298" s="142" t="s">
        <v>949</v>
      </c>
      <c r="D298" s="142" t="s">
        <v>1464</v>
      </c>
      <c r="E298" s="47" t="s">
        <v>192</v>
      </c>
      <c r="F298" s="47" t="s">
        <v>192</v>
      </c>
    </row>
    <row r="299" spans="1:6">
      <c r="A299" s="142">
        <v>16101991004</v>
      </c>
      <c r="B299" s="142" t="s">
        <v>1390</v>
      </c>
      <c r="C299" s="142" t="s">
        <v>949</v>
      </c>
      <c r="D299" s="142" t="s">
        <v>1465</v>
      </c>
      <c r="E299" s="47" t="s">
        <v>192</v>
      </c>
      <c r="F299" s="47" t="s">
        <v>192</v>
      </c>
    </row>
    <row r="300" spans="1:6">
      <c r="A300" s="142">
        <v>16101991005</v>
      </c>
      <c r="B300" s="142" t="s">
        <v>1466</v>
      </c>
      <c r="C300" s="142" t="s">
        <v>949</v>
      </c>
      <c r="D300" s="142" t="s">
        <v>1467</v>
      </c>
      <c r="E300" s="47" t="s">
        <v>192</v>
      </c>
      <c r="F300" s="47" t="s">
        <v>192</v>
      </c>
    </row>
    <row r="301" spans="1:6">
      <c r="A301" s="142">
        <v>16101991006</v>
      </c>
      <c r="B301" s="142" t="s">
        <v>1468</v>
      </c>
      <c r="C301" s="142" t="s">
        <v>949</v>
      </c>
      <c r="D301" s="142" t="s">
        <v>1469</v>
      </c>
      <c r="E301" s="47" t="s">
        <v>192</v>
      </c>
      <c r="F301" s="47" t="s">
        <v>192</v>
      </c>
    </row>
    <row r="302" spans="1:6">
      <c r="A302" s="142">
        <v>16101991007</v>
      </c>
      <c r="B302" s="142" t="s">
        <v>993</v>
      </c>
      <c r="C302" s="142" t="s">
        <v>949</v>
      </c>
      <c r="D302" s="142" t="s">
        <v>1470</v>
      </c>
      <c r="E302" s="47" t="s">
        <v>192</v>
      </c>
      <c r="F302" s="47" t="s">
        <v>192</v>
      </c>
    </row>
    <row r="303" spans="1:6">
      <c r="A303" s="142">
        <v>16101991008</v>
      </c>
      <c r="B303" s="142" t="s">
        <v>1471</v>
      </c>
      <c r="C303" s="142" t="s">
        <v>949</v>
      </c>
      <c r="D303" s="142" t="s">
        <v>1472</v>
      </c>
      <c r="E303" s="47" t="s">
        <v>192</v>
      </c>
      <c r="F303" s="47" t="s">
        <v>192</v>
      </c>
    </row>
    <row r="304" spans="1:6">
      <c r="A304" s="142">
        <v>16101991019</v>
      </c>
      <c r="B304" s="142" t="s">
        <v>1473</v>
      </c>
      <c r="C304" s="142" t="s">
        <v>949</v>
      </c>
      <c r="D304" s="142" t="s">
        <v>1474</v>
      </c>
      <c r="E304" s="47" t="s">
        <v>192</v>
      </c>
      <c r="F304" s="47" t="s">
        <v>192</v>
      </c>
    </row>
    <row r="305" spans="1:6">
      <c r="A305" s="142">
        <v>16105553804</v>
      </c>
      <c r="B305" s="142" t="s">
        <v>1475</v>
      </c>
      <c r="C305" s="142" t="s">
        <v>876</v>
      </c>
      <c r="D305" s="142" t="s">
        <v>1476</v>
      </c>
      <c r="E305" s="47" t="s">
        <v>192</v>
      </c>
      <c r="F305" s="47" t="s">
        <v>192</v>
      </c>
    </row>
    <row r="306" spans="1:6">
      <c r="A306" s="142">
        <v>16105555456</v>
      </c>
      <c r="B306" s="142" t="s">
        <v>1477</v>
      </c>
      <c r="C306" s="142" t="s">
        <v>876</v>
      </c>
      <c r="D306" s="142" t="s">
        <v>1478</v>
      </c>
      <c r="E306" s="47" t="s">
        <v>192</v>
      </c>
      <c r="F306" s="47" t="s">
        <v>192</v>
      </c>
    </row>
    <row r="307" spans="1:6">
      <c r="A307" s="142">
        <v>16108072014</v>
      </c>
      <c r="B307" s="142" t="s">
        <v>1479</v>
      </c>
      <c r="C307" s="142" t="s">
        <v>876</v>
      </c>
      <c r="D307" s="142" t="s">
        <v>1480</v>
      </c>
      <c r="E307" s="47" t="s">
        <v>192</v>
      </c>
      <c r="F307" s="47" t="s">
        <v>192</v>
      </c>
    </row>
    <row r="308" spans="1:6">
      <c r="A308" s="142">
        <v>16108076018</v>
      </c>
      <c r="B308" s="142" t="s">
        <v>1481</v>
      </c>
      <c r="C308" s="142" t="s">
        <v>876</v>
      </c>
      <c r="D308" s="142" t="s">
        <v>1482</v>
      </c>
      <c r="E308" s="47" t="s">
        <v>192</v>
      </c>
      <c r="F308" s="47" t="s">
        <v>192</v>
      </c>
    </row>
    <row r="309" spans="1:6">
      <c r="A309" s="142">
        <v>16108076035</v>
      </c>
      <c r="B309" s="142" t="s">
        <v>1483</v>
      </c>
      <c r="C309" s="142" t="s">
        <v>876</v>
      </c>
      <c r="D309" s="142" t="s">
        <v>1484</v>
      </c>
      <c r="E309" s="47" t="s">
        <v>192</v>
      </c>
      <c r="F309" s="47" t="s">
        <v>192</v>
      </c>
    </row>
    <row r="310" spans="1:6">
      <c r="A310" s="142">
        <v>16108076050</v>
      </c>
      <c r="B310" s="142" t="s">
        <v>1485</v>
      </c>
      <c r="C310" s="142" t="s">
        <v>876</v>
      </c>
      <c r="D310" s="142" t="s">
        <v>1486</v>
      </c>
      <c r="E310" s="47" t="s">
        <v>192</v>
      </c>
      <c r="F310" s="47" t="s">
        <v>192</v>
      </c>
    </row>
    <row r="311" spans="1:6">
      <c r="A311" s="142">
        <v>16108076076</v>
      </c>
      <c r="B311" s="142" t="s">
        <v>1487</v>
      </c>
      <c r="C311" s="142" t="s">
        <v>876</v>
      </c>
      <c r="D311" s="142" t="s">
        <v>1488</v>
      </c>
      <c r="E311" s="47" t="s">
        <v>192</v>
      </c>
      <c r="F311" s="47" t="s">
        <v>192</v>
      </c>
    </row>
    <row r="312" spans="1:6">
      <c r="A312" s="142">
        <v>16108076947</v>
      </c>
      <c r="B312" s="142" t="s">
        <v>1489</v>
      </c>
      <c r="C312" s="142" t="s">
        <v>876</v>
      </c>
      <c r="D312" s="142" t="s">
        <v>1490</v>
      </c>
      <c r="E312" s="47" t="s">
        <v>192</v>
      </c>
      <c r="F312" s="47" t="s">
        <v>192</v>
      </c>
    </row>
    <row r="313" spans="1:6">
      <c r="A313" s="142">
        <v>16108077496</v>
      </c>
      <c r="B313" s="142" t="s">
        <v>1491</v>
      </c>
      <c r="C313" s="142" t="s">
        <v>873</v>
      </c>
      <c r="D313" s="142" t="s">
        <v>1492</v>
      </c>
      <c r="E313" s="47" t="s">
        <v>192</v>
      </c>
      <c r="F313" s="47" t="s">
        <v>192</v>
      </c>
    </row>
    <row r="314" spans="1:6">
      <c r="A314" s="142">
        <v>16108077497</v>
      </c>
      <c r="B314" s="142" t="s">
        <v>1493</v>
      </c>
      <c r="C314" s="142" t="s">
        <v>873</v>
      </c>
      <c r="D314" s="142" t="s">
        <v>1494</v>
      </c>
      <c r="E314" s="47" t="s">
        <v>192</v>
      </c>
      <c r="F314" s="47" t="s">
        <v>192</v>
      </c>
    </row>
    <row r="315" spans="1:6">
      <c r="A315" s="142">
        <v>16108077719</v>
      </c>
      <c r="B315" s="142" t="s">
        <v>1495</v>
      </c>
      <c r="C315" s="142" t="s">
        <v>873</v>
      </c>
      <c r="D315" s="142" t="s">
        <v>1496</v>
      </c>
      <c r="E315" s="47" t="s">
        <v>192</v>
      </c>
      <c r="F315" s="47" t="s">
        <v>192</v>
      </c>
    </row>
    <row r="316" spans="1:6">
      <c r="A316" s="142">
        <v>16108077789</v>
      </c>
      <c r="B316" s="142" t="s">
        <v>1497</v>
      </c>
      <c r="C316" s="142" t="s">
        <v>873</v>
      </c>
      <c r="D316" s="142" t="s">
        <v>1498</v>
      </c>
      <c r="E316" s="47" t="s">
        <v>192</v>
      </c>
      <c r="F316" s="47" t="s">
        <v>192</v>
      </c>
    </row>
    <row r="317" spans="1:6">
      <c r="A317" s="142">
        <v>16108077816</v>
      </c>
      <c r="B317" s="142" t="s">
        <v>1499</v>
      </c>
      <c r="C317" s="142" t="s">
        <v>876</v>
      </c>
      <c r="D317" s="142" t="s">
        <v>1500</v>
      </c>
      <c r="E317" s="47" t="s">
        <v>192</v>
      </c>
      <c r="F317" s="47" t="s">
        <v>192</v>
      </c>
    </row>
    <row r="318" spans="1:6">
      <c r="A318" s="142">
        <v>16108078110</v>
      </c>
      <c r="B318" s="142" t="s">
        <v>1501</v>
      </c>
      <c r="C318" s="142" t="s">
        <v>873</v>
      </c>
      <c r="D318" s="142" t="s">
        <v>1502</v>
      </c>
      <c r="E318" s="47" t="s">
        <v>192</v>
      </c>
      <c r="F318" s="47" t="s">
        <v>192</v>
      </c>
    </row>
    <row r="319" spans="1:6">
      <c r="A319" s="142">
        <v>16108078415</v>
      </c>
      <c r="B319" s="142" t="s">
        <v>1503</v>
      </c>
      <c r="C319" s="142" t="s">
        <v>876</v>
      </c>
      <c r="D319" s="142" t="s">
        <v>1504</v>
      </c>
      <c r="E319" s="47" t="s">
        <v>192</v>
      </c>
      <c r="F319" s="47" t="s">
        <v>192</v>
      </c>
    </row>
    <row r="320" spans="1:6">
      <c r="A320" s="142">
        <v>16108078454</v>
      </c>
      <c r="B320" s="142" t="s">
        <v>1505</v>
      </c>
      <c r="C320" s="142" t="s">
        <v>873</v>
      </c>
      <c r="D320" s="142" t="s">
        <v>1506</v>
      </c>
      <c r="E320" s="47" t="s">
        <v>192</v>
      </c>
      <c r="F320" s="47" t="s">
        <v>192</v>
      </c>
    </row>
    <row r="321" spans="1:6">
      <c r="A321" s="142">
        <v>16108078567</v>
      </c>
      <c r="B321" s="142" t="s">
        <v>1507</v>
      </c>
      <c r="C321" s="142" t="s">
        <v>873</v>
      </c>
      <c r="D321" s="142" t="s">
        <v>1508</v>
      </c>
      <c r="E321" s="47" t="s">
        <v>192</v>
      </c>
      <c r="F321" s="47" t="s">
        <v>192</v>
      </c>
    </row>
    <row r="322" spans="1:6">
      <c r="A322" s="142">
        <v>16108078817</v>
      </c>
      <c r="B322" s="142" t="s">
        <v>1509</v>
      </c>
      <c r="C322" s="142" t="s">
        <v>876</v>
      </c>
      <c r="D322" s="142" t="s">
        <v>1510</v>
      </c>
      <c r="E322" s="47" t="s">
        <v>192</v>
      </c>
      <c r="F322" s="47" t="s">
        <v>192</v>
      </c>
    </row>
    <row r="323" spans="1:6">
      <c r="A323" s="142">
        <v>16108078944</v>
      </c>
      <c r="B323" s="142" t="s">
        <v>1511</v>
      </c>
      <c r="C323" s="142" t="s">
        <v>876</v>
      </c>
      <c r="D323" s="142" t="s">
        <v>1512</v>
      </c>
      <c r="E323" s="47" t="s">
        <v>192</v>
      </c>
      <c r="F323" s="47" t="s">
        <v>192</v>
      </c>
    </row>
    <row r="324" spans="1:6">
      <c r="A324" s="142">
        <v>17324293731</v>
      </c>
      <c r="B324" s="142" t="s">
        <v>1513</v>
      </c>
      <c r="C324" s="142" t="s">
        <v>876</v>
      </c>
      <c r="D324" s="142" t="s">
        <v>1514</v>
      </c>
      <c r="E324" s="47" t="s">
        <v>192</v>
      </c>
      <c r="F324" s="47" t="s">
        <v>192</v>
      </c>
    </row>
    <row r="325" spans="1:6">
      <c r="A325" s="142">
        <v>18002623010</v>
      </c>
      <c r="B325" s="142" t="s">
        <v>1515</v>
      </c>
      <c r="C325" s="142" t="s">
        <v>876</v>
      </c>
      <c r="D325" s="142" t="s">
        <v>1516</v>
      </c>
      <c r="E325" s="47" t="s">
        <v>192</v>
      </c>
      <c r="F325" s="47" t="s">
        <v>192</v>
      </c>
    </row>
    <row r="326" spans="1:6">
      <c r="A326" s="142">
        <v>18002682525</v>
      </c>
      <c r="B326" s="142" t="s">
        <v>1517</v>
      </c>
      <c r="C326" s="142" t="s">
        <v>876</v>
      </c>
      <c r="D326" s="142" t="s">
        <v>1518</v>
      </c>
      <c r="E326" s="47" t="s">
        <v>192</v>
      </c>
      <c r="F326" s="47" t="s">
        <v>192</v>
      </c>
    </row>
    <row r="327" spans="1:6">
      <c r="A327" s="142" t="s">
        <v>1519</v>
      </c>
      <c r="B327" s="142" t="s">
        <v>1520</v>
      </c>
      <c r="C327" s="142" t="s">
        <v>876</v>
      </c>
      <c r="D327" s="142" t="s">
        <v>1518</v>
      </c>
      <c r="E327" s="47" t="s">
        <v>192</v>
      </c>
      <c r="F327" s="47" t="s">
        <v>192</v>
      </c>
    </row>
    <row r="328" spans="1:6">
      <c r="A328" s="142">
        <v>18002733330</v>
      </c>
      <c r="B328" s="142" t="s">
        <v>1521</v>
      </c>
      <c r="C328" s="142" t="s">
        <v>873</v>
      </c>
      <c r="D328" s="142" t="s">
        <v>1522</v>
      </c>
      <c r="E328" s="47" t="s">
        <v>192</v>
      </c>
      <c r="F328" s="47" t="s">
        <v>192</v>
      </c>
    </row>
    <row r="329" spans="1:6">
      <c r="A329" s="142">
        <v>18002891337</v>
      </c>
      <c r="B329" s="142" t="s">
        <v>1523</v>
      </c>
      <c r="C329" s="142" t="s">
        <v>876</v>
      </c>
      <c r="D329" s="142" t="s">
        <v>1524</v>
      </c>
      <c r="E329" s="47" t="s">
        <v>192</v>
      </c>
      <c r="F329" s="47" t="s">
        <v>192</v>
      </c>
    </row>
    <row r="330" spans="1:6">
      <c r="A330" s="142">
        <v>18002998654</v>
      </c>
      <c r="B330" s="142" t="s">
        <v>1525</v>
      </c>
      <c r="C330" s="142" t="s">
        <v>873</v>
      </c>
      <c r="D330" s="142" t="s">
        <v>1526</v>
      </c>
      <c r="E330" s="47" t="s">
        <v>192</v>
      </c>
      <c r="F330" s="47" t="s">
        <v>192</v>
      </c>
    </row>
    <row r="331" spans="1:6">
      <c r="A331" s="142">
        <v>18003164015</v>
      </c>
      <c r="B331" s="142" t="s">
        <v>1527</v>
      </c>
      <c r="C331" s="142" t="s">
        <v>873</v>
      </c>
      <c r="D331" s="142" t="s">
        <v>1528</v>
      </c>
      <c r="E331" s="47" t="s">
        <v>192</v>
      </c>
      <c r="F331" s="47" t="s">
        <v>192</v>
      </c>
    </row>
    <row r="332" spans="1:6">
      <c r="A332" s="142">
        <v>18003477443</v>
      </c>
      <c r="B332" s="142" t="s">
        <v>1529</v>
      </c>
      <c r="C332" s="142" t="s">
        <v>876</v>
      </c>
      <c r="D332" s="142" t="s">
        <v>1530</v>
      </c>
      <c r="E332" s="47" t="s">
        <v>192</v>
      </c>
      <c r="F332" s="47" t="s">
        <v>192</v>
      </c>
    </row>
    <row r="333" spans="1:6">
      <c r="A333" s="142">
        <v>18003507314</v>
      </c>
      <c r="B333" s="142" t="s">
        <v>1531</v>
      </c>
      <c r="C333" s="142" t="s">
        <v>873</v>
      </c>
      <c r="D333" s="142" t="s">
        <v>1532</v>
      </c>
      <c r="E333" s="47" t="s">
        <v>192</v>
      </c>
      <c r="F333" s="47" t="s">
        <v>192</v>
      </c>
    </row>
    <row r="334" spans="1:6">
      <c r="A334" s="142">
        <v>18003565808</v>
      </c>
      <c r="B334" s="142" t="s">
        <v>1533</v>
      </c>
      <c r="C334" s="142" t="s">
        <v>876</v>
      </c>
      <c r="D334" s="142" t="s">
        <v>1534</v>
      </c>
      <c r="E334" s="47" t="s">
        <v>192</v>
      </c>
      <c r="F334" s="47" t="s">
        <v>192</v>
      </c>
    </row>
    <row r="335" spans="1:6">
      <c r="A335" s="142">
        <v>18003867055</v>
      </c>
      <c r="B335" s="142" t="s">
        <v>1535</v>
      </c>
      <c r="C335" s="142" t="s">
        <v>876</v>
      </c>
      <c r="D335" s="142" t="s">
        <v>1536</v>
      </c>
      <c r="E335" s="47" t="s">
        <v>192</v>
      </c>
      <c r="F335" s="47" t="s">
        <v>192</v>
      </c>
    </row>
    <row r="336" spans="1:6">
      <c r="A336" s="142">
        <v>18004335982</v>
      </c>
      <c r="B336" s="142" t="s">
        <v>1537</v>
      </c>
      <c r="C336" s="142" t="s">
        <v>876</v>
      </c>
      <c r="D336" s="142" t="s">
        <v>1538</v>
      </c>
      <c r="E336" s="47" t="s">
        <v>192</v>
      </c>
      <c r="F336" s="47" t="s">
        <v>192</v>
      </c>
    </row>
    <row r="337" spans="1:6">
      <c r="A337" s="142" t="s">
        <v>1539</v>
      </c>
      <c r="B337" s="142" t="s">
        <v>1540</v>
      </c>
      <c r="C337" s="142" t="s">
        <v>873</v>
      </c>
      <c r="D337" s="142" t="s">
        <v>1538</v>
      </c>
      <c r="E337" s="47" t="s">
        <v>192</v>
      </c>
      <c r="F337" s="47" t="s">
        <v>192</v>
      </c>
    </row>
    <row r="338" spans="1:6">
      <c r="A338" s="142">
        <v>18004416455</v>
      </c>
      <c r="B338" s="142" t="s">
        <v>1541</v>
      </c>
      <c r="C338" s="142" t="s">
        <v>876</v>
      </c>
      <c r="D338" s="142" t="s">
        <v>1542</v>
      </c>
      <c r="E338" s="47" t="s">
        <v>192</v>
      </c>
      <c r="F338" s="47" t="s">
        <v>192</v>
      </c>
    </row>
    <row r="339" spans="1:6">
      <c r="A339" s="142">
        <v>18004467872</v>
      </c>
      <c r="B339" s="142" t="s">
        <v>1543</v>
      </c>
      <c r="C339" s="142" t="s">
        <v>876</v>
      </c>
      <c r="D339" s="142" t="s">
        <v>1544</v>
      </c>
      <c r="E339" s="47" t="s">
        <v>192</v>
      </c>
      <c r="F339" s="47" t="s">
        <v>192</v>
      </c>
    </row>
    <row r="340" spans="1:6">
      <c r="A340" s="142">
        <v>18004599401</v>
      </c>
      <c r="B340" s="142" t="s">
        <v>1545</v>
      </c>
      <c r="C340" s="142" t="s">
        <v>873</v>
      </c>
      <c r="D340" s="142" t="s">
        <v>1546</v>
      </c>
      <c r="E340" s="47" t="s">
        <v>192</v>
      </c>
      <c r="F340" s="47" t="s">
        <v>192</v>
      </c>
    </row>
    <row r="341" spans="1:6">
      <c r="A341" s="142">
        <v>18004684015</v>
      </c>
      <c r="B341" s="142" t="s">
        <v>1547</v>
      </c>
      <c r="C341" s="142" t="s">
        <v>873</v>
      </c>
      <c r="D341" s="142" t="s">
        <v>1548</v>
      </c>
      <c r="E341" s="47" t="s">
        <v>192</v>
      </c>
      <c r="F341" s="47" t="s">
        <v>192</v>
      </c>
    </row>
    <row r="342" spans="1:6">
      <c r="A342" s="142">
        <v>18004775908</v>
      </c>
      <c r="B342" s="142" t="s">
        <v>1549</v>
      </c>
      <c r="C342" s="142" t="s">
        <v>876</v>
      </c>
      <c r="D342" s="142" t="s">
        <v>1550</v>
      </c>
      <c r="E342" s="47" t="s">
        <v>192</v>
      </c>
      <c r="F342" s="47" t="s">
        <v>192</v>
      </c>
    </row>
    <row r="343" spans="1:6">
      <c r="A343" s="142">
        <v>18004998820</v>
      </c>
      <c r="B343" s="142" t="s">
        <v>1551</v>
      </c>
      <c r="C343" s="142" t="s">
        <v>876</v>
      </c>
      <c r="D343" s="142" t="s">
        <v>1552</v>
      </c>
      <c r="E343" s="47" t="s">
        <v>192</v>
      </c>
      <c r="F343" s="47" t="s">
        <v>192</v>
      </c>
    </row>
    <row r="344" spans="1:6">
      <c r="A344" s="142">
        <v>18005115801</v>
      </c>
      <c r="B344" s="142" t="s">
        <v>1553</v>
      </c>
      <c r="C344" s="142" t="s">
        <v>873</v>
      </c>
      <c r="D344" s="142" t="s">
        <v>1554</v>
      </c>
      <c r="E344" s="47" t="s">
        <v>192</v>
      </c>
      <c r="F344" s="47" t="s">
        <v>192</v>
      </c>
    </row>
    <row r="345" spans="1:6">
      <c r="A345" s="142">
        <v>18005244542</v>
      </c>
      <c r="B345" s="142" t="s">
        <v>1555</v>
      </c>
      <c r="C345" s="142" t="s">
        <v>876</v>
      </c>
      <c r="D345" s="142" t="s">
        <v>1556</v>
      </c>
      <c r="E345" s="47" t="s">
        <v>192</v>
      </c>
      <c r="F345" s="47" t="s">
        <v>192</v>
      </c>
    </row>
    <row r="346" spans="1:6">
      <c r="A346" s="142">
        <v>18005254542</v>
      </c>
      <c r="B346" s="142" t="s">
        <v>1557</v>
      </c>
      <c r="C346" s="142" t="s">
        <v>873</v>
      </c>
      <c r="D346" s="142" t="s">
        <v>1558</v>
      </c>
      <c r="E346" s="47" t="s">
        <v>192</v>
      </c>
      <c r="F346" s="47" t="s">
        <v>192</v>
      </c>
    </row>
    <row r="347" spans="1:6">
      <c r="A347" s="142">
        <v>18005384583</v>
      </c>
      <c r="B347" s="142" t="s">
        <v>1559</v>
      </c>
      <c r="C347" s="142" t="s">
        <v>876</v>
      </c>
      <c r="D347" s="142" t="s">
        <v>1560</v>
      </c>
      <c r="E347" s="47" t="s">
        <v>192</v>
      </c>
      <c r="F347" s="47" t="s">
        <v>192</v>
      </c>
    </row>
    <row r="348" spans="1:6">
      <c r="A348" s="142">
        <v>18005393863</v>
      </c>
      <c r="B348" s="142" t="s">
        <v>1561</v>
      </c>
      <c r="C348" s="142" t="s">
        <v>876</v>
      </c>
      <c r="D348" s="142" t="s">
        <v>1562</v>
      </c>
      <c r="E348" s="47" t="s">
        <v>192</v>
      </c>
      <c r="F348" s="47" t="s">
        <v>192</v>
      </c>
    </row>
    <row r="349" spans="1:6">
      <c r="A349" s="142">
        <v>18005417846</v>
      </c>
      <c r="B349" s="142" t="s">
        <v>1563</v>
      </c>
      <c r="C349" s="142" t="s">
        <v>873</v>
      </c>
      <c r="D349" s="142" t="s">
        <v>1564</v>
      </c>
      <c r="E349" s="47" t="s">
        <v>192</v>
      </c>
      <c r="F349" s="47" t="s">
        <v>192</v>
      </c>
    </row>
    <row r="350" spans="1:6">
      <c r="A350" s="142" t="s">
        <v>1565</v>
      </c>
      <c r="B350" s="142" t="s">
        <v>1566</v>
      </c>
      <c r="C350" s="142" t="s">
        <v>873</v>
      </c>
      <c r="D350" s="142" t="s">
        <v>1564</v>
      </c>
      <c r="E350" s="47" t="s">
        <v>192</v>
      </c>
      <c r="F350" s="47" t="s">
        <v>192</v>
      </c>
    </row>
    <row r="351" spans="1:6">
      <c r="A351" s="142" t="s">
        <v>1567</v>
      </c>
      <c r="B351" s="142" t="s">
        <v>1568</v>
      </c>
      <c r="C351" s="142" t="s">
        <v>873</v>
      </c>
      <c r="D351" s="142" t="s">
        <v>1564</v>
      </c>
      <c r="E351" s="47" t="s">
        <v>192</v>
      </c>
      <c r="F351" s="47" t="s">
        <v>192</v>
      </c>
    </row>
    <row r="352" spans="1:6">
      <c r="A352" s="142">
        <v>18006244050</v>
      </c>
      <c r="B352" s="142" t="s">
        <v>1569</v>
      </c>
      <c r="C352" s="142" t="s">
        <v>873</v>
      </c>
      <c r="D352" s="142" t="s">
        <v>1570</v>
      </c>
      <c r="E352" s="47" t="s">
        <v>192</v>
      </c>
      <c r="F352" s="47" t="s">
        <v>192</v>
      </c>
    </row>
    <row r="353" spans="1:6">
      <c r="A353" s="142">
        <v>18006274200</v>
      </c>
      <c r="B353" s="142" t="s">
        <v>1571</v>
      </c>
      <c r="C353" s="142" t="s">
        <v>873</v>
      </c>
      <c r="D353" s="142" t="s">
        <v>1572</v>
      </c>
      <c r="E353" s="47" t="s">
        <v>192</v>
      </c>
      <c r="F353" s="47" t="s">
        <v>192</v>
      </c>
    </row>
    <row r="354" spans="1:6">
      <c r="A354" s="142" t="s">
        <v>1573</v>
      </c>
      <c r="B354" s="142" t="s">
        <v>1574</v>
      </c>
      <c r="C354" s="142" t="s">
        <v>873</v>
      </c>
      <c r="D354" s="142" t="s">
        <v>1572</v>
      </c>
      <c r="E354" s="47" t="s">
        <v>192</v>
      </c>
      <c r="F354" s="47" t="s">
        <v>192</v>
      </c>
    </row>
    <row r="355" spans="1:6">
      <c r="A355" s="142">
        <v>18006303609</v>
      </c>
      <c r="B355" s="142" t="s">
        <v>1575</v>
      </c>
      <c r="C355" s="142" t="s">
        <v>876</v>
      </c>
      <c r="D355" s="142" t="s">
        <v>1576</v>
      </c>
      <c r="E355" s="47" t="s">
        <v>192</v>
      </c>
      <c r="F355" s="47" t="s">
        <v>192</v>
      </c>
    </row>
    <row r="356" spans="1:6">
      <c r="A356" s="142">
        <v>18006490482</v>
      </c>
      <c r="B356" s="142" t="s">
        <v>1577</v>
      </c>
      <c r="C356" s="142" t="s">
        <v>876</v>
      </c>
      <c r="D356" s="142" t="s">
        <v>1578</v>
      </c>
      <c r="E356" s="47" t="s">
        <v>192</v>
      </c>
      <c r="F356" s="47" t="s">
        <v>192</v>
      </c>
    </row>
    <row r="357" spans="1:6">
      <c r="A357" s="142">
        <v>18006506505</v>
      </c>
      <c r="B357" s="142" t="s">
        <v>1579</v>
      </c>
      <c r="C357" s="142" t="s">
        <v>873</v>
      </c>
      <c r="D357" s="142" t="s">
        <v>1580</v>
      </c>
      <c r="E357" s="47" t="s">
        <v>192</v>
      </c>
      <c r="F357" s="47" t="s">
        <v>192</v>
      </c>
    </row>
    <row r="358" spans="1:6">
      <c r="A358" s="142" t="s">
        <v>1581</v>
      </c>
      <c r="B358" s="142" t="s">
        <v>1582</v>
      </c>
      <c r="C358" s="142" t="s">
        <v>873</v>
      </c>
      <c r="D358" s="142" t="s">
        <v>1580</v>
      </c>
      <c r="E358" s="47" t="s">
        <v>192</v>
      </c>
      <c r="F358" s="47" t="s">
        <v>192</v>
      </c>
    </row>
    <row r="359" spans="1:6">
      <c r="A359" s="142" t="s">
        <v>1583</v>
      </c>
      <c r="B359" s="142" t="s">
        <v>1584</v>
      </c>
      <c r="C359" s="142" t="s">
        <v>873</v>
      </c>
      <c r="D359" s="142" t="s">
        <v>1580</v>
      </c>
      <c r="E359" s="47" t="s">
        <v>192</v>
      </c>
      <c r="F359" s="47" t="s">
        <v>192</v>
      </c>
    </row>
    <row r="360" spans="1:6">
      <c r="A360" s="142">
        <v>18006854542</v>
      </c>
      <c r="B360" s="142" t="s">
        <v>1585</v>
      </c>
      <c r="C360" s="142" t="s">
        <v>873</v>
      </c>
      <c r="D360" s="142" t="s">
        <v>1586</v>
      </c>
      <c r="E360" s="47" t="s">
        <v>192</v>
      </c>
      <c r="F360" s="47" t="s">
        <v>192</v>
      </c>
    </row>
    <row r="361" spans="1:6">
      <c r="A361" s="142">
        <v>18007328242</v>
      </c>
      <c r="B361" s="142" t="s">
        <v>1587</v>
      </c>
      <c r="C361" s="142" t="s">
        <v>873</v>
      </c>
      <c r="D361" s="142" t="s">
        <v>1588</v>
      </c>
      <c r="E361" s="47" t="s">
        <v>192</v>
      </c>
      <c r="F361" s="47" t="s">
        <v>192</v>
      </c>
    </row>
    <row r="362" spans="1:6">
      <c r="A362" s="142">
        <v>18007656405</v>
      </c>
      <c r="B362" s="142" t="s">
        <v>1589</v>
      </c>
      <c r="C362" s="142" t="s">
        <v>873</v>
      </c>
      <c r="D362" s="142" t="s">
        <v>1590</v>
      </c>
      <c r="E362" s="47" t="s">
        <v>192</v>
      </c>
      <c r="F362" s="47" t="s">
        <v>192</v>
      </c>
    </row>
    <row r="363" spans="1:6">
      <c r="A363" s="142">
        <v>18007663863</v>
      </c>
      <c r="B363" s="142" t="s">
        <v>1591</v>
      </c>
      <c r="C363" s="142" t="s">
        <v>876</v>
      </c>
      <c r="D363" s="142" t="s">
        <v>1592</v>
      </c>
      <c r="E363" s="47" t="s">
        <v>192</v>
      </c>
      <c r="F363" s="47" t="s">
        <v>192</v>
      </c>
    </row>
    <row r="364" spans="1:6">
      <c r="A364" s="142">
        <v>18007752246</v>
      </c>
      <c r="B364" s="142" t="s">
        <v>1593</v>
      </c>
      <c r="C364" s="142" t="s">
        <v>873</v>
      </c>
      <c r="D364" s="142" t="s">
        <v>1594</v>
      </c>
      <c r="E364" s="47" t="s">
        <v>192</v>
      </c>
      <c r="F364" s="47" t="s">
        <v>192</v>
      </c>
    </row>
    <row r="365" spans="1:6">
      <c r="A365" s="142">
        <v>18007763925</v>
      </c>
      <c r="B365" s="142" t="s">
        <v>1595</v>
      </c>
      <c r="C365" s="142" t="s">
        <v>873</v>
      </c>
      <c r="D365" s="142" t="s">
        <v>1596</v>
      </c>
      <c r="E365" s="47" t="s">
        <v>192</v>
      </c>
      <c r="F365" s="47" t="s">
        <v>192</v>
      </c>
    </row>
    <row r="366" spans="1:6">
      <c r="A366" s="142">
        <v>18008017649</v>
      </c>
      <c r="B366" s="142" t="s">
        <v>1597</v>
      </c>
      <c r="C366" s="142" t="s">
        <v>873</v>
      </c>
      <c r="D366" s="142" t="s">
        <v>1598</v>
      </c>
      <c r="E366" s="47" t="s">
        <v>192</v>
      </c>
      <c r="F366" s="47" t="s">
        <v>192</v>
      </c>
    </row>
    <row r="367" spans="1:6">
      <c r="A367" s="142">
        <v>18008192468</v>
      </c>
      <c r="B367" s="142" t="s">
        <v>1599</v>
      </c>
      <c r="C367" s="142" t="s">
        <v>873</v>
      </c>
      <c r="D367" s="142" t="s">
        <v>1600</v>
      </c>
      <c r="E367" s="47" t="s">
        <v>192</v>
      </c>
      <c r="F367" s="47" t="s">
        <v>192</v>
      </c>
    </row>
    <row r="368" spans="1:6">
      <c r="A368" s="142">
        <v>18008304147</v>
      </c>
      <c r="B368" s="142" t="s">
        <v>1601</v>
      </c>
      <c r="C368" s="142" t="s">
        <v>876</v>
      </c>
      <c r="D368" s="142" t="s">
        <v>1602</v>
      </c>
      <c r="E368" s="47" t="s">
        <v>192</v>
      </c>
      <c r="F368" s="47" t="s">
        <v>192</v>
      </c>
    </row>
    <row r="369" spans="1:6">
      <c r="A369" s="142">
        <v>18008484567</v>
      </c>
      <c r="B369" s="142" t="s">
        <v>1603</v>
      </c>
      <c r="C369" s="142" t="s">
        <v>873</v>
      </c>
      <c r="D369" s="142" t="s">
        <v>1604</v>
      </c>
      <c r="E369" s="47" t="s">
        <v>192</v>
      </c>
      <c r="F369" s="47" t="s">
        <v>192</v>
      </c>
    </row>
    <row r="370" spans="1:6">
      <c r="A370" s="142">
        <v>18008658731</v>
      </c>
      <c r="B370" s="142" t="s">
        <v>1605</v>
      </c>
      <c r="C370" s="142" t="s">
        <v>873</v>
      </c>
      <c r="D370" s="142" t="s">
        <v>1606</v>
      </c>
      <c r="E370" s="47" t="s">
        <v>192</v>
      </c>
      <c r="F370" s="47" t="s">
        <v>192</v>
      </c>
    </row>
    <row r="371" spans="1:6">
      <c r="A371" s="142">
        <v>18008717780</v>
      </c>
      <c r="B371" s="142" t="s">
        <v>1607</v>
      </c>
      <c r="C371" s="142" t="s">
        <v>873</v>
      </c>
      <c r="D371" s="142" t="s">
        <v>1608</v>
      </c>
      <c r="E371" s="47" t="s">
        <v>192</v>
      </c>
      <c r="F371" s="47" t="s">
        <v>192</v>
      </c>
    </row>
    <row r="372" spans="1:6">
      <c r="A372" s="142" t="s">
        <v>1609</v>
      </c>
      <c r="B372" s="142" t="s">
        <v>1610</v>
      </c>
      <c r="C372" s="142" t="s">
        <v>873</v>
      </c>
      <c r="D372" s="142" t="s">
        <v>1608</v>
      </c>
      <c r="E372" s="47" t="s">
        <v>192</v>
      </c>
      <c r="F372" s="47" t="s">
        <v>192</v>
      </c>
    </row>
    <row r="373" spans="1:6">
      <c r="A373" s="142" t="s">
        <v>1611</v>
      </c>
      <c r="B373" s="142" t="s">
        <v>1612</v>
      </c>
      <c r="C373" s="142" t="s">
        <v>873</v>
      </c>
      <c r="D373" s="142" t="s">
        <v>1608</v>
      </c>
      <c r="E373" s="47" t="s">
        <v>192</v>
      </c>
      <c r="F373" s="47" t="s">
        <v>192</v>
      </c>
    </row>
    <row r="374" spans="1:6">
      <c r="A374" s="142" t="s">
        <v>1613</v>
      </c>
      <c r="B374" s="142" t="s">
        <v>1614</v>
      </c>
      <c r="C374" s="142" t="s">
        <v>873</v>
      </c>
      <c r="D374" s="142" t="s">
        <v>1608</v>
      </c>
      <c r="E374" s="47" t="s">
        <v>192</v>
      </c>
      <c r="F374" s="47" t="s">
        <v>192</v>
      </c>
    </row>
    <row r="375" spans="1:6">
      <c r="A375" s="142" t="s">
        <v>1615</v>
      </c>
      <c r="B375" s="142" t="s">
        <v>1616</v>
      </c>
      <c r="C375" s="142" t="s">
        <v>873</v>
      </c>
      <c r="D375" s="142" t="s">
        <v>1608</v>
      </c>
      <c r="E375" s="47" t="s">
        <v>192</v>
      </c>
      <c r="F375" s="47" t="s">
        <v>192</v>
      </c>
    </row>
    <row r="376" spans="1:6">
      <c r="A376" s="142" t="s">
        <v>1617</v>
      </c>
      <c r="B376" s="142" t="s">
        <v>1618</v>
      </c>
      <c r="C376" s="142" t="s">
        <v>873</v>
      </c>
      <c r="D376" s="142" t="s">
        <v>1608</v>
      </c>
      <c r="E376" s="47" t="s">
        <v>192</v>
      </c>
      <c r="F376" s="47" t="s">
        <v>192</v>
      </c>
    </row>
    <row r="377" spans="1:6">
      <c r="A377" s="142">
        <v>18008777195</v>
      </c>
      <c r="B377" s="142" t="s">
        <v>1619</v>
      </c>
      <c r="C377" s="142" t="s">
        <v>876</v>
      </c>
      <c r="D377" s="142" t="s">
        <v>1620</v>
      </c>
      <c r="E377" s="47" t="s">
        <v>192</v>
      </c>
      <c r="F377" s="47" t="s">
        <v>192</v>
      </c>
    </row>
    <row r="378" spans="1:6">
      <c r="A378" s="142">
        <v>18008796934</v>
      </c>
      <c r="B378" s="142" t="s">
        <v>1621</v>
      </c>
      <c r="C378" s="142" t="s">
        <v>873</v>
      </c>
      <c r="D378" s="142" t="s">
        <v>1622</v>
      </c>
      <c r="E378" s="47" t="s">
        <v>192</v>
      </c>
      <c r="F378" s="47" t="s">
        <v>192</v>
      </c>
    </row>
    <row r="379" spans="1:6">
      <c r="A379" s="142">
        <v>18008902475</v>
      </c>
      <c r="B379" s="142" t="s">
        <v>1623</v>
      </c>
      <c r="C379" s="142" t="s">
        <v>873</v>
      </c>
      <c r="D379" s="142" t="s">
        <v>1624</v>
      </c>
      <c r="E379" s="47" t="s">
        <v>192</v>
      </c>
      <c r="F379" s="47" t="s">
        <v>192</v>
      </c>
    </row>
    <row r="380" spans="1:6">
      <c r="A380" s="142" t="s">
        <v>1625</v>
      </c>
      <c r="B380" s="142" t="s">
        <v>1626</v>
      </c>
      <c r="C380" s="142" t="s">
        <v>873</v>
      </c>
      <c r="D380" s="142" t="s">
        <v>1624</v>
      </c>
      <c r="E380" s="47" t="s">
        <v>192</v>
      </c>
      <c r="F380" s="47" t="s">
        <v>192</v>
      </c>
    </row>
    <row r="381" spans="1:6">
      <c r="A381" s="142" t="s">
        <v>1627</v>
      </c>
      <c r="B381" s="142" t="s">
        <v>1628</v>
      </c>
      <c r="C381" s="142" t="s">
        <v>873</v>
      </c>
      <c r="D381" s="142" t="s">
        <v>1624</v>
      </c>
      <c r="E381" s="47" t="s">
        <v>192</v>
      </c>
      <c r="F381" s="47" t="s">
        <v>192</v>
      </c>
    </row>
    <row r="382" spans="1:6">
      <c r="A382" s="142">
        <v>18008904774</v>
      </c>
      <c r="B382" s="142" t="s">
        <v>1629</v>
      </c>
      <c r="C382" s="142" t="s">
        <v>876</v>
      </c>
      <c r="D382" s="142" t="s">
        <v>1630</v>
      </c>
      <c r="E382" s="47" t="s">
        <v>192</v>
      </c>
      <c r="F382" s="47" t="s">
        <v>192</v>
      </c>
    </row>
    <row r="383" spans="1:6">
      <c r="A383" s="142">
        <v>18009232732</v>
      </c>
      <c r="B383" s="142" t="s">
        <v>1631</v>
      </c>
      <c r="C383" s="142" t="s">
        <v>876</v>
      </c>
      <c r="D383" s="142" t="s">
        <v>1632</v>
      </c>
      <c r="E383" s="47" t="s">
        <v>192</v>
      </c>
      <c r="F383" s="47" t="s">
        <v>192</v>
      </c>
    </row>
    <row r="384" spans="1:6">
      <c r="A384" s="142">
        <v>18009812574</v>
      </c>
      <c r="B384" s="142" t="s">
        <v>1633</v>
      </c>
      <c r="C384" s="142" t="s">
        <v>873</v>
      </c>
      <c r="D384" s="142" t="s">
        <v>1634</v>
      </c>
      <c r="E384" s="47" t="s">
        <v>192</v>
      </c>
      <c r="F384" s="47" t="s">
        <v>192</v>
      </c>
    </row>
    <row r="385" spans="1:6">
      <c r="A385" s="142">
        <v>18009924767</v>
      </c>
      <c r="B385" s="142" t="s">
        <v>1635</v>
      </c>
      <c r="C385" s="142" t="s">
        <v>876</v>
      </c>
      <c r="D385" s="142" t="s">
        <v>1636</v>
      </c>
      <c r="E385" s="47" t="s">
        <v>192</v>
      </c>
      <c r="F385" s="47" t="s">
        <v>192</v>
      </c>
    </row>
    <row r="386" spans="1:6">
      <c r="A386" s="142" t="s">
        <v>1637</v>
      </c>
      <c r="B386" s="142" t="s">
        <v>1638</v>
      </c>
      <c r="C386" s="142" t="s">
        <v>876</v>
      </c>
      <c r="D386" s="142" t="s">
        <v>1636</v>
      </c>
      <c r="E386" s="47" t="s">
        <v>192</v>
      </c>
      <c r="F386" s="47" t="s">
        <v>192</v>
      </c>
    </row>
    <row r="387" spans="1:6">
      <c r="A387" s="142">
        <v>18009995431</v>
      </c>
      <c r="B387" s="142" t="s">
        <v>1639</v>
      </c>
      <c r="C387" s="142" t="s">
        <v>876</v>
      </c>
      <c r="D387" s="142" t="s">
        <v>1640</v>
      </c>
      <c r="E387" s="47" t="s">
        <v>192</v>
      </c>
      <c r="F387" s="47" t="s">
        <v>192</v>
      </c>
    </row>
    <row r="388" spans="1:6">
      <c r="A388" s="142">
        <v>18442223301</v>
      </c>
      <c r="B388" s="142" t="s">
        <v>1641</v>
      </c>
      <c r="C388" s="142" t="s">
        <v>876</v>
      </c>
      <c r="D388" s="142" t="s">
        <v>1642</v>
      </c>
      <c r="E388" s="47" t="s">
        <v>192</v>
      </c>
      <c r="F388" s="47" t="s">
        <v>192</v>
      </c>
    </row>
    <row r="389" spans="1:6">
      <c r="A389" s="142">
        <v>18444394846</v>
      </c>
      <c r="B389" s="142" t="s">
        <v>1643</v>
      </c>
      <c r="C389" s="142" t="s">
        <v>873</v>
      </c>
      <c r="D389" s="142" t="s">
        <v>1644</v>
      </c>
      <c r="E389" s="47" t="s">
        <v>192</v>
      </c>
      <c r="F389" s="47" t="s">
        <v>192</v>
      </c>
    </row>
    <row r="390" spans="1:6">
      <c r="A390" s="142">
        <v>18445615600</v>
      </c>
      <c r="B390" s="142" t="s">
        <v>1645</v>
      </c>
      <c r="C390" s="142" t="s">
        <v>873</v>
      </c>
      <c r="D390" s="142" t="s">
        <v>1646</v>
      </c>
      <c r="E390" s="47" t="s">
        <v>192</v>
      </c>
      <c r="F390" s="47" t="s">
        <v>192</v>
      </c>
    </row>
    <row r="391" spans="1:6">
      <c r="A391" s="142" t="s">
        <v>1647</v>
      </c>
      <c r="B391" s="142" t="s">
        <v>1648</v>
      </c>
      <c r="C391" s="142" t="s">
        <v>873</v>
      </c>
      <c r="D391" s="142" t="s">
        <v>1646</v>
      </c>
      <c r="E391" s="47" t="s">
        <v>192</v>
      </c>
      <c r="F391" s="47" t="s">
        <v>192</v>
      </c>
    </row>
    <row r="392" spans="1:6">
      <c r="A392" s="142">
        <v>18552146777</v>
      </c>
      <c r="B392" s="142" t="s">
        <v>1649</v>
      </c>
      <c r="C392" s="142" t="s">
        <v>876</v>
      </c>
      <c r="D392" s="142" t="s">
        <v>1650</v>
      </c>
      <c r="E392" s="47" t="s">
        <v>192</v>
      </c>
      <c r="F392" s="47" t="s">
        <v>192</v>
      </c>
    </row>
    <row r="393" spans="1:6">
      <c r="A393" s="142">
        <v>18556290554</v>
      </c>
      <c r="B393" s="142" t="s">
        <v>1651</v>
      </c>
      <c r="C393" s="142" t="s">
        <v>876</v>
      </c>
      <c r="D393" s="142" t="s">
        <v>1652</v>
      </c>
      <c r="E393" s="47" t="s">
        <v>192</v>
      </c>
      <c r="F393" s="47" t="s">
        <v>192</v>
      </c>
    </row>
    <row r="394" spans="1:6">
      <c r="A394" s="142">
        <v>18556912341</v>
      </c>
      <c r="B394" s="142" t="s">
        <v>1653</v>
      </c>
      <c r="C394" s="142" t="s">
        <v>873</v>
      </c>
      <c r="D394" s="142" t="s">
        <v>1654</v>
      </c>
      <c r="E394" s="47" t="s">
        <v>192</v>
      </c>
      <c r="F394" s="47" t="s">
        <v>192</v>
      </c>
    </row>
    <row r="395" spans="1:6">
      <c r="A395" s="142">
        <v>18557364542</v>
      </c>
      <c r="B395" s="142" t="s">
        <v>1655</v>
      </c>
      <c r="C395" s="142" t="s">
        <v>876</v>
      </c>
      <c r="D395" s="142" t="s">
        <v>1656</v>
      </c>
      <c r="E395" s="47" t="s">
        <v>192</v>
      </c>
      <c r="F395" s="47" t="s">
        <v>192</v>
      </c>
    </row>
    <row r="396" spans="1:6">
      <c r="A396" s="142">
        <v>18558862901</v>
      </c>
      <c r="B396" s="142" t="s">
        <v>1657</v>
      </c>
      <c r="C396" s="142" t="s">
        <v>876</v>
      </c>
      <c r="D396" s="142" t="s">
        <v>1658</v>
      </c>
      <c r="E396" s="47" t="s">
        <v>192</v>
      </c>
      <c r="F396" s="47" t="s">
        <v>192</v>
      </c>
    </row>
    <row r="397" spans="1:6">
      <c r="A397" s="142">
        <v>18662291970</v>
      </c>
      <c r="B397" s="142" t="s">
        <v>1659</v>
      </c>
      <c r="C397" s="142" t="s">
        <v>873</v>
      </c>
      <c r="D397" s="142" t="s">
        <v>1660</v>
      </c>
      <c r="E397" s="47" t="s">
        <v>192</v>
      </c>
      <c r="F397" s="47" t="s">
        <v>192</v>
      </c>
    </row>
    <row r="398" spans="1:6">
      <c r="A398" s="142">
        <v>18662796503</v>
      </c>
      <c r="B398" s="142" t="s">
        <v>1661</v>
      </c>
      <c r="C398" s="142" t="s">
        <v>873</v>
      </c>
      <c r="D398" s="142" t="s">
        <v>1662</v>
      </c>
      <c r="E398" s="47" t="s">
        <v>192</v>
      </c>
      <c r="F398" s="47" t="s">
        <v>192</v>
      </c>
    </row>
    <row r="399" spans="1:6">
      <c r="A399" s="142">
        <v>18663024542</v>
      </c>
      <c r="B399" s="142" t="s">
        <v>1663</v>
      </c>
      <c r="C399" s="142" t="s">
        <v>873</v>
      </c>
      <c r="D399" s="142" t="s">
        <v>1664</v>
      </c>
      <c r="E399" s="47" t="s">
        <v>192</v>
      </c>
      <c r="F399" s="47" t="s">
        <v>192</v>
      </c>
    </row>
    <row r="400" spans="1:6">
      <c r="A400" s="142">
        <v>18663225791</v>
      </c>
      <c r="B400" s="142" t="s">
        <v>1665</v>
      </c>
      <c r="C400" s="142" t="s">
        <v>873</v>
      </c>
      <c r="D400" s="142" t="s">
        <v>1666</v>
      </c>
      <c r="E400" s="47" t="s">
        <v>192</v>
      </c>
      <c r="F400" s="47" t="s">
        <v>192</v>
      </c>
    </row>
    <row r="401" spans="1:6">
      <c r="A401" s="142">
        <v>18663594542</v>
      </c>
      <c r="B401" s="142" t="s">
        <v>1667</v>
      </c>
      <c r="C401" s="142" t="s">
        <v>873</v>
      </c>
      <c r="D401" s="142" t="s">
        <v>1668</v>
      </c>
      <c r="E401" s="47" t="s">
        <v>192</v>
      </c>
      <c r="F401" s="47" t="s">
        <v>192</v>
      </c>
    </row>
    <row r="402" spans="1:6">
      <c r="A402" s="142">
        <v>18664014542</v>
      </c>
      <c r="B402" s="142" t="s">
        <v>1669</v>
      </c>
      <c r="C402" s="142" t="s">
        <v>876</v>
      </c>
      <c r="D402" s="142" t="s">
        <v>1670</v>
      </c>
      <c r="E402" s="47" t="s">
        <v>192</v>
      </c>
      <c r="F402" s="47" t="s">
        <v>192</v>
      </c>
    </row>
    <row r="403" spans="1:6">
      <c r="A403" s="142">
        <v>18664408924</v>
      </c>
      <c r="B403" s="142" t="s">
        <v>1671</v>
      </c>
      <c r="C403" s="142" t="s">
        <v>873</v>
      </c>
      <c r="D403" s="142" t="s">
        <v>1672</v>
      </c>
      <c r="E403" s="47" t="s">
        <v>192</v>
      </c>
      <c r="F403" s="47" t="s">
        <v>192</v>
      </c>
    </row>
    <row r="404" spans="1:6">
      <c r="A404" s="142">
        <v>18664409326</v>
      </c>
      <c r="B404" s="142" t="s">
        <v>1673</v>
      </c>
      <c r="C404" s="142" t="s">
        <v>873</v>
      </c>
      <c r="D404" s="142" t="s">
        <v>1674</v>
      </c>
      <c r="E404" s="47" t="s">
        <v>192</v>
      </c>
      <c r="F404" s="47" t="s">
        <v>192</v>
      </c>
    </row>
    <row r="405" spans="1:6">
      <c r="A405" s="142">
        <v>18664524542</v>
      </c>
      <c r="B405" s="142" t="s">
        <v>1675</v>
      </c>
      <c r="C405" s="142" t="s">
        <v>873</v>
      </c>
      <c r="D405" s="142" t="s">
        <v>429</v>
      </c>
      <c r="E405" s="47" t="s">
        <v>192</v>
      </c>
      <c r="F405" s="47" t="s">
        <v>192</v>
      </c>
    </row>
    <row r="406" spans="1:6">
      <c r="A406" s="142" t="s">
        <v>1676</v>
      </c>
      <c r="B406" s="142" t="s">
        <v>1677</v>
      </c>
      <c r="C406" s="142" t="s">
        <v>873</v>
      </c>
      <c r="D406" s="142" t="s">
        <v>429</v>
      </c>
      <c r="E406" s="47" t="s">
        <v>192</v>
      </c>
      <c r="F406" s="47" t="s">
        <v>192</v>
      </c>
    </row>
    <row r="407" spans="1:6">
      <c r="A407" s="142" t="s">
        <v>1678</v>
      </c>
      <c r="B407" s="142" t="s">
        <v>1679</v>
      </c>
      <c r="C407" s="142" t="s">
        <v>873</v>
      </c>
      <c r="D407" s="142" t="s">
        <v>429</v>
      </c>
      <c r="E407" s="47" t="s">
        <v>192</v>
      </c>
      <c r="F407" s="47" t="s">
        <v>192</v>
      </c>
    </row>
    <row r="408" spans="1:6">
      <c r="A408" s="142">
        <v>18664944542</v>
      </c>
      <c r="B408" s="142" t="s">
        <v>1680</v>
      </c>
      <c r="C408" s="142" t="s">
        <v>873</v>
      </c>
      <c r="D408" s="142" t="s">
        <v>1681</v>
      </c>
      <c r="E408" s="47" t="s">
        <v>192</v>
      </c>
      <c r="F408" s="47" t="s">
        <v>192</v>
      </c>
    </row>
    <row r="409" spans="1:6">
      <c r="A409" s="142">
        <v>18665075371</v>
      </c>
      <c r="B409" s="142" t="s">
        <v>1682</v>
      </c>
      <c r="C409" s="142" t="s">
        <v>873</v>
      </c>
      <c r="D409" s="142" t="s">
        <v>1683</v>
      </c>
      <c r="E409" s="47" t="s">
        <v>192</v>
      </c>
      <c r="F409" s="47" t="s">
        <v>192</v>
      </c>
    </row>
    <row r="410" spans="1:6">
      <c r="A410" s="142">
        <v>18665075775</v>
      </c>
      <c r="B410" s="142" t="s">
        <v>1684</v>
      </c>
      <c r="C410" s="142" t="s">
        <v>873</v>
      </c>
      <c r="D410" s="142" t="s">
        <v>1685</v>
      </c>
      <c r="E410" s="47" t="s">
        <v>192</v>
      </c>
      <c r="F410" s="47" t="s">
        <v>192</v>
      </c>
    </row>
    <row r="411" spans="1:6">
      <c r="A411" s="142">
        <v>18665430090</v>
      </c>
      <c r="B411" s="142" t="s">
        <v>1686</v>
      </c>
      <c r="C411" s="142" t="s">
        <v>873</v>
      </c>
      <c r="D411" s="142" t="s">
        <v>1687</v>
      </c>
      <c r="E411" s="47" t="s">
        <v>192</v>
      </c>
      <c r="F411" s="47" t="s">
        <v>192</v>
      </c>
    </row>
    <row r="412" spans="1:6">
      <c r="A412" s="142">
        <v>18665699900</v>
      </c>
      <c r="B412" s="142" t="s">
        <v>1688</v>
      </c>
      <c r="C412" s="142" t="s">
        <v>873</v>
      </c>
      <c r="D412" s="142" t="s">
        <v>1689</v>
      </c>
      <c r="E412" s="47" t="s">
        <v>192</v>
      </c>
      <c r="F412" s="47" t="s">
        <v>192</v>
      </c>
    </row>
    <row r="413" spans="1:6">
      <c r="A413" s="142" t="s">
        <v>1690</v>
      </c>
      <c r="B413" s="142" t="s">
        <v>1691</v>
      </c>
      <c r="C413" s="142" t="s">
        <v>873</v>
      </c>
      <c r="D413" s="142" t="s">
        <v>1689</v>
      </c>
      <c r="E413" s="47" t="s">
        <v>192</v>
      </c>
      <c r="F413" s="47" t="s">
        <v>192</v>
      </c>
    </row>
    <row r="414" spans="1:6">
      <c r="A414" s="142" t="s">
        <v>1692</v>
      </c>
      <c r="B414" s="142" t="s">
        <v>1693</v>
      </c>
      <c r="C414" s="142" t="s">
        <v>873</v>
      </c>
      <c r="D414" s="142" t="s">
        <v>1689</v>
      </c>
      <c r="E414" s="47" t="s">
        <v>192</v>
      </c>
      <c r="F414" s="47" t="s">
        <v>192</v>
      </c>
    </row>
    <row r="415" spans="1:6">
      <c r="A415" s="142">
        <v>18665908845</v>
      </c>
      <c r="B415" s="142" t="s">
        <v>1694</v>
      </c>
      <c r="C415" s="142" t="s">
        <v>873</v>
      </c>
      <c r="D415" s="142" t="s">
        <v>1695</v>
      </c>
      <c r="E415" s="47" t="s">
        <v>192</v>
      </c>
      <c r="F415" s="47" t="s">
        <v>192</v>
      </c>
    </row>
    <row r="416" spans="1:6">
      <c r="A416" s="142" t="s">
        <v>1696</v>
      </c>
      <c r="B416" s="142" t="s">
        <v>1697</v>
      </c>
      <c r="C416" s="142" t="s">
        <v>873</v>
      </c>
      <c r="D416" s="142" t="s">
        <v>1695</v>
      </c>
      <c r="E416" s="47" t="s">
        <v>192</v>
      </c>
      <c r="F416" s="47" t="s">
        <v>192</v>
      </c>
    </row>
    <row r="417" spans="1:6">
      <c r="A417" s="142" t="s">
        <v>1698</v>
      </c>
      <c r="B417" s="142" t="s">
        <v>1699</v>
      </c>
      <c r="C417" s="142" t="s">
        <v>873</v>
      </c>
      <c r="D417" s="142" t="s">
        <v>1695</v>
      </c>
      <c r="E417" s="47" t="s">
        <v>192</v>
      </c>
      <c r="F417" s="47" t="s">
        <v>192</v>
      </c>
    </row>
    <row r="418" spans="1:6">
      <c r="A418" s="142">
        <v>18665908847</v>
      </c>
      <c r="B418" s="142" t="s">
        <v>1700</v>
      </c>
      <c r="C418" s="142" t="s">
        <v>873</v>
      </c>
      <c r="D418" s="142" t="s">
        <v>1701</v>
      </c>
      <c r="E418" s="47" t="s">
        <v>192</v>
      </c>
      <c r="F418" s="47" t="s">
        <v>192</v>
      </c>
    </row>
    <row r="419" spans="1:6">
      <c r="A419" s="142">
        <v>18666503660</v>
      </c>
      <c r="B419" s="142" t="s">
        <v>1702</v>
      </c>
      <c r="C419" s="142" t="s">
        <v>876</v>
      </c>
      <c r="D419" s="142" t="s">
        <v>1703</v>
      </c>
      <c r="E419" s="47" t="s">
        <v>192</v>
      </c>
      <c r="F419" s="47" t="s">
        <v>192</v>
      </c>
    </row>
    <row r="420" spans="1:6">
      <c r="A420" s="142">
        <v>18666721964</v>
      </c>
      <c r="B420" s="142" t="s">
        <v>1704</v>
      </c>
      <c r="C420" s="142" t="s">
        <v>873</v>
      </c>
      <c r="D420" s="142" t="s">
        <v>1705</v>
      </c>
      <c r="E420" s="47" t="s">
        <v>192</v>
      </c>
      <c r="F420" s="47" t="s">
        <v>192</v>
      </c>
    </row>
    <row r="421" spans="1:6">
      <c r="A421" s="142" t="s">
        <v>1706</v>
      </c>
      <c r="B421" s="142" t="s">
        <v>1707</v>
      </c>
      <c r="C421" s="142" t="s">
        <v>873</v>
      </c>
      <c r="D421" s="142" t="s">
        <v>1705</v>
      </c>
      <c r="E421" s="47" t="s">
        <v>192</v>
      </c>
      <c r="F421" s="47" t="s">
        <v>192</v>
      </c>
    </row>
    <row r="422" spans="1:6">
      <c r="A422" s="142" t="s">
        <v>1708</v>
      </c>
      <c r="B422" s="142" t="s">
        <v>1709</v>
      </c>
      <c r="C422" s="142" t="s">
        <v>873</v>
      </c>
      <c r="D422" s="142" t="s">
        <v>1705</v>
      </c>
      <c r="E422" s="47" t="s">
        <v>192</v>
      </c>
      <c r="F422" s="47" t="s">
        <v>192</v>
      </c>
    </row>
    <row r="423" spans="1:6">
      <c r="A423" s="142">
        <v>18666984380</v>
      </c>
      <c r="B423" s="142" t="s">
        <v>1710</v>
      </c>
      <c r="C423" s="142" t="s">
        <v>876</v>
      </c>
      <c r="D423" s="142" t="s">
        <v>1711</v>
      </c>
      <c r="E423" s="47" t="s">
        <v>192</v>
      </c>
      <c r="F423" s="47" t="s">
        <v>192</v>
      </c>
    </row>
    <row r="424" spans="1:6">
      <c r="A424" s="142">
        <v>18668724015</v>
      </c>
      <c r="B424" s="142" t="s">
        <v>1712</v>
      </c>
      <c r="C424" s="142" t="s">
        <v>876</v>
      </c>
      <c r="D424" s="142" t="s">
        <v>1713</v>
      </c>
      <c r="E424" s="47" t="s">
        <v>192</v>
      </c>
      <c r="F424" s="47" t="s">
        <v>192</v>
      </c>
    </row>
    <row r="425" spans="1:6">
      <c r="A425" s="142">
        <v>18669338329</v>
      </c>
      <c r="B425" s="142" t="s">
        <v>1714</v>
      </c>
      <c r="C425" s="142" t="s">
        <v>873</v>
      </c>
      <c r="D425" s="142" t="s">
        <v>1715</v>
      </c>
      <c r="E425" s="47" t="s">
        <v>192</v>
      </c>
      <c r="F425" s="47" t="s">
        <v>192</v>
      </c>
    </row>
    <row r="426" spans="1:6">
      <c r="A426" s="142">
        <v>18669983886</v>
      </c>
      <c r="B426" s="142" t="s">
        <v>1716</v>
      </c>
      <c r="C426" s="142" t="s">
        <v>873</v>
      </c>
      <c r="D426" s="142" t="s">
        <v>1717</v>
      </c>
      <c r="E426" s="47" t="s">
        <v>192</v>
      </c>
      <c r="F426" s="47" t="s">
        <v>192</v>
      </c>
    </row>
    <row r="427" spans="1:6">
      <c r="A427" s="142">
        <v>18669988397</v>
      </c>
      <c r="B427" s="142" t="s">
        <v>1718</v>
      </c>
      <c r="C427" s="142" t="s">
        <v>873</v>
      </c>
      <c r="D427" s="142" t="s">
        <v>1719</v>
      </c>
      <c r="E427" s="47" t="s">
        <v>192</v>
      </c>
      <c r="F427" s="47" t="s">
        <v>192</v>
      </c>
    </row>
    <row r="428" spans="1:6">
      <c r="A428" s="142">
        <v>18773211235</v>
      </c>
      <c r="B428" s="142" t="s">
        <v>1720</v>
      </c>
      <c r="C428" s="142" t="s">
        <v>873</v>
      </c>
      <c r="D428" s="142" t="s">
        <v>1721</v>
      </c>
      <c r="E428" s="47" t="s">
        <v>192</v>
      </c>
      <c r="F428" s="47" t="s">
        <v>192</v>
      </c>
    </row>
    <row r="429" spans="1:6">
      <c r="A429" s="142">
        <v>18773674811</v>
      </c>
      <c r="B429" s="142" t="s">
        <v>1722</v>
      </c>
      <c r="C429" s="142" t="s">
        <v>876</v>
      </c>
      <c r="D429" s="142" t="s">
        <v>1723</v>
      </c>
      <c r="E429" s="47" t="s">
        <v>192</v>
      </c>
      <c r="F429" s="47" t="s">
        <v>192</v>
      </c>
    </row>
    <row r="430" spans="1:6">
      <c r="A430" s="142">
        <v>18773937363</v>
      </c>
      <c r="B430" s="142" t="s">
        <v>1724</v>
      </c>
      <c r="C430" s="142" t="s">
        <v>876</v>
      </c>
      <c r="D430" s="142" t="s">
        <v>1725</v>
      </c>
      <c r="E430" s="47" t="s">
        <v>192</v>
      </c>
      <c r="F430" s="47" t="s">
        <v>192</v>
      </c>
    </row>
    <row r="431" spans="1:6">
      <c r="A431" s="142">
        <v>18773946711</v>
      </c>
      <c r="B431" s="142" t="s">
        <v>1726</v>
      </c>
      <c r="C431" s="142" t="s">
        <v>873</v>
      </c>
      <c r="D431" s="142" t="s">
        <v>1727</v>
      </c>
      <c r="E431" s="47" t="s">
        <v>192</v>
      </c>
      <c r="F431" s="47" t="s">
        <v>192</v>
      </c>
    </row>
    <row r="432" spans="1:6">
      <c r="A432" s="142">
        <v>18773946717</v>
      </c>
      <c r="B432" s="142" t="s">
        <v>1728</v>
      </c>
      <c r="C432" s="142" t="s">
        <v>873</v>
      </c>
      <c r="D432" s="142" t="s">
        <v>1729</v>
      </c>
      <c r="E432" s="47" t="s">
        <v>192</v>
      </c>
      <c r="F432" s="47" t="s">
        <v>192</v>
      </c>
    </row>
    <row r="433" spans="1:6">
      <c r="A433" s="142">
        <v>18774398926</v>
      </c>
      <c r="B433" s="142" t="s">
        <v>1730</v>
      </c>
      <c r="C433" s="142" t="s">
        <v>876</v>
      </c>
      <c r="D433" s="142" t="s">
        <v>1731</v>
      </c>
      <c r="E433" s="47" t="s">
        <v>192</v>
      </c>
      <c r="F433" s="47" t="s">
        <v>192</v>
      </c>
    </row>
    <row r="434" spans="1:6">
      <c r="A434" s="142">
        <v>18775002380</v>
      </c>
      <c r="B434" s="142" t="s">
        <v>1732</v>
      </c>
      <c r="C434" s="142" t="s">
        <v>876</v>
      </c>
      <c r="D434" s="142" t="s">
        <v>1733</v>
      </c>
      <c r="E434" s="47" t="s">
        <v>192</v>
      </c>
      <c r="F434" s="47" t="s">
        <v>192</v>
      </c>
    </row>
    <row r="435" spans="1:6">
      <c r="A435" s="142">
        <v>18775002386</v>
      </c>
      <c r="B435" s="142" t="s">
        <v>1734</v>
      </c>
      <c r="C435" s="142" t="s">
        <v>873</v>
      </c>
      <c r="D435" s="142" t="s">
        <v>1735</v>
      </c>
      <c r="E435" s="47" t="s">
        <v>192</v>
      </c>
      <c r="F435" s="47" t="s">
        <v>192</v>
      </c>
    </row>
    <row r="436" spans="1:6">
      <c r="A436" s="142">
        <v>18775002388</v>
      </c>
      <c r="B436" s="142" t="s">
        <v>1736</v>
      </c>
      <c r="C436" s="142" t="s">
        <v>876</v>
      </c>
      <c r="D436" s="142" t="s">
        <v>1737</v>
      </c>
      <c r="E436" s="47" t="s">
        <v>192</v>
      </c>
      <c r="F436" s="47" t="s">
        <v>192</v>
      </c>
    </row>
    <row r="437" spans="1:6">
      <c r="A437" s="142">
        <v>18775277006</v>
      </c>
      <c r="B437" s="142" t="s">
        <v>1738</v>
      </c>
      <c r="C437" s="142" t="s">
        <v>876</v>
      </c>
      <c r="D437" s="142" t="s">
        <v>1739</v>
      </c>
      <c r="E437" s="47" t="s">
        <v>192</v>
      </c>
      <c r="F437" s="47" t="s">
        <v>192</v>
      </c>
    </row>
    <row r="438" spans="1:6">
      <c r="A438" s="142">
        <v>18775415415</v>
      </c>
      <c r="B438" s="142" t="s">
        <v>1740</v>
      </c>
      <c r="C438" s="142" t="s">
        <v>873</v>
      </c>
      <c r="D438" s="142" t="s">
        <v>1741</v>
      </c>
      <c r="E438" s="47" t="s">
        <v>192</v>
      </c>
      <c r="F438" s="47" t="s">
        <v>192</v>
      </c>
    </row>
    <row r="439" spans="1:6">
      <c r="A439" s="142">
        <v>18775539472</v>
      </c>
      <c r="B439" s="142" t="s">
        <v>1742</v>
      </c>
      <c r="C439" s="142" t="s">
        <v>873</v>
      </c>
      <c r="D439" s="142" t="s">
        <v>1743</v>
      </c>
      <c r="E439" s="47" t="s">
        <v>192</v>
      </c>
      <c r="F439" s="47" t="s">
        <v>192</v>
      </c>
    </row>
    <row r="440" spans="1:6">
      <c r="A440" s="142">
        <v>18776931087</v>
      </c>
      <c r="B440" s="142" t="s">
        <v>1744</v>
      </c>
      <c r="C440" s="142" t="s">
        <v>873</v>
      </c>
      <c r="D440" s="142" t="s">
        <v>1745</v>
      </c>
      <c r="E440" s="47" t="s">
        <v>192</v>
      </c>
      <c r="F440" s="47" t="s">
        <v>192</v>
      </c>
    </row>
    <row r="441" spans="1:6">
      <c r="A441" s="142">
        <v>18777291284</v>
      </c>
      <c r="B441" s="142" t="s">
        <v>1746</v>
      </c>
      <c r="C441" s="142" t="s">
        <v>873</v>
      </c>
      <c r="D441" s="142" t="s">
        <v>1747</v>
      </c>
      <c r="E441" s="47" t="s">
        <v>192</v>
      </c>
      <c r="F441" s="47" t="s">
        <v>192</v>
      </c>
    </row>
    <row r="442" spans="1:6">
      <c r="A442" s="142">
        <v>18777297617</v>
      </c>
      <c r="B442" s="142" t="s">
        <v>1748</v>
      </c>
      <c r="C442" s="142" t="s">
        <v>873</v>
      </c>
      <c r="D442" s="142" t="s">
        <v>1749</v>
      </c>
      <c r="E442" s="47" t="s">
        <v>192</v>
      </c>
      <c r="F442" s="47" t="s">
        <v>192</v>
      </c>
    </row>
    <row r="443" spans="1:6">
      <c r="A443" s="142">
        <v>18777345321</v>
      </c>
      <c r="B443" s="142" t="s">
        <v>1750</v>
      </c>
      <c r="C443" s="142" t="s">
        <v>876</v>
      </c>
      <c r="D443" s="142" t="s">
        <v>1751</v>
      </c>
      <c r="E443" s="47" t="s">
        <v>192</v>
      </c>
      <c r="F443" s="47" t="s">
        <v>192</v>
      </c>
    </row>
    <row r="444" spans="1:6">
      <c r="A444" s="142">
        <v>18778148970</v>
      </c>
      <c r="B444" s="142" t="s">
        <v>1752</v>
      </c>
      <c r="C444" s="142" t="s">
        <v>876</v>
      </c>
      <c r="D444" s="142" t="s">
        <v>1753</v>
      </c>
      <c r="E444" s="47" t="s">
        <v>192</v>
      </c>
      <c r="F444" s="47" t="s">
        <v>192</v>
      </c>
    </row>
    <row r="445" spans="1:6">
      <c r="A445" s="142">
        <v>18778957928</v>
      </c>
      <c r="B445" s="142" t="s">
        <v>1754</v>
      </c>
      <c r="C445" s="142" t="s">
        <v>873</v>
      </c>
      <c r="D445" s="142" t="s">
        <v>1755</v>
      </c>
      <c r="E445" s="47" t="s">
        <v>192</v>
      </c>
      <c r="F445" s="47" t="s">
        <v>192</v>
      </c>
    </row>
    <row r="446" spans="1:6">
      <c r="A446" s="142">
        <v>18778995912</v>
      </c>
      <c r="B446" s="142" t="s">
        <v>1756</v>
      </c>
      <c r="C446" s="142" t="s">
        <v>873</v>
      </c>
      <c r="D446" s="142" t="s">
        <v>1757</v>
      </c>
      <c r="E446" s="47" t="s">
        <v>192</v>
      </c>
      <c r="F446" s="47" t="s">
        <v>192</v>
      </c>
    </row>
    <row r="447" spans="1:6">
      <c r="A447" s="142">
        <v>18882149005</v>
      </c>
      <c r="B447" s="142" t="s">
        <v>1758</v>
      </c>
      <c r="C447" s="142" t="s">
        <v>876</v>
      </c>
      <c r="D447" s="142" t="s">
        <v>1759</v>
      </c>
      <c r="E447" s="47" t="s">
        <v>192</v>
      </c>
      <c r="F447" s="47" t="s">
        <v>192</v>
      </c>
    </row>
    <row r="448" spans="1:6">
      <c r="A448" s="142">
        <v>18882433429</v>
      </c>
      <c r="B448" s="142" t="s">
        <v>1760</v>
      </c>
      <c r="C448" s="142" t="s">
        <v>873</v>
      </c>
      <c r="D448" s="142" t="s">
        <v>1761</v>
      </c>
      <c r="E448" s="47" t="s">
        <v>192</v>
      </c>
      <c r="F448" s="47" t="s">
        <v>192</v>
      </c>
    </row>
    <row r="449" spans="1:6">
      <c r="A449" s="142">
        <v>18882434578</v>
      </c>
      <c r="B449" s="142" t="s">
        <v>1762</v>
      </c>
      <c r="C449" s="142" t="s">
        <v>873</v>
      </c>
      <c r="D449" s="142" t="s">
        <v>1763</v>
      </c>
      <c r="E449" s="47" t="s">
        <v>192</v>
      </c>
      <c r="F449" s="47" t="s">
        <v>192</v>
      </c>
    </row>
    <row r="450" spans="1:6">
      <c r="A450" s="142">
        <v>18882434657</v>
      </c>
      <c r="B450" s="142" t="s">
        <v>1764</v>
      </c>
      <c r="C450" s="142" t="s">
        <v>873</v>
      </c>
      <c r="D450" s="142" t="s">
        <v>1765</v>
      </c>
      <c r="E450" s="47" t="s">
        <v>192</v>
      </c>
      <c r="F450" s="47" t="s">
        <v>192</v>
      </c>
    </row>
    <row r="451" spans="1:6">
      <c r="A451" s="142">
        <v>18882757473</v>
      </c>
      <c r="B451" s="142" t="s">
        <v>1766</v>
      </c>
      <c r="C451" s="142" t="s">
        <v>873</v>
      </c>
      <c r="D451" s="142" t="s">
        <v>1767</v>
      </c>
      <c r="E451" s="47" t="s">
        <v>192</v>
      </c>
      <c r="F451" s="47" t="s">
        <v>192</v>
      </c>
    </row>
    <row r="452" spans="1:6">
      <c r="A452" s="142" t="s">
        <v>1768</v>
      </c>
      <c r="B452" s="142" t="s">
        <v>1769</v>
      </c>
      <c r="C452" s="142" t="s">
        <v>873</v>
      </c>
      <c r="D452" s="142" t="s">
        <v>1767</v>
      </c>
      <c r="E452" s="47" t="s">
        <v>192</v>
      </c>
      <c r="F452" s="47" t="s">
        <v>192</v>
      </c>
    </row>
    <row r="453" spans="1:6">
      <c r="A453" s="142">
        <v>18884560381</v>
      </c>
      <c r="B453" s="142" t="s">
        <v>1770</v>
      </c>
      <c r="C453" s="142" t="s">
        <v>876</v>
      </c>
      <c r="D453" s="142" t="s">
        <v>1771</v>
      </c>
      <c r="E453" s="47" t="s">
        <v>192</v>
      </c>
      <c r="F453" s="47" t="s">
        <v>192</v>
      </c>
    </row>
    <row r="454" spans="1:6">
      <c r="A454" s="142">
        <v>18884827302</v>
      </c>
      <c r="B454" s="142" t="s">
        <v>1772</v>
      </c>
      <c r="C454" s="142" t="s">
        <v>873</v>
      </c>
      <c r="D454" s="142" t="s">
        <v>1773</v>
      </c>
      <c r="E454" s="47" t="s">
        <v>192</v>
      </c>
      <c r="F454" s="47" t="s">
        <v>192</v>
      </c>
    </row>
    <row r="455" spans="1:6">
      <c r="A455" s="142">
        <v>18884827342</v>
      </c>
      <c r="B455" s="142" t="s">
        <v>1774</v>
      </c>
      <c r="C455" s="142" t="s">
        <v>873</v>
      </c>
      <c r="D455" s="142" t="s">
        <v>1775</v>
      </c>
      <c r="E455" s="47" t="s">
        <v>192</v>
      </c>
      <c r="F455" s="47" t="s">
        <v>192</v>
      </c>
    </row>
    <row r="456" spans="1:6">
      <c r="A456" s="142" t="s">
        <v>1776</v>
      </c>
      <c r="B456" s="142" t="s">
        <v>1777</v>
      </c>
      <c r="C456" s="142" t="s">
        <v>873</v>
      </c>
      <c r="D456" s="142" t="s">
        <v>1775</v>
      </c>
      <c r="E456" s="47" t="s">
        <v>192</v>
      </c>
      <c r="F456" s="47" t="s">
        <v>192</v>
      </c>
    </row>
    <row r="457" spans="1:6">
      <c r="A457" s="142" t="s">
        <v>1778</v>
      </c>
      <c r="B457" s="142" t="s">
        <v>1779</v>
      </c>
      <c r="C457" s="142" t="s">
        <v>873</v>
      </c>
      <c r="D457" s="142" t="s">
        <v>1775</v>
      </c>
      <c r="E457" s="47" t="s">
        <v>192</v>
      </c>
      <c r="F457" s="47" t="s">
        <v>192</v>
      </c>
    </row>
    <row r="458" spans="1:6">
      <c r="A458" s="142" t="s">
        <v>1780</v>
      </c>
      <c r="B458" s="142" t="s">
        <v>1781</v>
      </c>
      <c r="C458" s="142" t="s">
        <v>873</v>
      </c>
      <c r="D458" s="142" t="s">
        <v>1775</v>
      </c>
      <c r="E458" s="47" t="s">
        <v>192</v>
      </c>
      <c r="F458" s="47" t="s">
        <v>192</v>
      </c>
    </row>
    <row r="459" spans="1:6">
      <c r="A459" s="142">
        <v>18885058743</v>
      </c>
      <c r="B459" s="142" t="s">
        <v>1782</v>
      </c>
      <c r="C459" s="142" t="s">
        <v>876</v>
      </c>
      <c r="D459" s="142" t="s">
        <v>1783</v>
      </c>
      <c r="E459" s="47" t="s">
        <v>192</v>
      </c>
      <c r="F459" s="47" t="s">
        <v>192</v>
      </c>
    </row>
    <row r="460" spans="1:6">
      <c r="A460" s="142" t="s">
        <v>1784</v>
      </c>
      <c r="B460" s="142" t="s">
        <v>1785</v>
      </c>
      <c r="C460" s="142" t="s">
        <v>876</v>
      </c>
      <c r="D460" s="142" t="s">
        <v>1783</v>
      </c>
      <c r="E460" s="47" t="s">
        <v>192</v>
      </c>
      <c r="F460" s="47" t="s">
        <v>192</v>
      </c>
    </row>
    <row r="461" spans="1:6">
      <c r="A461" s="142" t="s">
        <v>1786</v>
      </c>
      <c r="B461" s="142" t="s">
        <v>1787</v>
      </c>
      <c r="C461" s="142" t="s">
        <v>876</v>
      </c>
      <c r="D461" s="142" t="s">
        <v>1783</v>
      </c>
      <c r="E461" s="47" t="s">
        <v>192</v>
      </c>
      <c r="F461" s="47" t="s">
        <v>192</v>
      </c>
    </row>
    <row r="462" spans="1:6">
      <c r="A462" s="142">
        <v>18885845830</v>
      </c>
      <c r="B462" s="142" t="s">
        <v>1788</v>
      </c>
      <c r="C462" s="142" t="s">
        <v>873</v>
      </c>
      <c r="D462" s="142" t="s">
        <v>1789</v>
      </c>
      <c r="E462" s="47" t="s">
        <v>192</v>
      </c>
      <c r="F462" s="47" t="s">
        <v>192</v>
      </c>
    </row>
    <row r="463" spans="1:6">
      <c r="A463" s="142">
        <v>18886000003</v>
      </c>
      <c r="B463" s="142" t="s">
        <v>1790</v>
      </c>
      <c r="C463" s="142" t="s">
        <v>873</v>
      </c>
      <c r="D463" s="142" t="s">
        <v>1791</v>
      </c>
      <c r="E463" s="47" t="s">
        <v>192</v>
      </c>
      <c r="F463" s="47" t="s">
        <v>192</v>
      </c>
    </row>
    <row r="464" spans="1:6">
      <c r="A464" s="142">
        <v>18886001700</v>
      </c>
      <c r="B464" s="142" t="s">
        <v>1792</v>
      </c>
      <c r="C464" s="142" t="s">
        <v>873</v>
      </c>
      <c r="D464" s="142" t="s">
        <v>1793</v>
      </c>
      <c r="E464" s="47" t="s">
        <v>192</v>
      </c>
      <c r="F464" s="47" t="s">
        <v>192</v>
      </c>
    </row>
    <row r="465" spans="1:6">
      <c r="A465" s="142" t="s">
        <v>1794</v>
      </c>
      <c r="B465" s="142" t="s">
        <v>1795</v>
      </c>
      <c r="C465" s="142" t="s">
        <v>873</v>
      </c>
      <c r="D465" s="142" t="s">
        <v>1793</v>
      </c>
      <c r="E465" s="47" t="s">
        <v>192</v>
      </c>
      <c r="F465" s="47" t="s">
        <v>192</v>
      </c>
    </row>
    <row r="466" spans="1:6">
      <c r="A466" s="142">
        <v>18886002580</v>
      </c>
      <c r="B466" s="142" t="s">
        <v>1796</v>
      </c>
      <c r="C466" s="142" t="s">
        <v>873</v>
      </c>
      <c r="D466" s="142" t="s">
        <v>1797</v>
      </c>
      <c r="E466" s="47" t="s">
        <v>192</v>
      </c>
      <c r="F466" s="47" t="s">
        <v>192</v>
      </c>
    </row>
    <row r="467" spans="1:6">
      <c r="A467" s="142">
        <v>18886004667</v>
      </c>
      <c r="B467" s="142" t="s">
        <v>1798</v>
      </c>
      <c r="C467" s="142" t="s">
        <v>876</v>
      </c>
      <c r="D467" s="142" t="s">
        <v>1799</v>
      </c>
      <c r="E467" s="47" t="s">
        <v>192</v>
      </c>
      <c r="F467" s="47" t="s">
        <v>192</v>
      </c>
    </row>
    <row r="468" spans="1:6">
      <c r="A468" s="142">
        <v>18886009200</v>
      </c>
      <c r="B468" s="142" t="s">
        <v>1800</v>
      </c>
      <c r="C468" s="142" t="s">
        <v>873</v>
      </c>
      <c r="D468" s="142" t="s">
        <v>1801</v>
      </c>
      <c r="E468" s="47" t="s">
        <v>192</v>
      </c>
      <c r="F468" s="47" t="s">
        <v>192</v>
      </c>
    </row>
    <row r="469" spans="1:6">
      <c r="A469" s="142">
        <v>18886182016</v>
      </c>
      <c r="B469" s="142" t="s">
        <v>1802</v>
      </c>
      <c r="C469" s="142" t="s">
        <v>873</v>
      </c>
      <c r="D469" s="142" t="s">
        <v>1803</v>
      </c>
      <c r="E469" s="47" t="s">
        <v>192</v>
      </c>
      <c r="F469" s="47" t="s">
        <v>192</v>
      </c>
    </row>
    <row r="470" spans="1:6">
      <c r="A470" s="142" t="s">
        <v>1804</v>
      </c>
      <c r="B470" s="142" t="s">
        <v>1805</v>
      </c>
      <c r="C470" s="142" t="s">
        <v>873</v>
      </c>
      <c r="D470" s="142" t="s">
        <v>1803</v>
      </c>
      <c r="E470" s="47" t="s">
        <v>192</v>
      </c>
      <c r="F470" s="47" t="s">
        <v>192</v>
      </c>
    </row>
    <row r="471" spans="1:6">
      <c r="A471" s="142">
        <v>18886529319</v>
      </c>
      <c r="B471" s="142" t="s">
        <v>1806</v>
      </c>
      <c r="C471" s="142" t="s">
        <v>876</v>
      </c>
      <c r="D471" s="142" t="s">
        <v>1807</v>
      </c>
      <c r="E471" s="47" t="s">
        <v>192</v>
      </c>
      <c r="F471" s="47" t="s">
        <v>192</v>
      </c>
    </row>
    <row r="472" spans="1:6">
      <c r="A472" s="142">
        <v>18887150760</v>
      </c>
      <c r="B472" s="142" t="s">
        <v>1808</v>
      </c>
      <c r="C472" s="142" t="s">
        <v>876</v>
      </c>
      <c r="D472" s="142" t="s">
        <v>1809</v>
      </c>
      <c r="E472" s="47" t="s">
        <v>192</v>
      </c>
      <c r="F472" s="47" t="s">
        <v>192</v>
      </c>
    </row>
    <row r="473" spans="1:6">
      <c r="A473" s="142" t="s">
        <v>1810</v>
      </c>
      <c r="B473" s="142" t="s">
        <v>1811</v>
      </c>
      <c r="C473" s="142" t="s">
        <v>876</v>
      </c>
      <c r="D473" s="142" t="s">
        <v>1809</v>
      </c>
      <c r="E473" s="47" t="s">
        <v>192</v>
      </c>
      <c r="F473" s="47" t="s">
        <v>192</v>
      </c>
    </row>
    <row r="474" spans="1:6">
      <c r="A474" s="142">
        <v>18888896138</v>
      </c>
      <c r="B474" s="142" t="s">
        <v>1812</v>
      </c>
      <c r="C474" s="142" t="s">
        <v>876</v>
      </c>
      <c r="D474" s="142" t="s">
        <v>1813</v>
      </c>
      <c r="E474" s="47" t="s">
        <v>192</v>
      </c>
      <c r="F474" s="47" t="s">
        <v>192</v>
      </c>
    </row>
    <row r="475" spans="1:6">
      <c r="A475" s="142" t="s">
        <v>1814</v>
      </c>
      <c r="B475" s="142" t="s">
        <v>1815</v>
      </c>
      <c r="C475" s="142" t="s">
        <v>876</v>
      </c>
      <c r="D475" s="142" t="s">
        <v>1813</v>
      </c>
      <c r="E475" s="47" t="s">
        <v>192</v>
      </c>
      <c r="F475" s="47" t="s">
        <v>192</v>
      </c>
    </row>
    <row r="476" spans="1:6">
      <c r="A476" s="142">
        <v>19165636004</v>
      </c>
      <c r="B476" s="142" t="s">
        <v>1816</v>
      </c>
      <c r="C476" s="142" t="s">
        <v>876</v>
      </c>
      <c r="D476" s="142" t="s">
        <v>1817</v>
      </c>
      <c r="E476" s="47" t="s">
        <v>192</v>
      </c>
      <c r="F476" s="47" t="s">
        <v>192</v>
      </c>
    </row>
    <row r="477" spans="1:6">
      <c r="A477" s="142">
        <v>19169225000</v>
      </c>
      <c r="B477" s="142" t="s">
        <v>1818</v>
      </c>
      <c r="C477" s="142" t="s">
        <v>876</v>
      </c>
      <c r="D477" s="142" t="s">
        <v>1819</v>
      </c>
      <c r="E477" s="47" t="s">
        <v>192</v>
      </c>
      <c r="F477" s="47" t="s">
        <v>192</v>
      </c>
    </row>
    <row r="478" spans="1:6">
      <c r="A478" s="142" t="s">
        <v>1820</v>
      </c>
      <c r="B478" s="142" t="s">
        <v>1821</v>
      </c>
      <c r="C478" s="142" t="s">
        <v>876</v>
      </c>
      <c r="D478" s="142" t="s">
        <v>1819</v>
      </c>
      <c r="E478" s="47" t="s">
        <v>192</v>
      </c>
      <c r="F478" s="47" t="s">
        <v>192</v>
      </c>
    </row>
    <row r="479" spans="1:6">
      <c r="A479" s="142">
        <v>19207495696</v>
      </c>
      <c r="B479" s="142" t="s">
        <v>1822</v>
      </c>
      <c r="C479" s="142" t="s">
        <v>873</v>
      </c>
      <c r="D479" s="142" t="s">
        <v>1823</v>
      </c>
      <c r="E479" s="47" t="s">
        <v>192</v>
      </c>
      <c r="F479" s="47" t="s">
        <v>192</v>
      </c>
    </row>
    <row r="480" spans="1:6">
      <c r="A480" s="142">
        <v>19207496000</v>
      </c>
      <c r="B480" s="142" t="s">
        <v>1824</v>
      </c>
      <c r="C480" s="142" t="s">
        <v>873</v>
      </c>
      <c r="D480" s="142" t="s">
        <v>1825</v>
      </c>
      <c r="E480" s="47" t="s">
        <v>192</v>
      </c>
      <c r="F480" s="47" t="s">
        <v>192</v>
      </c>
    </row>
    <row r="481" spans="1:6">
      <c r="A481" s="142">
        <v>19207496003</v>
      </c>
      <c r="B481" s="142" t="s">
        <v>1826</v>
      </c>
      <c r="C481" s="142" t="s">
        <v>876</v>
      </c>
      <c r="D481" s="142" t="s">
        <v>1827</v>
      </c>
      <c r="E481" s="47" t="s">
        <v>192</v>
      </c>
      <c r="F481" s="47" t="s">
        <v>192</v>
      </c>
    </row>
    <row r="482" spans="1:6">
      <c r="A482" s="142" t="s">
        <v>1828</v>
      </c>
      <c r="B482" s="142" t="s">
        <v>1829</v>
      </c>
      <c r="C482" s="142" t="s">
        <v>876</v>
      </c>
      <c r="D482" s="142" t="s">
        <v>1827</v>
      </c>
      <c r="E482" s="47" t="s">
        <v>192</v>
      </c>
      <c r="F482" s="47" t="s">
        <v>192</v>
      </c>
    </row>
    <row r="483" spans="1:6">
      <c r="A483" s="180">
        <v>16101990025</v>
      </c>
      <c r="B483" s="180" t="s">
        <v>1830</v>
      </c>
      <c r="C483" s="180" t="s">
        <v>873</v>
      </c>
      <c r="D483" s="181" t="s">
        <v>1831</v>
      </c>
      <c r="E483" s="182" t="s">
        <v>204</v>
      </c>
      <c r="F483" s="182" t="s">
        <v>204</v>
      </c>
    </row>
    <row r="484" spans="1:6">
      <c r="A484" s="139">
        <v>18008734542</v>
      </c>
      <c r="B484" s="142" t="s">
        <v>1832</v>
      </c>
      <c r="C484" s="142" t="s">
        <v>873</v>
      </c>
      <c r="D484" s="139" t="s">
        <v>1831</v>
      </c>
      <c r="E484" s="47" t="s">
        <v>192</v>
      </c>
      <c r="F484" s="47" t="s">
        <v>192</v>
      </c>
    </row>
    <row r="485" spans="1:6">
      <c r="A485" s="142" t="s">
        <v>1833</v>
      </c>
      <c r="B485" s="142" t="s">
        <v>1834</v>
      </c>
      <c r="C485" s="142" t="s">
        <v>873</v>
      </c>
      <c r="D485" s="139" t="s">
        <v>1630</v>
      </c>
      <c r="E485" s="47" t="s">
        <v>192</v>
      </c>
      <c r="F485" s="47" t="s">
        <v>192</v>
      </c>
    </row>
    <row r="486" spans="1:6">
      <c r="A486" s="139">
        <v>15555559033</v>
      </c>
      <c r="B486" s="142" t="s">
        <v>1835</v>
      </c>
      <c r="C486" s="142" t="s">
        <v>873</v>
      </c>
      <c r="D486" s="139" t="s">
        <v>945</v>
      </c>
      <c r="E486" s="47" t="s">
        <v>192</v>
      </c>
      <c r="F486" s="47" t="s">
        <v>192</v>
      </c>
    </row>
    <row r="487" spans="1:6">
      <c r="A487" s="139" t="s">
        <v>1836</v>
      </c>
      <c r="B487" s="142" t="s">
        <v>1837</v>
      </c>
      <c r="C487" s="142" t="s">
        <v>873</v>
      </c>
      <c r="D487" s="139" t="s">
        <v>1594</v>
      </c>
      <c r="E487" s="47" t="s">
        <v>192</v>
      </c>
      <c r="F487" s="47" t="s">
        <v>192</v>
      </c>
    </row>
    <row r="488" spans="1:6">
      <c r="A488" s="139" t="s">
        <v>1838</v>
      </c>
      <c r="B488" s="142" t="s">
        <v>1839</v>
      </c>
      <c r="C488" s="142" t="s">
        <v>873</v>
      </c>
      <c r="D488" s="139" t="s">
        <v>1590</v>
      </c>
      <c r="E488" s="47" t="s">
        <v>192</v>
      </c>
      <c r="F488" s="47" t="s">
        <v>192</v>
      </c>
    </row>
    <row r="489" spans="1:6">
      <c r="A489" s="139" t="s">
        <v>1840</v>
      </c>
      <c r="B489" s="142" t="s">
        <v>1841</v>
      </c>
      <c r="C489" s="142" t="s">
        <v>873</v>
      </c>
      <c r="D489" s="139" t="s">
        <v>1564</v>
      </c>
      <c r="E489" s="47" t="s">
        <v>192</v>
      </c>
      <c r="F489" s="47" t="s">
        <v>192</v>
      </c>
    </row>
    <row r="490" spans="1:6">
      <c r="A490" s="139" t="s">
        <v>1842</v>
      </c>
      <c r="B490" s="142" t="s">
        <v>1843</v>
      </c>
      <c r="C490" s="142" t="s">
        <v>873</v>
      </c>
      <c r="D490" s="139" t="s">
        <v>1564</v>
      </c>
      <c r="E490" s="47" t="s">
        <v>192</v>
      </c>
      <c r="F490" s="47" t="s">
        <v>192</v>
      </c>
    </row>
    <row r="491" spans="1:6">
      <c r="A491" s="139" t="s">
        <v>1844</v>
      </c>
      <c r="B491" s="142" t="s">
        <v>1845</v>
      </c>
      <c r="C491" s="142" t="s">
        <v>873</v>
      </c>
      <c r="D491" s="139" t="s">
        <v>1681</v>
      </c>
      <c r="E491" s="47" t="s">
        <v>192</v>
      </c>
      <c r="F491" s="47" t="s">
        <v>192</v>
      </c>
    </row>
    <row r="492" spans="1:6">
      <c r="A492" s="139" t="s">
        <v>1846</v>
      </c>
      <c r="B492" s="142" t="s">
        <v>1847</v>
      </c>
      <c r="C492" s="142" t="s">
        <v>873</v>
      </c>
      <c r="D492" s="139" t="s">
        <v>1848</v>
      </c>
      <c r="E492" s="47" t="s">
        <v>192</v>
      </c>
      <c r="F492" s="47" t="s">
        <v>192</v>
      </c>
    </row>
    <row r="493" spans="1:6">
      <c r="A493" s="139" t="s">
        <v>1849</v>
      </c>
      <c r="B493" s="142" t="s">
        <v>1850</v>
      </c>
      <c r="C493" s="142" t="s">
        <v>873</v>
      </c>
      <c r="D493" s="139" t="s">
        <v>1735</v>
      </c>
      <c r="E493" s="47" t="s">
        <v>192</v>
      </c>
      <c r="F493" s="47" t="s">
        <v>192</v>
      </c>
    </row>
    <row r="494" spans="1:6">
      <c r="A494" s="139" t="s">
        <v>1851</v>
      </c>
      <c r="B494" s="142" t="s">
        <v>1852</v>
      </c>
      <c r="C494" s="142" t="s">
        <v>873</v>
      </c>
      <c r="D494" s="139" t="s">
        <v>1803</v>
      </c>
      <c r="E494" s="47" t="s">
        <v>192</v>
      </c>
      <c r="F494" s="47" t="s">
        <v>192</v>
      </c>
    </row>
    <row r="495" spans="1:6">
      <c r="A495" s="139" t="s">
        <v>1853</v>
      </c>
      <c r="B495" s="142" t="s">
        <v>1854</v>
      </c>
      <c r="C495" s="142" t="s">
        <v>873</v>
      </c>
      <c r="D495" s="139" t="s">
        <v>1558</v>
      </c>
      <c r="E495" s="47" t="s">
        <v>192</v>
      </c>
      <c r="F495" s="47" t="s">
        <v>192</v>
      </c>
    </row>
    <row r="496" spans="1:6">
      <c r="A496" s="138">
        <v>16101991029</v>
      </c>
      <c r="B496" s="138" t="s">
        <v>1855</v>
      </c>
      <c r="C496" s="142" t="s">
        <v>949</v>
      </c>
      <c r="D496" s="139" t="s">
        <v>1856</v>
      </c>
      <c r="E496" s="47" t="s">
        <v>192</v>
      </c>
      <c r="F496" s="47" t="s">
        <v>192</v>
      </c>
    </row>
    <row r="497" spans="1:6">
      <c r="A497" s="138">
        <v>16101991030</v>
      </c>
      <c r="B497" s="138" t="s">
        <v>1857</v>
      </c>
      <c r="C497" s="142" t="s">
        <v>949</v>
      </c>
      <c r="D497" s="139" t="s">
        <v>1858</v>
      </c>
      <c r="E497" s="47" t="s">
        <v>192</v>
      </c>
      <c r="F497" s="47" t="s">
        <v>192</v>
      </c>
    </row>
    <row r="498" spans="1:6">
      <c r="A498" s="138">
        <v>16101991031</v>
      </c>
      <c r="B498" s="138" t="s">
        <v>1859</v>
      </c>
      <c r="C498" s="142" t="s">
        <v>949</v>
      </c>
      <c r="D498" s="139" t="s">
        <v>1860</v>
      </c>
      <c r="E498" s="47" t="s">
        <v>192</v>
      </c>
      <c r="F498" s="47" t="s">
        <v>192</v>
      </c>
    </row>
    <row r="499" spans="1:6">
      <c r="A499" s="138">
        <v>16101991032</v>
      </c>
      <c r="B499" s="138" t="s">
        <v>1861</v>
      </c>
      <c r="C499" s="142" t="s">
        <v>949</v>
      </c>
      <c r="D499" s="139" t="s">
        <v>1862</v>
      </c>
      <c r="E499" s="47" t="s">
        <v>192</v>
      </c>
      <c r="F499" s="47" t="s">
        <v>192</v>
      </c>
    </row>
    <row r="500" spans="1:6">
      <c r="A500" s="138">
        <v>16101991033</v>
      </c>
      <c r="B500" s="138" t="s">
        <v>1863</v>
      </c>
      <c r="C500" s="142" t="s">
        <v>949</v>
      </c>
      <c r="D500" s="139" t="s">
        <v>1864</v>
      </c>
      <c r="E500" s="47" t="s">
        <v>192</v>
      </c>
      <c r="F500" s="47" t="s">
        <v>192</v>
      </c>
    </row>
    <row r="501" spans="1:6">
      <c r="A501" s="138">
        <v>16101991034</v>
      </c>
      <c r="B501" s="138" t="s">
        <v>1865</v>
      </c>
      <c r="C501" s="142" t="s">
        <v>949</v>
      </c>
      <c r="D501" s="139" t="s">
        <v>1866</v>
      </c>
      <c r="E501" s="47" t="s">
        <v>192</v>
      </c>
      <c r="F501" s="47" t="s">
        <v>192</v>
      </c>
    </row>
    <row r="502" spans="1:6">
      <c r="A502" s="138">
        <v>16101991035</v>
      </c>
      <c r="B502" s="138" t="s">
        <v>1867</v>
      </c>
      <c r="C502" s="142" t="s">
        <v>949</v>
      </c>
      <c r="D502" s="139" t="s">
        <v>1868</v>
      </c>
      <c r="E502" s="47" t="s">
        <v>192</v>
      </c>
      <c r="F502" s="47" t="s">
        <v>192</v>
      </c>
    </row>
  </sheetData>
  <autoFilter ref="A1:F482" xr:uid="{6ADFC639-AB6B-440F-BD10-22342B0002E4}"/>
  <conditionalFormatting sqref="A503:A1048576 A1:A2">
    <cfRule type="duplicateValues" dxfId="66" priority="68"/>
  </conditionalFormatting>
  <conditionalFormatting sqref="E3:F482">
    <cfRule type="cellIs" dxfId="65" priority="7" operator="equal">
      <formula>"Partial"</formula>
    </cfRule>
    <cfRule type="cellIs" dxfId="64" priority="8" operator="equal">
      <formula>"No"</formula>
    </cfRule>
    <cfRule type="cellIs" dxfId="63" priority="9" operator="equal">
      <formula>"Yes"</formula>
    </cfRule>
  </conditionalFormatting>
  <conditionalFormatting sqref="E484:F502">
    <cfRule type="cellIs" dxfId="62" priority="1" operator="equal">
      <formula>"Partial"</formula>
    </cfRule>
    <cfRule type="cellIs" dxfId="61" priority="2" operator="equal">
      <formula>"No"</formula>
    </cfRule>
    <cfRule type="cellIs" dxfId="60" priority="3" operator="equal">
      <formula>"Yes"</formula>
    </cfRule>
  </conditionalFormatting>
  <dataValidations count="1">
    <dataValidation type="list" allowBlank="1" showInputMessage="1" showErrorMessage="1" sqref="E3:F482 E484:F502" xr:uid="{9E092F33-8C8D-4FCA-9F6A-A1ADCCAF6F75}">
      <formula1>#REF!</formula1>
    </dataValidation>
  </dataValidations>
  <hyperlinks>
    <hyperlink ref="D1" r:id="rId1" display="https://help.mypurecloud.com/articles/about-external-contacts/" xr:uid="{7C30EDEA-0118-4530-AAC1-51C6FD4D8733}"/>
  </hyperlinks>
  <pageMargins left="0.7" right="0.7" top="0.75" bottom="0.75" header="0.3" footer="0.3"/>
  <pageSetup orientation="portrait"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2D1F3-D3AC-4F9B-B93D-38C57245916B}">
  <sheetPr>
    <tabColor rgb="FF0070C0"/>
  </sheetPr>
  <dimension ref="A1:BA265"/>
  <sheetViews>
    <sheetView zoomScaleNormal="100" workbookViewId="0">
      <pane xSplit="3" topLeftCell="X1" activePane="topRight" state="frozen"/>
      <selection pane="topRight"/>
    </sheetView>
  </sheetViews>
  <sheetFormatPr defaultColWidth="9.140625" defaultRowHeight="15" customHeight="1"/>
  <cols>
    <col min="1" max="1" width="14.42578125" customWidth="1"/>
    <col min="2" max="2" width="16" customWidth="1"/>
    <col min="3" max="3" width="21" style="46" customWidth="1"/>
    <col min="4" max="4" width="17.28515625" style="46" bestFit="1" customWidth="1"/>
    <col min="5" max="5" width="15.7109375" style="46" bestFit="1" customWidth="1"/>
    <col min="6" max="6" width="15.7109375" style="46" customWidth="1"/>
    <col min="7" max="7" width="15.7109375" style="46" bestFit="1" customWidth="1"/>
    <col min="8" max="8" width="18.7109375" style="46" bestFit="1" customWidth="1"/>
    <col min="9" max="9" width="12.42578125" style="46" customWidth="1"/>
    <col min="10" max="10" width="10.85546875" customWidth="1"/>
    <col min="11" max="11" width="18.28515625" bestFit="1" customWidth="1"/>
    <col min="12" max="12" width="10.85546875" customWidth="1"/>
    <col min="13" max="13" width="16.140625" bestFit="1" customWidth="1"/>
    <col min="14" max="16" width="16.140625" customWidth="1"/>
    <col min="17" max="17" width="26.140625" bestFit="1" customWidth="1"/>
    <col min="18" max="18" width="24.42578125" bestFit="1" customWidth="1"/>
    <col min="19" max="19" width="16.140625" customWidth="1"/>
    <col min="20" max="20" width="19.7109375" customWidth="1"/>
    <col min="21" max="21" width="9.85546875" customWidth="1"/>
    <col min="22" max="22" width="14.28515625" bestFit="1" customWidth="1"/>
    <col min="23" max="23" width="14.28515625" customWidth="1"/>
    <col min="24" max="24" width="11.5703125" bestFit="1" customWidth="1"/>
    <col min="25" max="48" width="12.28515625" customWidth="1"/>
    <col min="49" max="49" width="14.85546875" customWidth="1"/>
    <col min="50" max="50" width="13" customWidth="1"/>
    <col min="51" max="51" width="19.140625" customWidth="1"/>
    <col min="52" max="52" width="21.42578125" customWidth="1"/>
    <col min="53" max="53" width="26.42578125" customWidth="1"/>
  </cols>
  <sheetData>
    <row r="1" spans="1:53" ht="60">
      <c r="A1" s="33" t="s">
        <v>260</v>
      </c>
      <c r="B1" s="33" t="s">
        <v>228</v>
      </c>
      <c r="C1" s="45" t="s">
        <v>1869</v>
      </c>
      <c r="D1" s="45" t="s">
        <v>66</v>
      </c>
      <c r="E1" s="45" t="s">
        <v>1870</v>
      </c>
      <c r="F1" s="45" t="s">
        <v>1871</v>
      </c>
      <c r="G1" s="45" t="s">
        <v>1872</v>
      </c>
      <c r="H1" s="45" t="s">
        <v>1873</v>
      </c>
      <c r="I1" s="45" t="s">
        <v>1874</v>
      </c>
      <c r="J1" s="45" t="s">
        <v>1875</v>
      </c>
      <c r="K1" s="45" t="s">
        <v>1876</v>
      </c>
      <c r="L1" s="45" t="s">
        <v>1877</v>
      </c>
      <c r="M1" s="45" t="s">
        <v>1878</v>
      </c>
      <c r="N1" s="45" t="s">
        <v>2023</v>
      </c>
      <c r="O1" s="45" t="s">
        <v>2024</v>
      </c>
      <c r="P1" s="45" t="s">
        <v>2025</v>
      </c>
      <c r="Q1" s="45" t="s">
        <v>2030</v>
      </c>
      <c r="R1" s="45" t="s">
        <v>2026</v>
      </c>
      <c r="S1" s="45" t="s">
        <v>2022</v>
      </c>
      <c r="T1" s="118" t="s">
        <v>1879</v>
      </c>
      <c r="U1" s="119" t="s">
        <v>1880</v>
      </c>
      <c r="V1" s="118" t="s">
        <v>1881</v>
      </c>
      <c r="W1" s="118" t="s">
        <v>1882</v>
      </c>
      <c r="X1" s="118" t="s">
        <v>1883</v>
      </c>
      <c r="Y1" s="118" t="s">
        <v>1884</v>
      </c>
      <c r="Z1" s="120" t="s">
        <v>1885</v>
      </c>
      <c r="AA1" s="120" t="s">
        <v>1886</v>
      </c>
      <c r="AB1" s="120" t="s">
        <v>1887</v>
      </c>
      <c r="AC1" s="120" t="s">
        <v>1888</v>
      </c>
      <c r="AD1" s="121" t="s">
        <v>1889</v>
      </c>
      <c r="AE1" s="121" t="s">
        <v>1890</v>
      </c>
      <c r="AF1" s="121" t="s">
        <v>1891</v>
      </c>
      <c r="AG1" s="121" t="s">
        <v>1892</v>
      </c>
      <c r="AH1" s="121" t="s">
        <v>1893</v>
      </c>
      <c r="AI1" s="121" t="s">
        <v>1894</v>
      </c>
      <c r="AJ1" s="122" t="s">
        <v>1895</v>
      </c>
      <c r="AK1" s="122" t="s">
        <v>1896</v>
      </c>
      <c r="AL1" s="122" t="s">
        <v>1897</v>
      </c>
      <c r="AM1" s="122" t="s">
        <v>1898</v>
      </c>
      <c r="AN1" s="122" t="s">
        <v>1899</v>
      </c>
      <c r="AO1" s="122" t="s">
        <v>1900</v>
      </c>
      <c r="AP1" s="122" t="s">
        <v>1901</v>
      </c>
      <c r="AQ1" s="123" t="s">
        <v>1902</v>
      </c>
      <c r="AR1" s="123" t="s">
        <v>1903</v>
      </c>
      <c r="AS1" s="123" t="s">
        <v>1904</v>
      </c>
      <c r="AT1" s="123" t="s">
        <v>1905</v>
      </c>
      <c r="AU1" s="123" t="s">
        <v>1906</v>
      </c>
      <c r="AV1" s="123" t="s">
        <v>1907</v>
      </c>
      <c r="AW1" s="45" t="s">
        <v>1908</v>
      </c>
      <c r="AX1" s="45" t="s">
        <v>1909</v>
      </c>
      <c r="AY1" s="45" t="s">
        <v>1910</v>
      </c>
      <c r="AZ1" s="91" t="s">
        <v>1911</v>
      </c>
      <c r="BA1" s="45" t="s">
        <v>11</v>
      </c>
    </row>
    <row r="2" spans="1:53" ht="31.5" customHeight="1">
      <c r="A2" s="47"/>
      <c r="B2" s="47"/>
      <c r="C2" s="1" t="s">
        <v>1912</v>
      </c>
      <c r="D2" s="1"/>
      <c r="E2"/>
      <c r="F2" s="1"/>
      <c r="G2" s="1" t="s">
        <v>1913</v>
      </c>
      <c r="H2" s="1" t="s">
        <v>68</v>
      </c>
      <c r="I2" s="1" t="s">
        <v>1914</v>
      </c>
      <c r="J2" s="1"/>
      <c r="K2" t="s">
        <v>1915</v>
      </c>
      <c r="L2" s="1"/>
      <c r="M2" s="1" t="s">
        <v>1916</v>
      </c>
      <c r="N2" s="187" t="s">
        <v>2027</v>
      </c>
      <c r="O2" s="187">
        <v>5</v>
      </c>
      <c r="P2" s="187" t="s">
        <v>2028</v>
      </c>
      <c r="Q2" s="187" t="s">
        <v>2031</v>
      </c>
      <c r="R2" s="187" t="s">
        <v>2029</v>
      </c>
      <c r="S2" s="187"/>
      <c r="T2" s="1">
        <v>8</v>
      </c>
      <c r="U2" s="46"/>
      <c r="V2" s="46"/>
      <c r="W2" s="46"/>
      <c r="X2" s="46"/>
      <c r="Y2" s="46"/>
      <c r="Z2" s="46"/>
      <c r="AA2" s="46"/>
      <c r="AB2" s="46"/>
      <c r="AC2" s="46"/>
      <c r="AD2" s="46"/>
      <c r="AE2" s="46"/>
      <c r="AF2" s="46"/>
      <c r="AG2" s="46"/>
      <c r="AH2" s="46"/>
      <c r="AI2" s="46"/>
      <c r="AJ2" s="46"/>
      <c r="AK2" s="46"/>
      <c r="AL2" s="46"/>
      <c r="AM2" s="46"/>
      <c r="AN2" s="46"/>
      <c r="AO2" s="46"/>
      <c r="AP2" s="46"/>
      <c r="AQ2" s="46"/>
      <c r="AR2" s="46"/>
      <c r="AS2" s="46"/>
      <c r="AT2" s="46"/>
      <c r="AU2" s="46"/>
      <c r="AV2" s="46"/>
      <c r="AW2" s="46"/>
      <c r="AX2" s="46" t="s">
        <v>89</v>
      </c>
      <c r="AY2" s="46"/>
      <c r="AZ2" s="46" t="s">
        <v>89</v>
      </c>
      <c r="BA2" s="6"/>
    </row>
    <row r="3" spans="1:53">
      <c r="A3" s="47"/>
      <c r="B3" s="47"/>
      <c r="C3" s="1"/>
      <c r="D3" s="1"/>
      <c r="E3"/>
      <c r="F3" s="1"/>
      <c r="G3" s="1"/>
      <c r="H3" s="1"/>
      <c r="J3" s="46"/>
      <c r="L3" s="46"/>
      <c r="M3" s="46"/>
      <c r="N3" s="46"/>
      <c r="O3" s="46"/>
      <c r="P3" s="46"/>
      <c r="Q3" s="46"/>
      <c r="R3" s="46"/>
      <c r="S3" s="46"/>
      <c r="T3" s="46"/>
      <c r="AZ3" s="46"/>
    </row>
    <row r="4" spans="1:53">
      <c r="A4" s="47"/>
      <c r="B4" s="47"/>
      <c r="J4" s="46"/>
      <c r="L4" s="46"/>
      <c r="M4" s="46"/>
      <c r="N4" s="46"/>
      <c r="O4" s="46"/>
      <c r="P4" s="46"/>
      <c r="Q4" s="46"/>
      <c r="R4" s="46"/>
      <c r="S4" s="46"/>
      <c r="T4" s="46"/>
      <c r="AZ4" s="46"/>
      <c r="BA4" s="48"/>
    </row>
    <row r="5" spans="1:53">
      <c r="A5" s="47"/>
      <c r="B5" s="47"/>
      <c r="G5" s="161" t="s">
        <v>1917</v>
      </c>
      <c r="J5" s="46"/>
      <c r="L5" s="46"/>
      <c r="M5" s="46"/>
      <c r="N5" s="46"/>
      <c r="O5" s="46"/>
      <c r="P5" s="46"/>
      <c r="Q5" s="46"/>
      <c r="R5" s="46"/>
      <c r="S5" s="46"/>
      <c r="T5" s="46"/>
      <c r="AZ5" s="46"/>
      <c r="BA5" s="47"/>
    </row>
    <row r="6" spans="1:53">
      <c r="A6" s="47"/>
      <c r="B6" s="47"/>
      <c r="J6" s="46"/>
      <c r="L6" s="46"/>
      <c r="M6" s="46"/>
      <c r="N6" s="46"/>
      <c r="O6" s="46"/>
      <c r="P6" s="46"/>
      <c r="Q6" s="46"/>
      <c r="R6" s="46"/>
      <c r="S6" s="46"/>
      <c r="T6" s="46"/>
      <c r="AZ6" s="46"/>
      <c r="BA6" s="48"/>
    </row>
    <row r="7" spans="1:53">
      <c r="A7" s="47"/>
      <c r="B7" s="47"/>
      <c r="J7" s="46"/>
      <c r="L7" s="46"/>
      <c r="M7" s="46"/>
      <c r="N7" s="46"/>
      <c r="O7" s="46"/>
      <c r="P7" s="46"/>
      <c r="Q7" s="46"/>
      <c r="R7" s="46"/>
      <c r="S7" s="46"/>
      <c r="T7" s="46"/>
      <c r="AZ7" s="46"/>
      <c r="BA7" s="47"/>
    </row>
    <row r="8" spans="1:53">
      <c r="A8" s="47"/>
      <c r="B8" s="47"/>
      <c r="J8" s="46"/>
      <c r="L8" s="46"/>
      <c r="M8" s="46"/>
      <c r="N8" s="46"/>
      <c r="O8" s="46"/>
      <c r="P8" s="46"/>
      <c r="Q8" s="46"/>
      <c r="R8" s="46"/>
      <c r="S8" s="46"/>
      <c r="T8" s="46"/>
      <c r="AZ8" s="46"/>
      <c r="BA8" s="48"/>
    </row>
    <row r="9" spans="1:53">
      <c r="A9" s="47"/>
      <c r="B9" s="47"/>
      <c r="J9" s="46"/>
      <c r="L9" s="46"/>
      <c r="M9" s="46"/>
      <c r="N9" s="46"/>
      <c r="O9" s="46"/>
      <c r="P9" s="46"/>
      <c r="Q9" s="46"/>
      <c r="R9" s="46"/>
      <c r="S9" s="46"/>
      <c r="T9" s="46"/>
      <c r="AZ9" s="46"/>
      <c r="BA9" s="47"/>
    </row>
    <row r="10" spans="1:53">
      <c r="A10" s="47"/>
      <c r="B10" s="47"/>
      <c r="J10" s="46"/>
      <c r="L10" s="46"/>
      <c r="M10" s="46"/>
      <c r="N10" s="46"/>
      <c r="O10" s="46"/>
      <c r="P10" s="46"/>
      <c r="Q10" s="46"/>
      <c r="R10" s="46"/>
      <c r="S10" s="46"/>
      <c r="T10" s="46"/>
      <c r="AZ10" s="46"/>
      <c r="BA10" s="48"/>
    </row>
    <row r="11" spans="1:53">
      <c r="A11" s="47"/>
      <c r="B11" s="47"/>
      <c r="J11" s="46"/>
      <c r="L11" s="46"/>
      <c r="M11" s="46"/>
      <c r="N11" s="46"/>
      <c r="O11" s="46"/>
      <c r="P11" s="46"/>
      <c r="Q11" s="46"/>
      <c r="R11" s="46"/>
      <c r="S11" s="46"/>
      <c r="T11" s="46"/>
      <c r="AZ11" s="46"/>
      <c r="BA11" s="47"/>
    </row>
    <row r="12" spans="1:53">
      <c r="A12" s="47"/>
      <c r="B12" s="47"/>
      <c r="J12" s="46"/>
      <c r="L12" s="46"/>
      <c r="M12" s="46"/>
      <c r="N12" s="46"/>
      <c r="O12" s="46"/>
      <c r="P12" s="46"/>
      <c r="Q12" s="46"/>
      <c r="R12" s="46"/>
      <c r="S12" s="46"/>
      <c r="T12" s="46"/>
      <c r="AZ12" s="46"/>
      <c r="BA12" s="48"/>
    </row>
    <row r="13" spans="1:53">
      <c r="A13" s="47"/>
      <c r="B13" s="47"/>
      <c r="J13" s="46"/>
      <c r="L13" s="46"/>
      <c r="M13" s="46"/>
      <c r="N13" s="46"/>
      <c r="O13" s="46"/>
      <c r="P13" s="46"/>
      <c r="Q13" s="46"/>
      <c r="R13" s="46"/>
      <c r="S13" s="46"/>
      <c r="T13" s="46"/>
      <c r="AZ13" s="46"/>
      <c r="BA13" s="47"/>
    </row>
    <row r="14" spans="1:53">
      <c r="A14" s="47"/>
      <c r="B14" s="47"/>
      <c r="J14" s="46"/>
      <c r="L14" s="46"/>
      <c r="M14" s="46"/>
      <c r="N14" s="46"/>
      <c r="O14" s="46"/>
      <c r="P14" s="46"/>
      <c r="Q14" s="46"/>
      <c r="R14" s="46"/>
      <c r="S14" s="46"/>
      <c r="T14" s="46"/>
      <c r="AZ14" s="46"/>
      <c r="BA14" s="48"/>
    </row>
    <row r="15" spans="1:53">
      <c r="A15" s="47"/>
      <c r="B15" s="47"/>
      <c r="J15" s="46"/>
      <c r="L15" s="46"/>
      <c r="M15" s="46"/>
      <c r="N15" s="46"/>
      <c r="O15" s="46"/>
      <c r="P15" s="46"/>
      <c r="Q15" s="46"/>
      <c r="R15" s="46"/>
      <c r="S15" s="46"/>
      <c r="T15" s="46"/>
      <c r="AZ15" s="46"/>
      <c r="BA15" s="47"/>
    </row>
    <row r="16" spans="1:53">
      <c r="A16" s="47"/>
      <c r="B16" s="47"/>
      <c r="J16" s="46"/>
      <c r="L16" s="46"/>
      <c r="M16" s="46"/>
      <c r="N16" s="46"/>
      <c r="O16" s="46"/>
      <c r="P16" s="46"/>
      <c r="Q16" s="46"/>
      <c r="R16" s="46"/>
      <c r="S16" s="46"/>
      <c r="T16" s="46"/>
      <c r="AZ16" s="46"/>
      <c r="BA16" s="48"/>
    </row>
    <row r="17" spans="1:53">
      <c r="A17" s="47"/>
      <c r="B17" s="47"/>
      <c r="J17" s="46"/>
      <c r="L17" s="46"/>
      <c r="M17" s="46"/>
      <c r="N17" s="46"/>
      <c r="O17" s="46"/>
      <c r="P17" s="46"/>
      <c r="Q17" s="46"/>
      <c r="R17" s="46"/>
      <c r="S17" s="46"/>
      <c r="T17" s="46"/>
      <c r="AZ17" s="46"/>
      <c r="BA17" s="47"/>
    </row>
    <row r="18" spans="1:53">
      <c r="A18" s="47"/>
      <c r="B18" s="47"/>
      <c r="J18" s="46"/>
      <c r="L18" s="46"/>
      <c r="M18" s="46"/>
      <c r="N18" s="46"/>
      <c r="O18" s="46"/>
      <c r="P18" s="46"/>
      <c r="Q18" s="46"/>
      <c r="R18" s="46"/>
      <c r="S18" s="46"/>
      <c r="T18" s="46"/>
      <c r="AZ18" s="46"/>
      <c r="BA18" s="48"/>
    </row>
    <row r="19" spans="1:53">
      <c r="A19" s="47"/>
      <c r="B19" s="47"/>
      <c r="J19" s="46"/>
      <c r="L19" s="46"/>
      <c r="M19" s="46"/>
      <c r="N19" s="46"/>
      <c r="O19" s="46"/>
      <c r="P19" s="46"/>
      <c r="Q19" s="46"/>
      <c r="R19" s="46"/>
      <c r="S19" s="46"/>
      <c r="T19" s="46"/>
      <c r="AZ19" s="46"/>
      <c r="BA19" s="47"/>
    </row>
    <row r="20" spans="1:53">
      <c r="A20" s="47"/>
      <c r="B20" s="47"/>
      <c r="J20" s="46"/>
      <c r="L20" s="46"/>
      <c r="M20" s="46"/>
      <c r="N20" s="46"/>
      <c r="O20" s="46"/>
      <c r="P20" s="46"/>
      <c r="Q20" s="46"/>
      <c r="R20" s="46"/>
      <c r="S20" s="46"/>
      <c r="T20" s="46"/>
      <c r="AZ20" s="46"/>
      <c r="BA20" s="48"/>
    </row>
    <row r="21" spans="1:53" ht="15" customHeight="1">
      <c r="A21" s="47"/>
      <c r="B21" s="47"/>
      <c r="J21" s="46"/>
      <c r="L21" s="46"/>
      <c r="M21" s="46"/>
      <c r="N21" s="46"/>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c r="AN21" s="46"/>
      <c r="AO21" s="46"/>
      <c r="AP21" s="46"/>
      <c r="AQ21" s="46"/>
      <c r="AR21" s="46"/>
      <c r="AS21" s="46"/>
      <c r="AT21" s="46"/>
      <c r="AU21" s="46"/>
      <c r="AV21" s="46"/>
      <c r="AW21" s="46"/>
      <c r="AX21" s="46"/>
      <c r="AY21" s="46"/>
      <c r="AZ21" s="46"/>
    </row>
    <row r="22" spans="1:53" ht="15" customHeight="1">
      <c r="A22" s="47"/>
      <c r="B22" s="47"/>
      <c r="J22" s="46"/>
      <c r="L22" s="46"/>
      <c r="M22" s="46"/>
      <c r="N22" s="46"/>
      <c r="O22" s="46"/>
      <c r="P22" s="46"/>
      <c r="Q22" s="46"/>
      <c r="R22" s="46"/>
      <c r="S22" s="46"/>
      <c r="T22" s="46"/>
      <c r="U22" s="46"/>
      <c r="V22" s="46"/>
      <c r="W22" s="46"/>
      <c r="X22" s="46"/>
      <c r="Y22" s="46"/>
      <c r="Z22" s="46"/>
      <c r="AA22" s="46"/>
      <c r="AB22" s="46"/>
      <c r="AC22" s="46"/>
      <c r="AD22" s="46"/>
      <c r="AE22" s="46"/>
      <c r="AF22" s="46"/>
      <c r="AG22" s="46"/>
      <c r="AH22" s="46"/>
      <c r="AI22" s="46"/>
      <c r="AJ22" s="46"/>
      <c r="AK22" s="46"/>
      <c r="AL22" s="46"/>
      <c r="AM22" s="46"/>
      <c r="AN22" s="46"/>
      <c r="AO22" s="46"/>
      <c r="AP22" s="46"/>
      <c r="AQ22" s="46"/>
      <c r="AR22" s="46"/>
      <c r="AS22" s="46"/>
      <c r="AT22" s="46"/>
      <c r="AU22" s="46"/>
      <c r="AV22" s="46"/>
      <c r="AW22" s="46"/>
      <c r="AX22" s="46"/>
      <c r="AY22" s="46"/>
      <c r="AZ22" s="46"/>
    </row>
    <row r="23" spans="1:53">
      <c r="A23" s="47"/>
      <c r="B23" s="47"/>
      <c r="J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6"/>
      <c r="AP23" s="46"/>
      <c r="AQ23" s="46"/>
      <c r="AR23" s="46"/>
      <c r="AS23" s="46"/>
      <c r="AT23" s="46"/>
      <c r="AU23" s="46"/>
      <c r="AV23" s="46"/>
      <c r="AW23" s="46"/>
      <c r="AX23" s="46"/>
      <c r="AY23" s="46"/>
      <c r="AZ23" s="46"/>
    </row>
    <row r="24" spans="1:53" ht="15" customHeight="1">
      <c r="A24" s="47"/>
      <c r="B24" s="47"/>
      <c r="J24" s="46"/>
      <c r="L24" s="46"/>
      <c r="M24" s="46"/>
      <c r="N24" s="46"/>
      <c r="O24" s="46"/>
      <c r="P24" s="46"/>
      <c r="Q24" s="46"/>
      <c r="R24" s="46"/>
      <c r="S24" s="46"/>
      <c r="T24" s="46"/>
      <c r="U24" s="46"/>
      <c r="V24" s="46"/>
      <c r="W24" s="46"/>
      <c r="X24" s="46"/>
      <c r="Y24" s="46"/>
      <c r="Z24" s="46"/>
      <c r="AA24" s="46"/>
      <c r="AB24" s="46"/>
      <c r="AC24" s="46"/>
      <c r="AD24" s="46"/>
      <c r="AE24" s="46"/>
      <c r="AF24" s="46"/>
      <c r="AG24" s="46"/>
      <c r="AH24" s="46"/>
      <c r="AI24" s="46"/>
      <c r="AJ24" s="46"/>
      <c r="AK24" s="46"/>
      <c r="AL24" s="46"/>
      <c r="AM24" s="46"/>
      <c r="AN24" s="46"/>
      <c r="AO24" s="46"/>
      <c r="AP24" s="46"/>
      <c r="AQ24" s="46"/>
      <c r="AR24" s="46"/>
      <c r="AS24" s="46"/>
      <c r="AT24" s="46"/>
      <c r="AU24" s="46"/>
      <c r="AV24" s="46"/>
      <c r="AW24" s="46"/>
      <c r="AX24" s="46"/>
      <c r="AY24" s="46"/>
      <c r="AZ24" s="46"/>
    </row>
    <row r="25" spans="1:53" ht="15" customHeight="1">
      <c r="A25" s="47"/>
      <c r="B25" s="47"/>
      <c r="J25" s="46"/>
      <c r="L25" s="46"/>
      <c r="M25" s="46"/>
      <c r="N25" s="46"/>
      <c r="O25" s="46"/>
      <c r="P25" s="46"/>
      <c r="Q25" s="46"/>
      <c r="R25" s="46"/>
      <c r="S25" s="46"/>
      <c r="T25" s="46"/>
      <c r="U25" s="46"/>
      <c r="V25" s="46"/>
      <c r="W25" s="46"/>
      <c r="X25" s="46"/>
      <c r="Y25" s="46"/>
      <c r="Z25" s="46"/>
      <c r="AA25" s="46"/>
      <c r="AB25" s="46"/>
      <c r="AC25" s="46"/>
      <c r="AD25" s="46"/>
      <c r="AE25" s="46"/>
      <c r="AF25" s="46"/>
      <c r="AG25" s="46"/>
      <c r="AH25" s="46"/>
      <c r="AI25" s="46"/>
      <c r="AJ25" s="46"/>
      <c r="AK25" s="46"/>
      <c r="AL25" s="46"/>
      <c r="AM25" s="46"/>
      <c r="AN25" s="46"/>
      <c r="AO25" s="46"/>
      <c r="AP25" s="46"/>
      <c r="AQ25" s="46"/>
      <c r="AR25" s="46"/>
      <c r="AS25" s="46"/>
      <c r="AT25" s="46"/>
      <c r="AU25" s="46"/>
      <c r="AV25" s="46"/>
      <c r="AW25" s="46"/>
      <c r="AX25" s="46"/>
      <c r="AY25" s="46"/>
      <c r="AZ25" s="46"/>
    </row>
    <row r="26" spans="1:53" ht="15" customHeight="1">
      <c r="A26" s="47"/>
      <c r="B26" s="47"/>
      <c r="J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6"/>
      <c r="AP26" s="46"/>
      <c r="AQ26" s="46"/>
      <c r="AR26" s="46"/>
      <c r="AS26" s="46"/>
      <c r="AT26" s="46"/>
      <c r="AU26" s="46"/>
      <c r="AV26" s="46"/>
      <c r="AW26" s="46"/>
      <c r="AX26" s="46"/>
      <c r="AY26" s="46"/>
      <c r="AZ26" s="46"/>
    </row>
    <row r="27" spans="1:53" ht="15" customHeight="1">
      <c r="A27" s="47"/>
      <c r="B27" s="47"/>
      <c r="J27" s="46"/>
      <c r="L27" s="46"/>
      <c r="M27" s="46"/>
      <c r="N27" s="46"/>
      <c r="O27" s="46"/>
      <c r="P27" s="46"/>
      <c r="Q27" s="46"/>
      <c r="R27" s="46"/>
      <c r="S27" s="46"/>
      <c r="T27" s="46"/>
      <c r="U27" s="46"/>
      <c r="V27" s="46"/>
      <c r="W27" s="46"/>
      <c r="X27" s="46"/>
      <c r="Y27" s="46"/>
      <c r="Z27" s="46"/>
      <c r="AA27" s="46"/>
      <c r="AB27" s="46"/>
      <c r="AC27" s="46"/>
      <c r="AD27" s="46"/>
      <c r="AE27" s="46"/>
      <c r="AF27" s="46"/>
      <c r="AG27" s="46"/>
      <c r="AH27" s="46"/>
      <c r="AI27" s="46"/>
      <c r="AJ27" s="46"/>
      <c r="AK27" s="46"/>
      <c r="AL27" s="46"/>
      <c r="AM27" s="46"/>
      <c r="AN27" s="46"/>
      <c r="AO27" s="46"/>
      <c r="AP27" s="46"/>
      <c r="AQ27" s="46"/>
      <c r="AR27" s="46"/>
      <c r="AS27" s="46"/>
      <c r="AT27" s="46"/>
      <c r="AU27" s="46"/>
      <c r="AV27" s="46"/>
      <c r="AW27" s="46"/>
      <c r="AX27" s="46"/>
      <c r="AY27" s="46"/>
      <c r="AZ27" s="46"/>
    </row>
    <row r="28" spans="1:53" ht="15" customHeight="1">
      <c r="A28" s="47"/>
      <c r="B28" s="47"/>
      <c r="J28" s="46"/>
      <c r="L28" s="46"/>
      <c r="M28" s="46"/>
      <c r="N28" s="46"/>
      <c r="O28" s="46"/>
      <c r="P28" s="46"/>
      <c r="Q28" s="46"/>
      <c r="R28" s="46"/>
      <c r="S28" s="46"/>
      <c r="T28" s="46"/>
      <c r="U28" s="46"/>
      <c r="V28" s="46"/>
      <c r="W28" s="46"/>
      <c r="X28" s="46"/>
      <c r="Y28" s="46"/>
      <c r="Z28" s="46"/>
      <c r="AA28" s="46"/>
      <c r="AB28" s="46"/>
      <c r="AC28" s="46"/>
      <c r="AD28" s="46"/>
      <c r="AE28" s="46"/>
      <c r="AF28" s="46"/>
      <c r="AG28" s="46"/>
      <c r="AH28" s="46"/>
      <c r="AI28" s="46"/>
      <c r="AJ28" s="46"/>
      <c r="AK28" s="46"/>
      <c r="AL28" s="46"/>
      <c r="AM28" s="46"/>
      <c r="AN28" s="46"/>
      <c r="AO28" s="46"/>
      <c r="AP28" s="46"/>
      <c r="AQ28" s="46"/>
      <c r="AR28" s="46"/>
      <c r="AS28" s="46"/>
      <c r="AT28" s="46"/>
      <c r="AU28" s="46"/>
      <c r="AV28" s="46"/>
      <c r="AW28" s="46"/>
      <c r="AX28" s="46"/>
      <c r="AY28" s="46"/>
      <c r="AZ28" s="46"/>
    </row>
    <row r="29" spans="1:53" ht="15" customHeight="1">
      <c r="A29" s="47"/>
      <c r="B29" s="47"/>
      <c r="J29" s="46"/>
      <c r="L29" s="46"/>
      <c r="M29" s="46"/>
      <c r="N29" s="46"/>
      <c r="O29" s="46"/>
      <c r="P29" s="46"/>
      <c r="Q29" s="46"/>
      <c r="R29" s="46"/>
      <c r="S29" s="46"/>
      <c r="T29" s="46"/>
      <c r="U29" s="46"/>
      <c r="V29" s="46"/>
      <c r="W29" s="46"/>
      <c r="X29" s="46"/>
      <c r="Y29" s="46"/>
      <c r="Z29" s="46"/>
      <c r="AA29" s="46"/>
      <c r="AB29" s="46"/>
      <c r="AC29" s="46"/>
      <c r="AD29" s="46"/>
      <c r="AE29" s="46"/>
      <c r="AF29" s="46"/>
      <c r="AG29" s="46"/>
      <c r="AH29" s="46"/>
      <c r="AI29" s="46"/>
      <c r="AJ29" s="46"/>
      <c r="AK29" s="46"/>
      <c r="AL29" s="46"/>
      <c r="AM29" s="46"/>
      <c r="AN29" s="46"/>
      <c r="AO29" s="46"/>
      <c r="AP29" s="46"/>
      <c r="AQ29" s="46"/>
      <c r="AR29" s="46"/>
      <c r="AS29" s="46"/>
      <c r="AT29" s="46"/>
      <c r="AU29" s="46"/>
      <c r="AV29" s="46"/>
      <c r="AW29" s="46"/>
      <c r="AX29" s="46"/>
      <c r="AY29" s="46"/>
      <c r="AZ29" s="46"/>
    </row>
    <row r="30" spans="1:53" ht="15" customHeight="1">
      <c r="A30" s="47"/>
      <c r="B30" s="47"/>
      <c r="J30" s="46"/>
      <c r="L30" s="46"/>
      <c r="M30" s="46"/>
      <c r="N30" s="46"/>
      <c r="O30" s="46"/>
      <c r="P30" s="46"/>
      <c r="Q30" s="46"/>
      <c r="R30" s="46"/>
      <c r="S30" s="46"/>
      <c r="T30" s="46"/>
      <c r="U30" s="46"/>
      <c r="V30" s="46"/>
      <c r="W30" s="46"/>
      <c r="X30" s="46"/>
      <c r="Y30" s="46"/>
      <c r="Z30" s="46"/>
      <c r="AA30" s="46"/>
      <c r="AB30" s="46"/>
      <c r="AC30" s="46"/>
      <c r="AD30" s="46"/>
      <c r="AE30" s="46"/>
      <c r="AF30" s="46"/>
      <c r="AG30" s="46"/>
      <c r="AH30" s="46"/>
      <c r="AI30" s="46"/>
      <c r="AJ30" s="46"/>
      <c r="AK30" s="46"/>
      <c r="AL30" s="46"/>
      <c r="AM30" s="46"/>
      <c r="AN30" s="46"/>
      <c r="AO30" s="46"/>
      <c r="AP30" s="46"/>
      <c r="AQ30" s="46"/>
      <c r="AR30" s="46"/>
      <c r="AS30" s="46"/>
      <c r="AT30" s="46"/>
      <c r="AU30" s="46"/>
      <c r="AV30" s="46"/>
      <c r="AW30" s="46"/>
      <c r="AX30" s="46"/>
      <c r="AY30" s="46"/>
      <c r="AZ30" s="46"/>
    </row>
    <row r="31" spans="1:53" ht="15" customHeight="1">
      <c r="A31" s="47"/>
      <c r="B31" s="47"/>
      <c r="J31" s="46"/>
      <c r="L31" s="46"/>
      <c r="M31" s="46"/>
      <c r="N31" s="46"/>
      <c r="O31" s="46"/>
      <c r="P31" s="46"/>
      <c r="Q31" s="46"/>
      <c r="R31" s="46"/>
      <c r="S31" s="46"/>
      <c r="T31" s="46"/>
      <c r="U31" s="46"/>
      <c r="V31" s="46"/>
      <c r="W31" s="46"/>
      <c r="X31" s="46"/>
      <c r="Y31" s="46"/>
      <c r="Z31" s="46"/>
      <c r="AA31" s="46"/>
      <c r="AB31" s="46"/>
      <c r="AC31" s="46"/>
      <c r="AD31" s="46"/>
      <c r="AE31" s="46"/>
      <c r="AF31" s="46"/>
      <c r="AG31" s="46"/>
      <c r="AH31" s="46"/>
      <c r="AI31" s="46"/>
      <c r="AJ31" s="46"/>
      <c r="AK31" s="46"/>
      <c r="AL31" s="46"/>
      <c r="AM31" s="46"/>
      <c r="AN31" s="46"/>
      <c r="AO31" s="46"/>
      <c r="AP31" s="46"/>
      <c r="AQ31" s="46"/>
      <c r="AR31" s="46"/>
      <c r="AS31" s="46"/>
      <c r="AT31" s="46"/>
      <c r="AU31" s="46"/>
      <c r="AV31" s="46"/>
      <c r="AW31" s="46"/>
      <c r="AX31" s="46"/>
      <c r="AY31" s="46"/>
      <c r="AZ31" s="46"/>
    </row>
    <row r="32" spans="1:53" ht="15" customHeight="1">
      <c r="A32" s="47"/>
      <c r="B32" s="47"/>
      <c r="J32" s="46"/>
      <c r="L32" s="46"/>
      <c r="M32" s="46"/>
      <c r="N32" s="46"/>
      <c r="O32" s="46"/>
      <c r="P32" s="46"/>
      <c r="Q32" s="46"/>
      <c r="R32" s="46"/>
      <c r="S32" s="46"/>
      <c r="T32" s="46"/>
      <c r="U32" s="46"/>
      <c r="V32" s="46"/>
      <c r="W32" s="46"/>
      <c r="X32" s="46"/>
      <c r="Y32" s="46"/>
      <c r="Z32" s="46"/>
      <c r="AA32" s="46"/>
      <c r="AB32" s="46"/>
      <c r="AC32" s="46"/>
      <c r="AD32" s="46"/>
      <c r="AE32" s="46"/>
      <c r="AF32" s="46"/>
      <c r="AG32" s="46"/>
      <c r="AH32" s="46"/>
      <c r="AI32" s="46"/>
      <c r="AJ32" s="46"/>
      <c r="AK32" s="46"/>
      <c r="AL32" s="46"/>
      <c r="AM32" s="46"/>
      <c r="AN32" s="46"/>
      <c r="AO32" s="46"/>
      <c r="AP32" s="46"/>
      <c r="AQ32" s="46"/>
      <c r="AR32" s="46"/>
      <c r="AS32" s="46"/>
      <c r="AT32" s="46"/>
      <c r="AU32" s="46"/>
      <c r="AV32" s="46"/>
      <c r="AW32" s="46"/>
      <c r="AX32" s="46"/>
      <c r="AY32" s="46"/>
      <c r="AZ32" s="46"/>
    </row>
    <row r="33" spans="1:52" ht="15" customHeight="1">
      <c r="A33" s="47"/>
      <c r="B33" s="47"/>
      <c r="J33" s="46"/>
      <c r="L33" s="46"/>
      <c r="M33" s="46"/>
      <c r="N33" s="46"/>
      <c r="O33" s="46"/>
      <c r="P33" s="46"/>
      <c r="Q33" s="46"/>
      <c r="R33" s="46"/>
      <c r="S33" s="46"/>
      <c r="T33" s="46"/>
      <c r="U33" s="46"/>
      <c r="V33" s="46"/>
      <c r="W33" s="46"/>
      <c r="X33" s="46"/>
      <c r="Y33" s="46"/>
      <c r="Z33" s="46"/>
      <c r="AA33" s="46"/>
      <c r="AB33" s="46"/>
      <c r="AC33" s="46"/>
      <c r="AD33" s="46"/>
      <c r="AE33" s="46"/>
      <c r="AF33" s="46"/>
      <c r="AG33" s="46"/>
      <c r="AH33" s="46"/>
      <c r="AI33" s="46"/>
      <c r="AJ33" s="46"/>
      <c r="AK33" s="46"/>
      <c r="AL33" s="46"/>
      <c r="AM33" s="46"/>
      <c r="AN33" s="46"/>
      <c r="AO33" s="46"/>
      <c r="AP33" s="46"/>
      <c r="AQ33" s="46"/>
      <c r="AR33" s="46"/>
      <c r="AS33" s="46"/>
      <c r="AT33" s="46"/>
      <c r="AU33" s="46"/>
      <c r="AV33" s="46"/>
      <c r="AW33" s="46"/>
      <c r="AX33" s="46"/>
      <c r="AY33" s="46"/>
      <c r="AZ33" s="46"/>
    </row>
    <row r="34" spans="1:52" ht="15" customHeight="1">
      <c r="A34" s="47"/>
      <c r="B34" s="47"/>
      <c r="J34" s="46"/>
      <c r="L34" s="46"/>
      <c r="M34" s="46"/>
      <c r="N34" s="46"/>
      <c r="O34" s="46"/>
      <c r="P34" s="46"/>
      <c r="Q34" s="46"/>
      <c r="R34" s="46"/>
      <c r="S34" s="46"/>
      <c r="T34" s="46"/>
      <c r="U34" s="46"/>
      <c r="V34" s="46"/>
      <c r="W34" s="46"/>
      <c r="X34" s="46"/>
      <c r="Y34" s="46"/>
      <c r="Z34" s="46"/>
      <c r="AA34" s="46"/>
      <c r="AB34" s="46"/>
      <c r="AC34" s="46"/>
      <c r="AD34" s="46"/>
      <c r="AE34" s="46"/>
      <c r="AF34" s="46"/>
      <c r="AG34" s="46"/>
      <c r="AH34" s="46"/>
      <c r="AI34" s="46"/>
      <c r="AJ34" s="46"/>
      <c r="AK34" s="46"/>
      <c r="AL34" s="46"/>
      <c r="AM34" s="46"/>
      <c r="AN34" s="46"/>
      <c r="AO34" s="46"/>
      <c r="AP34" s="46"/>
      <c r="AQ34" s="46"/>
      <c r="AR34" s="46"/>
      <c r="AS34" s="46"/>
      <c r="AT34" s="46"/>
      <c r="AU34" s="46"/>
      <c r="AV34" s="46"/>
      <c r="AW34" s="46"/>
      <c r="AX34" s="46"/>
      <c r="AY34" s="46"/>
      <c r="AZ34" s="46"/>
    </row>
    <row r="35" spans="1:52" ht="15" customHeight="1">
      <c r="A35" s="47"/>
      <c r="B35" s="47"/>
      <c r="J35" s="46"/>
      <c r="L35" s="46"/>
      <c r="M35" s="46"/>
      <c r="N35" s="46"/>
      <c r="O35" s="46"/>
      <c r="P35" s="46"/>
      <c r="Q35" s="46"/>
      <c r="R35" s="46"/>
      <c r="S35" s="46"/>
      <c r="T35" s="46"/>
      <c r="U35" s="46"/>
      <c r="V35" s="46"/>
      <c r="W35" s="46"/>
      <c r="X35" s="46"/>
      <c r="Y35" s="46"/>
      <c r="Z35" s="46"/>
      <c r="AA35" s="46"/>
      <c r="AB35" s="46"/>
      <c r="AC35" s="46"/>
      <c r="AD35" s="46"/>
      <c r="AE35" s="46"/>
      <c r="AF35" s="46"/>
      <c r="AG35" s="46"/>
      <c r="AH35" s="46"/>
      <c r="AI35" s="46"/>
      <c r="AJ35" s="46"/>
      <c r="AK35" s="46"/>
      <c r="AL35" s="46"/>
      <c r="AM35" s="46"/>
      <c r="AN35" s="46"/>
      <c r="AO35" s="46"/>
      <c r="AP35" s="46"/>
      <c r="AQ35" s="46"/>
      <c r="AR35" s="46"/>
      <c r="AS35" s="46"/>
      <c r="AT35" s="46"/>
      <c r="AU35" s="46"/>
      <c r="AV35" s="46"/>
      <c r="AW35" s="46"/>
      <c r="AX35" s="46"/>
      <c r="AY35" s="46"/>
      <c r="AZ35" s="46"/>
    </row>
    <row r="36" spans="1:52" ht="15" customHeight="1">
      <c r="A36" s="47"/>
      <c r="B36" s="47"/>
      <c r="J36" s="46"/>
      <c r="L36" s="46"/>
      <c r="M36" s="46"/>
      <c r="N36" s="46"/>
      <c r="O36" s="46"/>
      <c r="P36" s="46"/>
      <c r="Q36" s="46"/>
      <c r="R36" s="46"/>
      <c r="S36" s="46"/>
      <c r="T36" s="46"/>
      <c r="U36" s="46"/>
      <c r="V36" s="46"/>
      <c r="W36" s="46"/>
      <c r="X36" s="46"/>
      <c r="Y36" s="46"/>
      <c r="Z36" s="46"/>
      <c r="AA36" s="46"/>
      <c r="AB36" s="46"/>
      <c r="AC36" s="46"/>
      <c r="AD36" s="46"/>
      <c r="AE36" s="46"/>
      <c r="AF36" s="46"/>
      <c r="AG36" s="46"/>
      <c r="AH36" s="46"/>
      <c r="AI36" s="46"/>
      <c r="AJ36" s="46"/>
      <c r="AK36" s="46"/>
      <c r="AL36" s="46"/>
      <c r="AM36" s="46"/>
      <c r="AN36" s="46"/>
      <c r="AO36" s="46"/>
      <c r="AP36" s="46"/>
      <c r="AQ36" s="46"/>
      <c r="AR36" s="46"/>
      <c r="AS36" s="46"/>
      <c r="AT36" s="46"/>
      <c r="AU36" s="46"/>
      <c r="AV36" s="46"/>
      <c r="AW36" s="46"/>
      <c r="AX36" s="46"/>
      <c r="AY36" s="46"/>
      <c r="AZ36" s="46"/>
    </row>
    <row r="37" spans="1:52" ht="15" customHeight="1">
      <c r="A37" s="47"/>
      <c r="B37" s="47"/>
      <c r="J37" s="46"/>
      <c r="L37" s="46"/>
      <c r="M37" s="46"/>
      <c r="N37" s="46"/>
      <c r="O37" s="46"/>
      <c r="P37" s="46"/>
      <c r="Q37" s="46"/>
      <c r="R37" s="46"/>
      <c r="S37" s="46"/>
      <c r="T37" s="46"/>
      <c r="U37" s="46"/>
      <c r="V37" s="46"/>
      <c r="W37" s="46"/>
      <c r="X37" s="46"/>
      <c r="Y37" s="46"/>
      <c r="Z37" s="46"/>
      <c r="AA37" s="46"/>
      <c r="AB37" s="46"/>
      <c r="AC37" s="46"/>
      <c r="AD37" s="46"/>
      <c r="AE37" s="46"/>
      <c r="AF37" s="46"/>
      <c r="AG37" s="46"/>
      <c r="AH37" s="46"/>
      <c r="AI37" s="46"/>
      <c r="AJ37" s="46"/>
      <c r="AK37" s="46"/>
      <c r="AL37" s="46"/>
      <c r="AM37" s="46"/>
      <c r="AN37" s="46"/>
      <c r="AO37" s="46"/>
      <c r="AP37" s="46"/>
      <c r="AQ37" s="46"/>
      <c r="AR37" s="46"/>
      <c r="AS37" s="46"/>
      <c r="AT37" s="46"/>
      <c r="AU37" s="46"/>
      <c r="AV37" s="46"/>
      <c r="AW37" s="46"/>
      <c r="AX37" s="46"/>
      <c r="AY37" s="46"/>
      <c r="AZ37" s="46"/>
    </row>
    <row r="38" spans="1:52" ht="15" customHeight="1">
      <c r="A38" s="47"/>
      <c r="B38" s="47"/>
      <c r="J38" s="46"/>
      <c r="L38" s="46"/>
      <c r="M38" s="46"/>
      <c r="N38" s="46"/>
      <c r="O38" s="46"/>
      <c r="P38" s="46"/>
      <c r="Q38" s="46"/>
      <c r="R38" s="46"/>
      <c r="S38" s="46"/>
      <c r="T38" s="46"/>
      <c r="U38" s="46"/>
      <c r="V38" s="46"/>
      <c r="W38" s="46"/>
      <c r="X38" s="46"/>
      <c r="Y38" s="46"/>
      <c r="Z38" s="46"/>
      <c r="AA38" s="46"/>
      <c r="AB38" s="46"/>
      <c r="AC38" s="46"/>
      <c r="AD38" s="46"/>
      <c r="AE38" s="46"/>
      <c r="AF38" s="46"/>
      <c r="AG38" s="46"/>
      <c r="AH38" s="46"/>
      <c r="AI38" s="46"/>
      <c r="AJ38" s="46"/>
      <c r="AK38" s="46"/>
      <c r="AL38" s="46"/>
      <c r="AM38" s="46"/>
      <c r="AN38" s="46"/>
      <c r="AO38" s="46"/>
      <c r="AP38" s="46"/>
      <c r="AQ38" s="46"/>
      <c r="AR38" s="46"/>
      <c r="AS38" s="46"/>
      <c r="AT38" s="46"/>
      <c r="AU38" s="46"/>
      <c r="AV38" s="46"/>
      <c r="AW38" s="46"/>
      <c r="AX38" s="46"/>
      <c r="AY38" s="46"/>
      <c r="AZ38" s="46"/>
    </row>
    <row r="39" spans="1:52" ht="15" customHeight="1">
      <c r="A39" s="47"/>
      <c r="B39" s="47"/>
      <c r="J39" s="46"/>
      <c r="L39" s="46"/>
      <c r="M39" s="46"/>
      <c r="N39" s="46"/>
      <c r="O39" s="46"/>
      <c r="P39" s="46"/>
      <c r="Q39" s="46"/>
      <c r="R39" s="46"/>
      <c r="S39" s="46"/>
      <c r="T39" s="46"/>
      <c r="U39" s="46"/>
      <c r="V39" s="46"/>
      <c r="W39" s="46"/>
      <c r="X39" s="46"/>
      <c r="Y39" s="46"/>
      <c r="Z39" s="46"/>
      <c r="AA39" s="46"/>
      <c r="AB39" s="46"/>
      <c r="AC39" s="46"/>
      <c r="AD39" s="46"/>
      <c r="AE39" s="46"/>
      <c r="AF39" s="46"/>
      <c r="AG39" s="46"/>
      <c r="AH39" s="46"/>
      <c r="AI39" s="46"/>
      <c r="AJ39" s="46"/>
      <c r="AK39" s="46"/>
      <c r="AL39" s="46"/>
      <c r="AM39" s="46"/>
      <c r="AN39" s="46"/>
      <c r="AO39" s="46"/>
      <c r="AP39" s="46"/>
      <c r="AQ39" s="46"/>
      <c r="AR39" s="46"/>
      <c r="AS39" s="46"/>
      <c r="AT39" s="46"/>
      <c r="AU39" s="46"/>
      <c r="AV39" s="46"/>
      <c r="AW39" s="46"/>
      <c r="AX39" s="46"/>
      <c r="AY39" s="46"/>
      <c r="AZ39" s="46"/>
    </row>
    <row r="40" spans="1:52" ht="15" customHeight="1">
      <c r="A40" s="47"/>
      <c r="B40" s="47"/>
      <c r="J40" s="46"/>
      <c r="L40" s="46"/>
      <c r="M40" s="46"/>
      <c r="N40" s="46"/>
      <c r="O40" s="46"/>
      <c r="P40" s="46"/>
      <c r="Q40" s="46"/>
      <c r="R40" s="46"/>
      <c r="S40" s="46"/>
      <c r="T40" s="46"/>
      <c r="U40" s="46"/>
      <c r="V40" s="46"/>
      <c r="W40" s="46"/>
      <c r="X40" s="46"/>
      <c r="Y40" s="46"/>
      <c r="Z40" s="46"/>
      <c r="AA40" s="46"/>
      <c r="AB40" s="46"/>
      <c r="AC40" s="46"/>
      <c r="AD40" s="46"/>
      <c r="AE40" s="46"/>
      <c r="AF40" s="46"/>
      <c r="AG40" s="46"/>
      <c r="AH40" s="46"/>
      <c r="AI40" s="46"/>
      <c r="AJ40" s="46"/>
      <c r="AK40" s="46"/>
      <c r="AL40" s="46"/>
      <c r="AM40" s="46"/>
      <c r="AN40" s="46"/>
      <c r="AO40" s="46"/>
      <c r="AP40" s="46"/>
      <c r="AQ40" s="46"/>
      <c r="AR40" s="46"/>
      <c r="AS40" s="46"/>
      <c r="AT40" s="46"/>
      <c r="AU40" s="46"/>
      <c r="AV40" s="46"/>
      <c r="AW40" s="46"/>
      <c r="AX40" s="46"/>
      <c r="AY40" s="46"/>
      <c r="AZ40" s="46"/>
    </row>
    <row r="41" spans="1:52" ht="15" customHeight="1">
      <c r="A41" s="47"/>
      <c r="B41" s="47"/>
      <c r="J41" s="46"/>
      <c r="L41" s="46"/>
      <c r="M41" s="46"/>
      <c r="N41" s="46"/>
      <c r="O41" s="46"/>
      <c r="P41" s="46"/>
      <c r="Q41" s="46"/>
      <c r="R41" s="46"/>
      <c r="S41" s="46"/>
      <c r="T41" s="46"/>
      <c r="U41" s="46"/>
      <c r="V41" s="46"/>
      <c r="W41" s="46"/>
      <c r="X41" s="46"/>
      <c r="Y41" s="46"/>
      <c r="Z41" s="46"/>
      <c r="AA41" s="46"/>
      <c r="AB41" s="46"/>
      <c r="AC41" s="46"/>
      <c r="AD41" s="46"/>
      <c r="AE41" s="46"/>
      <c r="AF41" s="46"/>
      <c r="AG41" s="46"/>
      <c r="AH41" s="46"/>
      <c r="AI41" s="46"/>
      <c r="AJ41" s="46"/>
      <c r="AK41" s="46"/>
      <c r="AL41" s="46"/>
      <c r="AM41" s="46"/>
      <c r="AN41" s="46"/>
      <c r="AO41" s="46"/>
      <c r="AP41" s="46"/>
      <c r="AQ41" s="46"/>
      <c r="AR41" s="46"/>
      <c r="AS41" s="46"/>
      <c r="AT41" s="46"/>
      <c r="AU41" s="46"/>
      <c r="AV41" s="46"/>
      <c r="AW41" s="46"/>
      <c r="AX41" s="46"/>
      <c r="AY41" s="46"/>
      <c r="AZ41" s="46"/>
    </row>
    <row r="42" spans="1:52" ht="15" customHeight="1">
      <c r="A42" s="47"/>
      <c r="B42" s="47"/>
      <c r="J42" s="46"/>
      <c r="L42" s="46"/>
      <c r="M42" s="46"/>
      <c r="N42" s="46"/>
      <c r="O42" s="46"/>
      <c r="P42" s="46"/>
      <c r="Q42" s="46"/>
      <c r="R42" s="46"/>
      <c r="S42" s="46"/>
      <c r="T42" s="46"/>
      <c r="U42" s="46"/>
      <c r="V42" s="46"/>
      <c r="W42" s="46"/>
      <c r="X42" s="46"/>
      <c r="Y42" s="46"/>
      <c r="Z42" s="46"/>
      <c r="AA42" s="46"/>
      <c r="AB42" s="46"/>
      <c r="AC42" s="46"/>
      <c r="AD42" s="46"/>
      <c r="AE42" s="46"/>
      <c r="AF42" s="46"/>
      <c r="AG42" s="46"/>
      <c r="AH42" s="46"/>
      <c r="AI42" s="46"/>
      <c r="AJ42" s="46"/>
      <c r="AK42" s="46"/>
      <c r="AL42" s="46"/>
      <c r="AM42" s="46"/>
      <c r="AN42" s="46"/>
      <c r="AO42" s="46"/>
      <c r="AP42" s="46"/>
      <c r="AQ42" s="46"/>
      <c r="AR42" s="46"/>
      <c r="AS42" s="46"/>
      <c r="AT42" s="46"/>
      <c r="AU42" s="46"/>
      <c r="AV42" s="46"/>
      <c r="AW42" s="46"/>
      <c r="AX42" s="46"/>
      <c r="AY42" s="46"/>
      <c r="AZ42" s="46"/>
    </row>
    <row r="43" spans="1:52" ht="15" customHeight="1">
      <c r="A43" s="47"/>
      <c r="B43" s="47"/>
      <c r="J43" s="46"/>
      <c r="L43" s="46"/>
      <c r="M43" s="46"/>
      <c r="N43" s="46"/>
      <c r="O43" s="46"/>
      <c r="P43" s="46"/>
      <c r="Q43" s="46"/>
      <c r="R43" s="46"/>
      <c r="S43" s="46"/>
      <c r="T43" s="46"/>
      <c r="U43" s="46"/>
      <c r="V43" s="46"/>
      <c r="W43" s="46"/>
      <c r="X43" s="46"/>
      <c r="Y43" s="46"/>
      <c r="Z43" s="46"/>
      <c r="AA43" s="46"/>
      <c r="AB43" s="46"/>
      <c r="AC43" s="46"/>
      <c r="AD43" s="46"/>
      <c r="AE43" s="46"/>
      <c r="AF43" s="46"/>
      <c r="AG43" s="46"/>
      <c r="AH43" s="46"/>
      <c r="AI43" s="46"/>
      <c r="AJ43" s="46"/>
      <c r="AK43" s="46"/>
      <c r="AL43" s="46"/>
      <c r="AM43" s="46"/>
      <c r="AN43" s="46"/>
      <c r="AO43" s="46"/>
      <c r="AP43" s="46"/>
      <c r="AQ43" s="46"/>
      <c r="AR43" s="46"/>
      <c r="AS43" s="46"/>
      <c r="AT43" s="46"/>
      <c r="AU43" s="46"/>
      <c r="AV43" s="46"/>
      <c r="AW43" s="46"/>
      <c r="AX43" s="46"/>
      <c r="AY43" s="46"/>
      <c r="AZ43" s="46"/>
    </row>
    <row r="44" spans="1:52" ht="15" customHeight="1">
      <c r="A44" s="47"/>
      <c r="B44" s="47"/>
      <c r="J44" s="46"/>
      <c r="L44" s="46"/>
      <c r="M44" s="46"/>
      <c r="N44" s="46"/>
      <c r="O44" s="46"/>
      <c r="P44" s="46"/>
      <c r="Q44" s="46"/>
      <c r="R44" s="46"/>
      <c r="S44" s="46"/>
      <c r="T44" s="46"/>
      <c r="U44" s="46"/>
      <c r="V44" s="46"/>
      <c r="W44" s="46"/>
      <c r="X44" s="46"/>
      <c r="Y44" s="46"/>
      <c r="Z44" s="46"/>
      <c r="AA44" s="46"/>
      <c r="AB44" s="46"/>
      <c r="AC44" s="46"/>
      <c r="AD44" s="46"/>
      <c r="AE44" s="46"/>
      <c r="AF44" s="46"/>
      <c r="AG44" s="46"/>
      <c r="AH44" s="46"/>
      <c r="AI44" s="46"/>
      <c r="AJ44" s="46"/>
      <c r="AK44" s="46"/>
      <c r="AL44" s="46"/>
      <c r="AM44" s="46"/>
      <c r="AN44" s="46"/>
      <c r="AO44" s="46"/>
      <c r="AP44" s="46"/>
      <c r="AQ44" s="46"/>
      <c r="AR44" s="46"/>
      <c r="AS44" s="46"/>
      <c r="AT44" s="46"/>
      <c r="AU44" s="46"/>
      <c r="AV44" s="46"/>
      <c r="AW44" s="46"/>
      <c r="AX44" s="46"/>
      <c r="AY44" s="46"/>
      <c r="AZ44" s="46"/>
    </row>
    <row r="45" spans="1:52" ht="15" customHeight="1">
      <c r="A45" s="47"/>
      <c r="B45" s="47"/>
      <c r="J45" s="46"/>
      <c r="L45" s="46"/>
      <c r="M45" s="46"/>
      <c r="N45" s="46"/>
      <c r="O45" s="46"/>
      <c r="P45" s="46"/>
      <c r="Q45" s="46"/>
      <c r="R45" s="46"/>
      <c r="S45" s="46"/>
      <c r="T45" s="46"/>
      <c r="U45" s="46"/>
      <c r="V45" s="46"/>
      <c r="W45" s="46"/>
      <c r="X45" s="46"/>
      <c r="Y45" s="46"/>
      <c r="Z45" s="46"/>
      <c r="AA45" s="46"/>
      <c r="AB45" s="46"/>
      <c r="AC45" s="46"/>
      <c r="AD45" s="46"/>
      <c r="AE45" s="46"/>
      <c r="AF45" s="46"/>
      <c r="AG45" s="46"/>
      <c r="AH45" s="46"/>
      <c r="AI45" s="46"/>
      <c r="AJ45" s="46"/>
      <c r="AK45" s="46"/>
      <c r="AL45" s="46"/>
      <c r="AM45" s="46"/>
      <c r="AN45" s="46"/>
      <c r="AO45" s="46"/>
      <c r="AP45" s="46"/>
      <c r="AQ45" s="46"/>
      <c r="AR45" s="46"/>
      <c r="AS45" s="46"/>
      <c r="AT45" s="46"/>
      <c r="AU45" s="46"/>
      <c r="AV45" s="46"/>
      <c r="AW45" s="46"/>
      <c r="AX45" s="46"/>
      <c r="AY45" s="46"/>
      <c r="AZ45" s="46"/>
    </row>
    <row r="46" spans="1:52" ht="15" customHeight="1">
      <c r="A46" s="47"/>
      <c r="B46" s="47"/>
      <c r="J46" s="46"/>
      <c r="L46" s="46"/>
      <c r="M46" s="46"/>
      <c r="N46" s="46"/>
      <c r="O46" s="46"/>
      <c r="P46" s="46"/>
      <c r="Q46" s="46"/>
      <c r="R46" s="46"/>
      <c r="S46" s="46"/>
      <c r="T46" s="46"/>
      <c r="U46" s="46"/>
      <c r="V46" s="46"/>
      <c r="W46" s="46"/>
      <c r="X46" s="46"/>
      <c r="Y46" s="46"/>
      <c r="Z46" s="46"/>
      <c r="AA46" s="46"/>
      <c r="AB46" s="46"/>
      <c r="AC46" s="46"/>
      <c r="AD46" s="46"/>
      <c r="AE46" s="46"/>
      <c r="AF46" s="46"/>
      <c r="AG46" s="46"/>
      <c r="AH46" s="46"/>
      <c r="AI46" s="46"/>
      <c r="AJ46" s="46"/>
      <c r="AK46" s="46"/>
      <c r="AL46" s="46"/>
      <c r="AM46" s="46"/>
      <c r="AN46" s="46"/>
      <c r="AO46" s="46"/>
      <c r="AP46" s="46"/>
      <c r="AQ46" s="46"/>
      <c r="AR46" s="46"/>
      <c r="AS46" s="46"/>
      <c r="AT46" s="46"/>
      <c r="AU46" s="46"/>
      <c r="AV46" s="46"/>
      <c r="AW46" s="46"/>
      <c r="AX46" s="46"/>
      <c r="AY46" s="46"/>
      <c r="AZ46" s="46"/>
    </row>
    <row r="47" spans="1:52" ht="15" customHeight="1">
      <c r="A47" s="47"/>
      <c r="B47" s="47"/>
      <c r="J47" s="46"/>
      <c r="L47" s="46"/>
      <c r="M47" s="46"/>
      <c r="N47" s="46"/>
      <c r="O47" s="46"/>
      <c r="P47" s="46"/>
      <c r="Q47" s="46"/>
      <c r="R47" s="46"/>
      <c r="S47" s="46"/>
      <c r="T47" s="46"/>
      <c r="U47" s="46"/>
      <c r="V47" s="46"/>
      <c r="W47" s="46"/>
      <c r="X47" s="46"/>
      <c r="Y47" s="46"/>
      <c r="Z47" s="46"/>
      <c r="AA47" s="46"/>
      <c r="AB47" s="46"/>
      <c r="AC47" s="46"/>
      <c r="AD47" s="46"/>
      <c r="AE47" s="46"/>
      <c r="AF47" s="46"/>
      <c r="AG47" s="46"/>
      <c r="AH47" s="46"/>
      <c r="AI47" s="46"/>
      <c r="AJ47" s="46"/>
      <c r="AK47" s="46"/>
      <c r="AL47" s="46"/>
      <c r="AM47" s="46"/>
      <c r="AN47" s="46"/>
      <c r="AO47" s="46"/>
      <c r="AP47" s="46"/>
      <c r="AQ47" s="46"/>
      <c r="AR47" s="46"/>
      <c r="AS47" s="46"/>
      <c r="AT47" s="46"/>
      <c r="AU47" s="46"/>
      <c r="AV47" s="46"/>
      <c r="AW47" s="46"/>
      <c r="AX47" s="46"/>
      <c r="AY47" s="46"/>
      <c r="AZ47" s="46"/>
    </row>
    <row r="48" spans="1:52" ht="15" customHeight="1">
      <c r="A48" s="47"/>
      <c r="B48" s="47"/>
      <c r="J48" s="46"/>
      <c r="L48" s="46"/>
      <c r="M48" s="46"/>
      <c r="N48" s="46"/>
      <c r="O48" s="46"/>
      <c r="P48" s="46"/>
      <c r="Q48" s="46"/>
      <c r="R48" s="46"/>
      <c r="S48" s="46"/>
      <c r="T48" s="46"/>
      <c r="U48" s="46"/>
      <c r="V48" s="46"/>
      <c r="W48" s="46"/>
      <c r="X48" s="46"/>
      <c r="Y48" s="46"/>
      <c r="Z48" s="46"/>
      <c r="AA48" s="46"/>
      <c r="AB48" s="46"/>
      <c r="AC48" s="46"/>
      <c r="AD48" s="46"/>
      <c r="AE48" s="46"/>
      <c r="AF48" s="46"/>
      <c r="AG48" s="46"/>
      <c r="AH48" s="46"/>
      <c r="AI48" s="46"/>
      <c r="AJ48" s="46"/>
      <c r="AK48" s="46"/>
      <c r="AL48" s="46"/>
      <c r="AM48" s="46"/>
      <c r="AN48" s="46"/>
      <c r="AO48" s="46"/>
      <c r="AP48" s="46"/>
      <c r="AQ48" s="46"/>
      <c r="AR48" s="46"/>
      <c r="AS48" s="46"/>
      <c r="AT48" s="46"/>
      <c r="AU48" s="46"/>
      <c r="AV48" s="46"/>
      <c r="AW48" s="46"/>
      <c r="AX48" s="46"/>
      <c r="AY48" s="46"/>
      <c r="AZ48" s="46"/>
    </row>
    <row r="49" spans="1:52" ht="15" customHeight="1">
      <c r="A49" s="47"/>
      <c r="B49" s="47"/>
      <c r="J49" s="46"/>
      <c r="L49" s="46"/>
      <c r="M49" s="46"/>
      <c r="N49" s="46"/>
      <c r="O49" s="46"/>
      <c r="P49" s="46"/>
      <c r="Q49" s="46"/>
      <c r="R49" s="46"/>
      <c r="S49" s="46"/>
      <c r="T49" s="46"/>
      <c r="U49" s="46"/>
      <c r="V49" s="46"/>
      <c r="W49" s="46"/>
      <c r="X49" s="46"/>
      <c r="Y49" s="46"/>
      <c r="Z49" s="46"/>
      <c r="AA49" s="46"/>
      <c r="AB49" s="46"/>
      <c r="AC49" s="46"/>
      <c r="AD49" s="46"/>
      <c r="AE49" s="46"/>
      <c r="AF49" s="46"/>
      <c r="AG49" s="46"/>
      <c r="AH49" s="46"/>
      <c r="AI49" s="46"/>
      <c r="AJ49" s="46"/>
      <c r="AK49" s="46"/>
      <c r="AL49" s="46"/>
      <c r="AM49" s="46"/>
      <c r="AN49" s="46"/>
      <c r="AO49" s="46"/>
      <c r="AP49" s="46"/>
      <c r="AQ49" s="46"/>
      <c r="AR49" s="46"/>
      <c r="AS49" s="46"/>
      <c r="AT49" s="46"/>
      <c r="AU49" s="46"/>
      <c r="AV49" s="46"/>
      <c r="AW49" s="46"/>
      <c r="AX49" s="46"/>
      <c r="AY49" s="46"/>
      <c r="AZ49" s="46"/>
    </row>
    <row r="50" spans="1:52" ht="15" customHeight="1">
      <c r="A50" s="47"/>
      <c r="B50" s="47"/>
      <c r="J50" s="46"/>
      <c r="L50" s="46"/>
      <c r="M50" s="46"/>
      <c r="N50" s="46"/>
      <c r="O50" s="46"/>
      <c r="P50" s="46"/>
      <c r="Q50" s="46"/>
      <c r="R50" s="46"/>
      <c r="S50" s="46"/>
      <c r="T50" s="46"/>
      <c r="U50" s="46"/>
      <c r="V50" s="46"/>
      <c r="W50" s="46"/>
      <c r="X50" s="46"/>
      <c r="Y50" s="46"/>
      <c r="Z50" s="46"/>
      <c r="AA50" s="46"/>
      <c r="AB50" s="46"/>
      <c r="AC50" s="46"/>
      <c r="AD50" s="46"/>
      <c r="AE50" s="46"/>
      <c r="AF50" s="46"/>
      <c r="AG50" s="46"/>
      <c r="AH50" s="46"/>
      <c r="AI50" s="46"/>
      <c r="AJ50" s="46"/>
      <c r="AK50" s="46"/>
      <c r="AL50" s="46"/>
      <c r="AM50" s="46"/>
      <c r="AN50" s="46"/>
      <c r="AO50" s="46"/>
      <c r="AP50" s="46"/>
      <c r="AQ50" s="46"/>
      <c r="AR50" s="46"/>
      <c r="AS50" s="46"/>
      <c r="AT50" s="46"/>
      <c r="AU50" s="46"/>
      <c r="AV50" s="46"/>
      <c r="AW50" s="46"/>
      <c r="AX50" s="46"/>
      <c r="AY50" s="46"/>
      <c r="AZ50" s="46"/>
    </row>
    <row r="51" spans="1:52" ht="15" customHeight="1">
      <c r="A51" s="47"/>
      <c r="B51" s="47"/>
      <c r="J51" s="46"/>
      <c r="L51" s="46"/>
      <c r="M51" s="46"/>
      <c r="N51" s="46"/>
      <c r="O51" s="46"/>
      <c r="P51" s="46"/>
      <c r="Q51" s="46"/>
      <c r="R51" s="46"/>
      <c r="S51" s="46"/>
      <c r="T51" s="46"/>
      <c r="U51" s="46"/>
      <c r="V51" s="46"/>
      <c r="W51" s="46"/>
      <c r="X51" s="46"/>
      <c r="Y51" s="46"/>
      <c r="Z51" s="46"/>
      <c r="AA51" s="46"/>
      <c r="AB51" s="46"/>
      <c r="AC51" s="46"/>
      <c r="AD51" s="46"/>
      <c r="AE51" s="46"/>
      <c r="AF51" s="46"/>
      <c r="AG51" s="46"/>
      <c r="AH51" s="46"/>
      <c r="AI51" s="46"/>
      <c r="AJ51" s="46"/>
      <c r="AK51" s="46"/>
      <c r="AL51" s="46"/>
      <c r="AM51" s="46"/>
      <c r="AN51" s="46"/>
      <c r="AO51" s="46"/>
      <c r="AP51" s="46"/>
      <c r="AQ51" s="46"/>
      <c r="AR51" s="46"/>
      <c r="AS51" s="46"/>
      <c r="AT51" s="46"/>
      <c r="AU51" s="46"/>
      <c r="AV51" s="46"/>
      <c r="AW51" s="46"/>
      <c r="AX51" s="46"/>
      <c r="AY51" s="46"/>
      <c r="AZ51" s="46"/>
    </row>
    <row r="52" spans="1:52" ht="15" customHeight="1">
      <c r="A52" s="47"/>
      <c r="B52" s="47"/>
      <c r="J52" s="46"/>
      <c r="L52" s="46"/>
      <c r="M52" s="46"/>
      <c r="N52" s="46"/>
      <c r="O52" s="46"/>
      <c r="P52" s="46"/>
      <c r="Q52" s="46"/>
      <c r="R52" s="46"/>
      <c r="S52" s="46"/>
      <c r="T52" s="46"/>
      <c r="U52" s="46"/>
      <c r="V52" s="46"/>
      <c r="W52" s="46"/>
      <c r="X52" s="46"/>
      <c r="Y52" s="46"/>
      <c r="Z52" s="46"/>
      <c r="AA52" s="46"/>
      <c r="AB52" s="46"/>
      <c r="AC52" s="46"/>
      <c r="AD52" s="46"/>
      <c r="AE52" s="46"/>
      <c r="AF52" s="46"/>
      <c r="AG52" s="46"/>
      <c r="AH52" s="46"/>
      <c r="AI52" s="46"/>
      <c r="AJ52" s="46"/>
      <c r="AK52" s="46"/>
      <c r="AL52" s="46"/>
      <c r="AM52" s="46"/>
      <c r="AN52" s="46"/>
      <c r="AO52" s="46"/>
      <c r="AP52" s="46"/>
      <c r="AQ52" s="46"/>
      <c r="AR52" s="46"/>
      <c r="AS52" s="46"/>
      <c r="AT52" s="46"/>
      <c r="AU52" s="46"/>
      <c r="AV52" s="46"/>
      <c r="AW52" s="46"/>
      <c r="AX52" s="46"/>
      <c r="AY52" s="46"/>
      <c r="AZ52" s="46"/>
    </row>
    <row r="53" spans="1:52" ht="15" customHeight="1">
      <c r="A53" s="47"/>
      <c r="B53" s="47"/>
      <c r="J53" s="46"/>
      <c r="L53" s="46"/>
      <c r="M53" s="46"/>
      <c r="N53" s="46"/>
      <c r="O53" s="46"/>
      <c r="P53" s="46"/>
      <c r="Q53" s="46"/>
      <c r="R53" s="46"/>
      <c r="S53" s="46"/>
      <c r="T53" s="46"/>
      <c r="U53" s="46"/>
      <c r="V53" s="46"/>
      <c r="W53" s="46"/>
      <c r="X53" s="46"/>
      <c r="Y53" s="46"/>
      <c r="Z53" s="46"/>
      <c r="AA53" s="46"/>
      <c r="AB53" s="46"/>
      <c r="AC53" s="46"/>
      <c r="AD53" s="46"/>
      <c r="AE53" s="46"/>
      <c r="AF53" s="46"/>
      <c r="AG53" s="46"/>
      <c r="AH53" s="46"/>
      <c r="AI53" s="46"/>
      <c r="AJ53" s="46"/>
      <c r="AK53" s="46"/>
      <c r="AL53" s="46"/>
      <c r="AM53" s="46"/>
      <c r="AN53" s="46"/>
      <c r="AO53" s="46"/>
      <c r="AP53" s="46"/>
      <c r="AQ53" s="46"/>
      <c r="AR53" s="46"/>
      <c r="AS53" s="46"/>
      <c r="AT53" s="46"/>
      <c r="AU53" s="46"/>
      <c r="AV53" s="46"/>
      <c r="AW53" s="46"/>
      <c r="AX53" s="46"/>
      <c r="AY53" s="46"/>
      <c r="AZ53" s="46"/>
    </row>
    <row r="54" spans="1:52" ht="15" customHeight="1">
      <c r="A54" s="47"/>
      <c r="B54" s="47"/>
      <c r="J54" s="46"/>
      <c r="L54" s="46"/>
      <c r="M54" s="46"/>
      <c r="N54" s="46"/>
      <c r="O54" s="46"/>
      <c r="P54" s="46"/>
      <c r="Q54" s="46"/>
      <c r="R54" s="46"/>
      <c r="S54" s="46"/>
      <c r="T54" s="46"/>
      <c r="U54" s="46"/>
      <c r="V54" s="46"/>
      <c r="W54" s="46"/>
      <c r="X54" s="46"/>
      <c r="Y54" s="46"/>
      <c r="Z54" s="46"/>
      <c r="AA54" s="46"/>
      <c r="AB54" s="46"/>
      <c r="AC54" s="46"/>
      <c r="AD54" s="46"/>
      <c r="AE54" s="46"/>
      <c r="AF54" s="46"/>
      <c r="AG54" s="46"/>
      <c r="AH54" s="46"/>
      <c r="AI54" s="46"/>
      <c r="AJ54" s="46"/>
      <c r="AK54" s="46"/>
      <c r="AL54" s="46"/>
      <c r="AM54" s="46"/>
      <c r="AN54" s="46"/>
      <c r="AO54" s="46"/>
      <c r="AP54" s="46"/>
      <c r="AQ54" s="46"/>
      <c r="AR54" s="46"/>
      <c r="AS54" s="46"/>
      <c r="AT54" s="46"/>
      <c r="AU54" s="46"/>
      <c r="AV54" s="46"/>
      <c r="AW54" s="46"/>
      <c r="AX54" s="46"/>
      <c r="AY54" s="46"/>
      <c r="AZ54" s="46"/>
    </row>
    <row r="55" spans="1:52" ht="15" customHeight="1">
      <c r="A55" s="47"/>
      <c r="B55" s="47"/>
      <c r="J55" s="46"/>
      <c r="L55" s="46"/>
      <c r="M55" s="46"/>
      <c r="N55" s="46"/>
      <c r="O55" s="46"/>
      <c r="P55" s="46"/>
      <c r="Q55" s="46"/>
      <c r="R55" s="46"/>
      <c r="S55" s="46"/>
      <c r="T55" s="46"/>
      <c r="U55" s="46"/>
      <c r="V55" s="46"/>
      <c r="W55" s="46"/>
      <c r="X55" s="46"/>
      <c r="Y55" s="46"/>
      <c r="Z55" s="46"/>
      <c r="AA55" s="46"/>
      <c r="AB55" s="46"/>
      <c r="AC55" s="46"/>
      <c r="AD55" s="46"/>
      <c r="AE55" s="46"/>
      <c r="AF55" s="46"/>
      <c r="AG55" s="46"/>
      <c r="AH55" s="46"/>
      <c r="AI55" s="46"/>
      <c r="AJ55" s="46"/>
      <c r="AK55" s="46"/>
      <c r="AL55" s="46"/>
      <c r="AM55" s="46"/>
      <c r="AN55" s="46"/>
      <c r="AO55" s="46"/>
      <c r="AP55" s="46"/>
      <c r="AQ55" s="46"/>
      <c r="AR55" s="46"/>
      <c r="AS55" s="46"/>
      <c r="AT55" s="46"/>
      <c r="AU55" s="46"/>
      <c r="AV55" s="46"/>
      <c r="AW55" s="46"/>
      <c r="AX55" s="46"/>
      <c r="AY55" s="46"/>
      <c r="AZ55" s="46"/>
    </row>
    <row r="56" spans="1:52" ht="15" customHeight="1">
      <c r="A56" s="47"/>
      <c r="B56" s="47"/>
      <c r="J56" s="46"/>
      <c r="L56" s="46"/>
      <c r="M56" s="46"/>
      <c r="N56" s="46"/>
      <c r="O56" s="46"/>
      <c r="P56" s="46"/>
      <c r="Q56" s="46"/>
      <c r="R56" s="46"/>
      <c r="S56" s="46"/>
      <c r="T56" s="46"/>
      <c r="U56" s="46"/>
      <c r="V56" s="46"/>
      <c r="W56" s="46"/>
      <c r="X56" s="46"/>
      <c r="Y56" s="46"/>
      <c r="Z56" s="46"/>
      <c r="AA56" s="46"/>
      <c r="AB56" s="46"/>
      <c r="AC56" s="46"/>
      <c r="AD56" s="46"/>
      <c r="AE56" s="46"/>
      <c r="AF56" s="46"/>
      <c r="AG56" s="46"/>
      <c r="AH56" s="46"/>
      <c r="AI56" s="46"/>
      <c r="AJ56" s="46"/>
      <c r="AK56" s="46"/>
      <c r="AL56" s="46"/>
      <c r="AM56" s="46"/>
      <c r="AN56" s="46"/>
      <c r="AO56" s="46"/>
      <c r="AP56" s="46"/>
      <c r="AQ56" s="46"/>
      <c r="AR56" s="46"/>
      <c r="AS56" s="46"/>
      <c r="AT56" s="46"/>
      <c r="AU56" s="46"/>
      <c r="AV56" s="46"/>
      <c r="AW56" s="46"/>
      <c r="AX56" s="46"/>
      <c r="AY56" s="46"/>
      <c r="AZ56" s="46"/>
    </row>
    <row r="57" spans="1:52" ht="15" customHeight="1">
      <c r="A57" s="47"/>
      <c r="B57" s="47"/>
      <c r="J57" s="46"/>
      <c r="K57" s="46"/>
      <c r="L57" s="46"/>
      <c r="M57" s="46"/>
      <c r="N57" s="46"/>
      <c r="O57" s="46"/>
      <c r="P57" s="46"/>
      <c r="Q57" s="46"/>
      <c r="R57" s="46"/>
      <c r="S57" s="46"/>
      <c r="T57" s="46"/>
      <c r="U57" s="46"/>
      <c r="V57" s="46"/>
      <c r="W57" s="46"/>
      <c r="X57" s="46"/>
      <c r="Y57" s="46"/>
      <c r="Z57" s="46"/>
      <c r="AA57" s="46"/>
      <c r="AB57" s="46"/>
      <c r="AC57" s="46"/>
      <c r="AD57" s="46"/>
      <c r="AE57" s="46"/>
      <c r="AF57" s="46"/>
      <c r="AG57" s="46"/>
      <c r="AH57" s="46"/>
      <c r="AI57" s="46"/>
      <c r="AJ57" s="46"/>
      <c r="AK57" s="46"/>
      <c r="AL57" s="46"/>
      <c r="AM57" s="46"/>
      <c r="AN57" s="46"/>
      <c r="AO57" s="46"/>
      <c r="AP57" s="46"/>
      <c r="AQ57" s="46"/>
      <c r="AR57" s="46"/>
      <c r="AS57" s="46"/>
      <c r="AT57" s="46"/>
      <c r="AU57" s="46"/>
      <c r="AV57" s="46"/>
      <c r="AW57" s="46"/>
      <c r="AX57" s="46"/>
      <c r="AY57" s="46"/>
      <c r="AZ57" s="46"/>
    </row>
    <row r="58" spans="1:52" ht="15" customHeight="1">
      <c r="A58" s="47"/>
      <c r="B58" s="47"/>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row>
    <row r="59" spans="1:52" ht="15" customHeight="1">
      <c r="A59" s="47"/>
      <c r="B59" s="47"/>
      <c r="J59" s="46"/>
      <c r="K59" s="46"/>
      <c r="L59" s="46"/>
      <c r="M59" s="46"/>
      <c r="N59" s="46"/>
      <c r="O59" s="46"/>
      <c r="P59" s="46"/>
      <c r="Q59" s="46"/>
      <c r="R59" s="46"/>
      <c r="S59" s="46"/>
      <c r="T59" s="46"/>
      <c r="U59" s="46"/>
      <c r="V59" s="46"/>
      <c r="W59" s="46"/>
      <c r="X59" s="46"/>
      <c r="Y59" s="46"/>
      <c r="Z59" s="46"/>
      <c r="AA59" s="46"/>
      <c r="AB59" s="46"/>
      <c r="AC59" s="46"/>
      <c r="AD59" s="46"/>
      <c r="AE59" s="46"/>
      <c r="AF59" s="46"/>
      <c r="AG59" s="46"/>
      <c r="AH59" s="46"/>
      <c r="AI59" s="46"/>
      <c r="AJ59" s="46"/>
      <c r="AK59" s="46"/>
      <c r="AL59" s="46"/>
      <c r="AM59" s="46"/>
      <c r="AN59" s="46"/>
      <c r="AO59" s="46"/>
      <c r="AP59" s="46"/>
      <c r="AQ59" s="46"/>
      <c r="AR59" s="46"/>
      <c r="AS59" s="46"/>
      <c r="AT59" s="46"/>
      <c r="AU59" s="46"/>
      <c r="AV59" s="46"/>
      <c r="AW59" s="46"/>
      <c r="AX59" s="46"/>
      <c r="AY59" s="46"/>
      <c r="AZ59" s="46"/>
    </row>
    <row r="60" spans="1:52" ht="15" customHeight="1">
      <c r="A60" s="47"/>
      <c r="B60" s="47"/>
      <c r="J60" s="46"/>
      <c r="K60" s="46"/>
      <c r="L60" s="46"/>
      <c r="M60" s="46"/>
      <c r="N60" s="46"/>
      <c r="O60" s="46"/>
      <c r="P60" s="46"/>
      <c r="Q60" s="46"/>
      <c r="R60" s="46"/>
      <c r="S60" s="46"/>
      <c r="T60" s="46"/>
      <c r="U60" s="46"/>
      <c r="V60" s="46"/>
      <c r="W60" s="46"/>
      <c r="X60" s="46"/>
      <c r="Y60" s="46"/>
      <c r="Z60" s="46"/>
      <c r="AA60" s="46"/>
      <c r="AB60" s="46"/>
      <c r="AC60" s="46"/>
      <c r="AD60" s="46"/>
      <c r="AE60" s="46"/>
      <c r="AF60" s="46"/>
      <c r="AG60" s="46"/>
      <c r="AH60" s="46"/>
      <c r="AI60" s="46"/>
      <c r="AJ60" s="46"/>
      <c r="AK60" s="46"/>
      <c r="AL60" s="46"/>
      <c r="AM60" s="46"/>
      <c r="AN60" s="46"/>
      <c r="AO60" s="46"/>
      <c r="AP60" s="46"/>
      <c r="AQ60" s="46"/>
      <c r="AR60" s="46"/>
      <c r="AS60" s="46"/>
      <c r="AT60" s="46"/>
      <c r="AU60" s="46"/>
      <c r="AV60" s="46"/>
      <c r="AW60" s="46"/>
      <c r="AX60" s="46"/>
      <c r="AY60" s="46"/>
      <c r="AZ60" s="46"/>
    </row>
    <row r="61" spans="1:52" ht="15" customHeight="1">
      <c r="A61" s="47"/>
      <c r="B61" s="47"/>
      <c r="J61" s="46"/>
      <c r="K61" s="46"/>
      <c r="L61" s="46"/>
      <c r="M61" s="46"/>
      <c r="N61" s="46"/>
      <c r="O61" s="46"/>
      <c r="P61" s="46"/>
      <c r="Q61" s="46"/>
      <c r="R61" s="46"/>
      <c r="S61" s="46"/>
      <c r="T61" s="46"/>
      <c r="U61" s="46"/>
      <c r="V61" s="46"/>
      <c r="W61" s="46"/>
      <c r="X61" s="46"/>
      <c r="Y61" s="46"/>
      <c r="Z61" s="46"/>
      <c r="AA61" s="46"/>
      <c r="AB61" s="46"/>
      <c r="AC61" s="46"/>
      <c r="AD61" s="46"/>
      <c r="AE61" s="46"/>
      <c r="AF61" s="46"/>
      <c r="AG61" s="46"/>
      <c r="AH61" s="46"/>
      <c r="AI61" s="46"/>
      <c r="AJ61" s="46"/>
      <c r="AK61" s="46"/>
      <c r="AL61" s="46"/>
      <c r="AM61" s="46"/>
      <c r="AN61" s="46"/>
      <c r="AO61" s="46"/>
      <c r="AP61" s="46"/>
      <c r="AQ61" s="46"/>
      <c r="AR61" s="46"/>
      <c r="AS61" s="46"/>
      <c r="AT61" s="46"/>
      <c r="AU61" s="46"/>
      <c r="AV61" s="46"/>
      <c r="AW61" s="46"/>
      <c r="AX61" s="46"/>
      <c r="AY61" s="46"/>
      <c r="AZ61" s="46"/>
    </row>
    <row r="62" spans="1:52" ht="15" customHeight="1">
      <c r="A62" s="47"/>
      <c r="B62" s="47"/>
      <c r="J62" s="46"/>
      <c r="K62" s="46"/>
      <c r="L62" s="46"/>
      <c r="M62" s="46"/>
      <c r="N62" s="46"/>
      <c r="O62" s="46"/>
      <c r="P62" s="46"/>
      <c r="Q62" s="46"/>
      <c r="R62" s="46"/>
      <c r="S62" s="46"/>
      <c r="T62" s="46"/>
      <c r="U62" s="46"/>
      <c r="V62" s="46"/>
      <c r="W62" s="46"/>
      <c r="X62" s="46"/>
      <c r="Y62" s="46"/>
      <c r="Z62" s="46"/>
      <c r="AA62" s="46"/>
      <c r="AB62" s="46"/>
      <c r="AC62" s="46"/>
      <c r="AD62" s="46"/>
      <c r="AE62" s="46"/>
      <c r="AF62" s="46"/>
      <c r="AG62" s="46"/>
      <c r="AH62" s="46"/>
      <c r="AI62" s="46"/>
      <c r="AJ62" s="46"/>
      <c r="AK62" s="46"/>
      <c r="AL62" s="46"/>
      <c r="AM62" s="46"/>
      <c r="AN62" s="46"/>
      <c r="AO62" s="46"/>
      <c r="AP62" s="46"/>
      <c r="AQ62" s="46"/>
      <c r="AR62" s="46"/>
      <c r="AS62" s="46"/>
      <c r="AT62" s="46"/>
      <c r="AU62" s="46"/>
      <c r="AV62" s="46"/>
      <c r="AW62" s="46"/>
      <c r="AX62" s="46"/>
      <c r="AY62" s="46"/>
      <c r="AZ62" s="46"/>
    </row>
    <row r="63" spans="1:52" ht="15" customHeight="1">
      <c r="A63" s="47"/>
      <c r="B63" s="47"/>
      <c r="J63" s="46"/>
      <c r="K63" s="46"/>
      <c r="L63" s="46"/>
      <c r="M63" s="46"/>
      <c r="N63" s="46"/>
      <c r="O63" s="46"/>
      <c r="P63" s="46"/>
      <c r="Q63" s="46"/>
      <c r="R63" s="46"/>
      <c r="S63" s="46"/>
      <c r="T63" s="46"/>
      <c r="U63" s="46"/>
      <c r="V63" s="46"/>
      <c r="W63" s="46"/>
      <c r="X63" s="46"/>
      <c r="Y63" s="46"/>
      <c r="Z63" s="46"/>
      <c r="AA63" s="46"/>
      <c r="AB63" s="46"/>
      <c r="AC63" s="46"/>
      <c r="AD63" s="46"/>
      <c r="AE63" s="46"/>
      <c r="AF63" s="46"/>
      <c r="AG63" s="46"/>
      <c r="AH63" s="46"/>
      <c r="AI63" s="46"/>
      <c r="AJ63" s="46"/>
      <c r="AK63" s="46"/>
      <c r="AL63" s="46"/>
      <c r="AM63" s="46"/>
      <c r="AN63" s="46"/>
      <c r="AO63" s="46"/>
      <c r="AP63" s="46"/>
      <c r="AQ63" s="46"/>
      <c r="AR63" s="46"/>
      <c r="AS63" s="46"/>
      <c r="AT63" s="46"/>
      <c r="AU63" s="46"/>
      <c r="AV63" s="46"/>
      <c r="AW63" s="46"/>
      <c r="AX63" s="46"/>
      <c r="AY63" s="46"/>
      <c r="AZ63" s="46"/>
    </row>
    <row r="64" spans="1:52" ht="15" customHeight="1">
      <c r="A64" s="47"/>
      <c r="B64" s="47"/>
      <c r="J64" s="46"/>
      <c r="K64" s="46"/>
      <c r="L64" s="46"/>
      <c r="M64" s="46"/>
      <c r="N64" s="46"/>
      <c r="O64" s="46"/>
      <c r="P64" s="46"/>
      <c r="Q64" s="46"/>
      <c r="R64" s="46"/>
      <c r="S64" s="46"/>
      <c r="T64" s="46"/>
      <c r="U64" s="46"/>
      <c r="V64" s="46"/>
      <c r="W64" s="46"/>
      <c r="X64" s="46"/>
      <c r="Y64" s="46"/>
      <c r="Z64" s="46"/>
      <c r="AA64" s="46"/>
      <c r="AB64" s="46"/>
      <c r="AC64" s="46"/>
      <c r="AD64" s="46"/>
      <c r="AE64" s="46"/>
      <c r="AF64" s="46"/>
      <c r="AG64" s="46"/>
      <c r="AH64" s="46"/>
      <c r="AI64" s="46"/>
      <c r="AJ64" s="46"/>
      <c r="AK64" s="46"/>
      <c r="AL64" s="46"/>
      <c r="AM64" s="46"/>
      <c r="AN64" s="46"/>
      <c r="AO64" s="46"/>
      <c r="AP64" s="46"/>
      <c r="AQ64" s="46"/>
      <c r="AR64" s="46"/>
      <c r="AS64" s="46"/>
      <c r="AT64" s="46"/>
      <c r="AU64" s="46"/>
      <c r="AV64" s="46"/>
      <c r="AW64" s="46"/>
      <c r="AX64" s="46"/>
      <c r="AY64" s="46"/>
      <c r="AZ64" s="46"/>
    </row>
    <row r="65" spans="1:52" ht="15" customHeight="1">
      <c r="A65" s="47"/>
      <c r="B65" s="47"/>
      <c r="J65" s="46"/>
      <c r="K65" s="46"/>
      <c r="L65" s="46"/>
      <c r="M65" s="46"/>
      <c r="N65" s="46"/>
      <c r="O65" s="46"/>
      <c r="P65" s="46"/>
      <c r="Q65" s="46"/>
      <c r="R65" s="46"/>
      <c r="S65" s="46"/>
      <c r="T65" s="46"/>
      <c r="U65" s="46"/>
      <c r="V65" s="46"/>
      <c r="W65" s="46"/>
      <c r="X65" s="46"/>
      <c r="Y65" s="46"/>
      <c r="Z65" s="46"/>
      <c r="AA65" s="46"/>
      <c r="AB65" s="46"/>
      <c r="AC65" s="46"/>
      <c r="AD65" s="46"/>
      <c r="AE65" s="46"/>
      <c r="AF65" s="46"/>
      <c r="AG65" s="46"/>
      <c r="AH65" s="46"/>
      <c r="AI65" s="46"/>
      <c r="AJ65" s="46"/>
      <c r="AK65" s="46"/>
      <c r="AL65" s="46"/>
      <c r="AM65" s="46"/>
      <c r="AN65" s="46"/>
      <c r="AO65" s="46"/>
      <c r="AP65" s="46"/>
      <c r="AQ65" s="46"/>
      <c r="AR65" s="46"/>
      <c r="AS65" s="46"/>
      <c r="AT65" s="46"/>
      <c r="AU65" s="46"/>
      <c r="AV65" s="46"/>
      <c r="AW65" s="46"/>
      <c r="AX65" s="46"/>
      <c r="AY65" s="46"/>
      <c r="AZ65" s="46"/>
    </row>
    <row r="66" spans="1:52" ht="15" customHeight="1">
      <c r="A66" s="47"/>
      <c r="B66" s="47"/>
      <c r="J66" s="46"/>
      <c r="K66" s="46"/>
      <c r="L66" s="46"/>
      <c r="M66" s="46"/>
      <c r="N66" s="46"/>
      <c r="O66" s="46"/>
      <c r="P66" s="46"/>
      <c r="Q66" s="46"/>
      <c r="R66" s="46"/>
      <c r="S66" s="46"/>
      <c r="T66" s="46"/>
      <c r="U66" s="46"/>
      <c r="V66" s="46"/>
      <c r="W66" s="46"/>
      <c r="X66" s="46"/>
      <c r="Y66" s="46"/>
      <c r="Z66" s="46"/>
      <c r="AA66" s="46"/>
      <c r="AB66" s="46"/>
      <c r="AC66" s="46"/>
      <c r="AD66" s="46"/>
      <c r="AE66" s="46"/>
      <c r="AF66" s="46"/>
      <c r="AG66" s="46"/>
      <c r="AH66" s="46"/>
      <c r="AI66" s="46"/>
      <c r="AJ66" s="46"/>
      <c r="AK66" s="46"/>
      <c r="AL66" s="46"/>
      <c r="AM66" s="46"/>
      <c r="AN66" s="46"/>
      <c r="AO66" s="46"/>
      <c r="AP66" s="46"/>
      <c r="AQ66" s="46"/>
      <c r="AR66" s="46"/>
      <c r="AS66" s="46"/>
      <c r="AT66" s="46"/>
      <c r="AU66" s="46"/>
      <c r="AV66" s="46"/>
      <c r="AW66" s="46"/>
      <c r="AX66" s="46"/>
      <c r="AY66" s="46"/>
      <c r="AZ66" s="46"/>
    </row>
    <row r="67" spans="1:52" ht="15" customHeight="1">
      <c r="A67" s="47"/>
      <c r="B67" s="47"/>
      <c r="J67" s="46"/>
      <c r="K67" s="46"/>
      <c r="L67" s="46"/>
      <c r="M67" s="46"/>
      <c r="N67" s="46"/>
      <c r="O67" s="46"/>
      <c r="P67" s="46"/>
      <c r="Q67" s="46"/>
      <c r="R67" s="46"/>
      <c r="S67" s="46"/>
      <c r="T67" s="46"/>
      <c r="U67" s="46"/>
      <c r="V67" s="46"/>
      <c r="W67" s="46"/>
      <c r="X67" s="46"/>
      <c r="Y67" s="46"/>
      <c r="Z67" s="46"/>
      <c r="AA67" s="46"/>
      <c r="AB67" s="46"/>
      <c r="AC67" s="46"/>
      <c r="AD67" s="46"/>
      <c r="AE67" s="46"/>
      <c r="AF67" s="46"/>
      <c r="AG67" s="46"/>
      <c r="AH67" s="46"/>
      <c r="AI67" s="46"/>
      <c r="AJ67" s="46"/>
      <c r="AK67" s="46"/>
      <c r="AL67" s="46"/>
      <c r="AM67" s="46"/>
      <c r="AN67" s="46"/>
      <c r="AO67" s="46"/>
      <c r="AP67" s="46"/>
      <c r="AQ67" s="46"/>
      <c r="AR67" s="46"/>
      <c r="AS67" s="46"/>
      <c r="AT67" s="46"/>
      <c r="AU67" s="46"/>
      <c r="AV67" s="46"/>
      <c r="AW67" s="46"/>
      <c r="AX67" s="46"/>
      <c r="AY67" s="46"/>
      <c r="AZ67" s="46"/>
    </row>
    <row r="68" spans="1:52" ht="15" customHeight="1">
      <c r="A68" s="47"/>
      <c r="B68" s="47"/>
      <c r="J68" s="46"/>
      <c r="K68" s="46"/>
      <c r="L68" s="46"/>
      <c r="M68" s="46"/>
      <c r="N68" s="46"/>
      <c r="O68" s="46"/>
      <c r="P68" s="46"/>
      <c r="Q68" s="46"/>
      <c r="R68" s="46"/>
      <c r="S68" s="46"/>
      <c r="T68" s="46"/>
      <c r="U68" s="46"/>
      <c r="V68" s="46"/>
      <c r="W68" s="46"/>
      <c r="X68" s="46"/>
      <c r="Y68" s="46"/>
      <c r="Z68" s="46"/>
      <c r="AA68" s="46"/>
      <c r="AB68" s="46"/>
      <c r="AC68" s="46"/>
      <c r="AD68" s="46"/>
      <c r="AE68" s="46"/>
      <c r="AF68" s="46"/>
      <c r="AG68" s="46"/>
      <c r="AH68" s="46"/>
      <c r="AI68" s="46"/>
      <c r="AJ68" s="46"/>
      <c r="AK68" s="46"/>
      <c r="AL68" s="46"/>
      <c r="AM68" s="46"/>
      <c r="AN68" s="46"/>
      <c r="AO68" s="46"/>
      <c r="AP68" s="46"/>
      <c r="AQ68" s="46"/>
      <c r="AR68" s="46"/>
      <c r="AS68" s="46"/>
      <c r="AT68" s="46"/>
      <c r="AU68" s="46"/>
      <c r="AV68" s="46"/>
      <c r="AW68" s="46"/>
      <c r="AX68" s="46"/>
      <c r="AY68" s="46"/>
      <c r="AZ68" s="46"/>
    </row>
    <row r="69" spans="1:52" ht="15" customHeight="1">
      <c r="A69" s="47"/>
      <c r="B69" s="47"/>
      <c r="J69" s="46"/>
      <c r="K69" s="46"/>
      <c r="L69" s="46"/>
      <c r="M69" s="46"/>
      <c r="N69" s="46"/>
      <c r="O69" s="46"/>
      <c r="P69" s="46"/>
      <c r="Q69" s="46"/>
      <c r="R69" s="46"/>
      <c r="S69" s="46"/>
      <c r="T69" s="46"/>
      <c r="U69" s="46"/>
      <c r="V69" s="46"/>
      <c r="W69" s="46"/>
      <c r="X69" s="46"/>
      <c r="Y69" s="46"/>
      <c r="Z69" s="46"/>
      <c r="AA69" s="46"/>
      <c r="AB69" s="46"/>
      <c r="AC69" s="46"/>
      <c r="AD69" s="46"/>
      <c r="AE69" s="46"/>
      <c r="AF69" s="46"/>
      <c r="AG69" s="46"/>
      <c r="AH69" s="46"/>
      <c r="AI69" s="46"/>
      <c r="AJ69" s="46"/>
      <c r="AK69" s="46"/>
      <c r="AL69" s="46"/>
      <c r="AM69" s="46"/>
      <c r="AN69" s="46"/>
      <c r="AO69" s="46"/>
      <c r="AP69" s="46"/>
      <c r="AQ69" s="46"/>
      <c r="AR69" s="46"/>
      <c r="AS69" s="46"/>
      <c r="AT69" s="46"/>
      <c r="AU69" s="46"/>
      <c r="AV69" s="46"/>
      <c r="AW69" s="46"/>
      <c r="AX69" s="46"/>
      <c r="AY69" s="46"/>
      <c r="AZ69" s="46"/>
    </row>
    <row r="70" spans="1:52" ht="15" customHeight="1">
      <c r="A70" s="47"/>
      <c r="B70" s="47"/>
      <c r="J70" s="46"/>
      <c r="K70" s="46"/>
      <c r="L70" s="46"/>
      <c r="M70" s="46"/>
      <c r="N70" s="46"/>
      <c r="O70" s="46"/>
      <c r="P70" s="46"/>
      <c r="Q70" s="46"/>
      <c r="R70" s="46"/>
      <c r="S70" s="46"/>
      <c r="T70" s="46"/>
      <c r="U70" s="46"/>
      <c r="V70" s="46"/>
      <c r="W70" s="46"/>
      <c r="X70" s="46"/>
      <c r="Y70" s="46"/>
      <c r="Z70" s="46"/>
      <c r="AA70" s="46"/>
      <c r="AB70" s="46"/>
      <c r="AC70" s="46"/>
      <c r="AD70" s="46"/>
      <c r="AE70" s="46"/>
      <c r="AF70" s="46"/>
      <c r="AG70" s="46"/>
      <c r="AH70" s="46"/>
      <c r="AI70" s="46"/>
      <c r="AJ70" s="46"/>
      <c r="AK70" s="46"/>
      <c r="AL70" s="46"/>
      <c r="AM70" s="46"/>
      <c r="AN70" s="46"/>
      <c r="AO70" s="46"/>
      <c r="AP70" s="46"/>
      <c r="AQ70" s="46"/>
      <c r="AR70" s="46"/>
      <c r="AS70" s="46"/>
      <c r="AT70" s="46"/>
      <c r="AU70" s="46"/>
      <c r="AV70" s="46"/>
      <c r="AW70" s="46"/>
      <c r="AX70" s="46"/>
      <c r="AY70" s="46"/>
      <c r="AZ70" s="46"/>
    </row>
    <row r="71" spans="1:52" ht="15" customHeight="1">
      <c r="A71" s="47"/>
      <c r="B71" s="47"/>
      <c r="J71" s="46"/>
      <c r="K71" s="46"/>
      <c r="L71" s="46"/>
      <c r="M71" s="46"/>
      <c r="N71" s="46"/>
      <c r="O71" s="46"/>
      <c r="P71" s="46"/>
      <c r="Q71" s="46"/>
      <c r="R71" s="46"/>
      <c r="S71" s="46"/>
      <c r="T71" s="46"/>
      <c r="U71" s="46"/>
      <c r="V71" s="46"/>
      <c r="W71" s="46"/>
      <c r="X71" s="46"/>
      <c r="Y71" s="46"/>
      <c r="Z71" s="46"/>
      <c r="AA71" s="46"/>
      <c r="AB71" s="46"/>
      <c r="AC71" s="46"/>
      <c r="AD71" s="46"/>
      <c r="AE71" s="46"/>
      <c r="AF71" s="46"/>
      <c r="AG71" s="46"/>
      <c r="AH71" s="46"/>
      <c r="AI71" s="46"/>
      <c r="AJ71" s="46"/>
      <c r="AK71" s="46"/>
      <c r="AL71" s="46"/>
      <c r="AM71" s="46"/>
      <c r="AN71" s="46"/>
      <c r="AO71" s="46"/>
      <c r="AP71" s="46"/>
      <c r="AQ71" s="46"/>
      <c r="AR71" s="46"/>
      <c r="AS71" s="46"/>
      <c r="AT71" s="46"/>
      <c r="AU71" s="46"/>
      <c r="AV71" s="46"/>
      <c r="AW71" s="46"/>
      <c r="AX71" s="46"/>
      <c r="AY71" s="46"/>
      <c r="AZ71" s="46"/>
    </row>
    <row r="72" spans="1:52" ht="15" customHeight="1">
      <c r="A72" s="47"/>
      <c r="B72" s="47"/>
      <c r="J72" s="46"/>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c r="AJ72" s="46"/>
      <c r="AK72" s="46"/>
      <c r="AL72" s="46"/>
      <c r="AM72" s="46"/>
      <c r="AN72" s="46"/>
      <c r="AO72" s="46"/>
      <c r="AP72" s="46"/>
      <c r="AQ72" s="46"/>
      <c r="AR72" s="46"/>
      <c r="AS72" s="46"/>
      <c r="AT72" s="46"/>
      <c r="AU72" s="46"/>
      <c r="AV72" s="46"/>
      <c r="AW72" s="46"/>
      <c r="AX72" s="46"/>
      <c r="AY72" s="46"/>
      <c r="AZ72" s="46"/>
    </row>
    <row r="73" spans="1:52" ht="15" customHeight="1">
      <c r="A73" s="47"/>
      <c r="B73" s="47"/>
      <c r="J73" s="46"/>
      <c r="K73" s="46"/>
      <c r="L73" s="46"/>
      <c r="M73" s="46"/>
      <c r="N73" s="46"/>
      <c r="O73" s="46"/>
      <c r="P73" s="46"/>
      <c r="Q73" s="46"/>
      <c r="R73" s="46"/>
      <c r="S73" s="46"/>
      <c r="T73" s="46"/>
      <c r="U73" s="46"/>
      <c r="V73" s="46"/>
      <c r="W73" s="46"/>
      <c r="X73" s="46"/>
      <c r="Y73" s="46"/>
      <c r="Z73" s="46"/>
      <c r="AA73" s="46"/>
      <c r="AB73" s="46"/>
      <c r="AC73" s="46"/>
      <c r="AD73" s="46"/>
      <c r="AE73" s="46"/>
      <c r="AF73" s="46"/>
      <c r="AG73" s="46"/>
      <c r="AH73" s="46"/>
      <c r="AI73" s="46"/>
      <c r="AJ73" s="46"/>
      <c r="AK73" s="46"/>
      <c r="AL73" s="46"/>
      <c r="AM73" s="46"/>
      <c r="AN73" s="46"/>
      <c r="AO73" s="46"/>
      <c r="AP73" s="46"/>
      <c r="AQ73" s="46"/>
      <c r="AR73" s="46"/>
      <c r="AS73" s="46"/>
      <c r="AT73" s="46"/>
      <c r="AU73" s="46"/>
      <c r="AV73" s="46"/>
      <c r="AW73" s="46"/>
      <c r="AX73" s="46"/>
      <c r="AY73" s="46"/>
      <c r="AZ73" s="46"/>
    </row>
    <row r="74" spans="1:52" ht="15" customHeight="1">
      <c r="A74" s="47"/>
      <c r="B74" s="47"/>
      <c r="J74" s="46"/>
      <c r="K74" s="46"/>
      <c r="L74" s="46"/>
      <c r="M74" s="46"/>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c r="AM74" s="46"/>
      <c r="AN74" s="46"/>
      <c r="AO74" s="46"/>
      <c r="AP74" s="46"/>
      <c r="AQ74" s="46"/>
      <c r="AR74" s="46"/>
      <c r="AS74" s="46"/>
      <c r="AT74" s="46"/>
      <c r="AU74" s="46"/>
      <c r="AV74" s="46"/>
      <c r="AW74" s="46"/>
      <c r="AX74" s="46"/>
      <c r="AY74" s="46"/>
      <c r="AZ74" s="46"/>
    </row>
    <row r="75" spans="1:52" ht="15" customHeight="1">
      <c r="A75" s="47"/>
      <c r="B75" s="47"/>
      <c r="J75" s="46"/>
      <c r="K75" s="46"/>
      <c r="L75" s="46"/>
      <c r="M75" s="46"/>
      <c r="N75" s="46"/>
      <c r="O75" s="46"/>
      <c r="P75" s="46"/>
      <c r="Q75" s="46"/>
      <c r="R75" s="46"/>
      <c r="S75" s="46"/>
      <c r="T75" s="46"/>
      <c r="U75" s="46"/>
      <c r="V75" s="46"/>
      <c r="W75" s="46"/>
      <c r="X75" s="46"/>
      <c r="Y75" s="46"/>
      <c r="Z75" s="46"/>
      <c r="AA75" s="46"/>
      <c r="AB75" s="46"/>
      <c r="AC75" s="46"/>
      <c r="AD75" s="46"/>
      <c r="AE75" s="46"/>
      <c r="AF75" s="46"/>
      <c r="AG75" s="46"/>
      <c r="AH75" s="46"/>
      <c r="AI75" s="46"/>
      <c r="AJ75" s="46"/>
      <c r="AK75" s="46"/>
      <c r="AL75" s="46"/>
      <c r="AM75" s="46"/>
      <c r="AN75" s="46"/>
      <c r="AO75" s="46"/>
      <c r="AP75" s="46"/>
      <c r="AQ75" s="46"/>
      <c r="AR75" s="46"/>
      <c r="AS75" s="46"/>
      <c r="AT75" s="46"/>
      <c r="AU75" s="46"/>
      <c r="AV75" s="46"/>
      <c r="AW75" s="46"/>
      <c r="AX75" s="46"/>
      <c r="AY75" s="46"/>
      <c r="AZ75" s="46"/>
    </row>
    <row r="76" spans="1:52" ht="15" customHeight="1">
      <c r="A76" s="47"/>
      <c r="B76" s="47"/>
      <c r="J76" s="46"/>
      <c r="K76" s="46"/>
      <c r="L76" s="46"/>
      <c r="M76" s="46"/>
      <c r="N76" s="46"/>
      <c r="O76" s="46"/>
      <c r="P76" s="46"/>
      <c r="Q76" s="46"/>
      <c r="R76" s="46"/>
      <c r="S76" s="46"/>
      <c r="T76" s="46"/>
      <c r="U76" s="46"/>
      <c r="V76" s="46"/>
      <c r="W76" s="46"/>
      <c r="X76" s="46"/>
      <c r="Y76" s="46"/>
      <c r="Z76" s="46"/>
      <c r="AA76" s="46"/>
      <c r="AB76" s="46"/>
      <c r="AC76" s="46"/>
      <c r="AD76" s="46"/>
      <c r="AE76" s="46"/>
      <c r="AF76" s="46"/>
      <c r="AG76" s="46"/>
      <c r="AH76" s="46"/>
      <c r="AI76" s="46"/>
      <c r="AJ76" s="46"/>
      <c r="AK76" s="46"/>
      <c r="AL76" s="46"/>
      <c r="AM76" s="46"/>
      <c r="AN76" s="46"/>
      <c r="AO76" s="46"/>
      <c r="AP76" s="46"/>
      <c r="AQ76" s="46"/>
      <c r="AR76" s="46"/>
      <c r="AS76" s="46"/>
      <c r="AT76" s="46"/>
      <c r="AU76" s="46"/>
      <c r="AV76" s="46"/>
      <c r="AW76" s="46"/>
      <c r="AX76" s="46"/>
      <c r="AY76" s="46"/>
      <c r="AZ76" s="46"/>
    </row>
    <row r="77" spans="1:52" ht="15" customHeight="1">
      <c r="A77" s="47"/>
      <c r="B77" s="47"/>
      <c r="J77" s="46"/>
      <c r="K77" s="46"/>
      <c r="L77" s="46"/>
      <c r="M77" s="46"/>
      <c r="N77" s="46"/>
      <c r="O77" s="46"/>
      <c r="P77" s="46"/>
      <c r="Q77" s="46"/>
      <c r="R77" s="46"/>
      <c r="S77" s="46"/>
      <c r="T77" s="46"/>
      <c r="U77" s="46"/>
      <c r="V77" s="46"/>
      <c r="W77" s="46"/>
      <c r="X77" s="46"/>
      <c r="Y77" s="46"/>
      <c r="Z77" s="46"/>
      <c r="AA77" s="46"/>
      <c r="AB77" s="46"/>
      <c r="AC77" s="46"/>
      <c r="AD77" s="46"/>
      <c r="AE77" s="46"/>
      <c r="AF77" s="46"/>
      <c r="AG77" s="46"/>
      <c r="AH77" s="46"/>
      <c r="AI77" s="46"/>
      <c r="AJ77" s="46"/>
      <c r="AK77" s="46"/>
      <c r="AL77" s="46"/>
      <c r="AM77" s="46"/>
      <c r="AN77" s="46"/>
      <c r="AO77" s="46"/>
      <c r="AP77" s="46"/>
      <c r="AQ77" s="46"/>
      <c r="AR77" s="46"/>
      <c r="AS77" s="46"/>
      <c r="AT77" s="46"/>
      <c r="AU77" s="46"/>
      <c r="AV77" s="46"/>
      <c r="AW77" s="46"/>
      <c r="AX77" s="46"/>
      <c r="AY77" s="46"/>
      <c r="AZ77" s="46"/>
    </row>
    <row r="78" spans="1:52" ht="15" customHeight="1">
      <c r="A78" s="47"/>
      <c r="B78" s="47"/>
      <c r="J78" s="46"/>
      <c r="K78" s="46"/>
      <c r="L78" s="46"/>
      <c r="M78" s="46"/>
      <c r="N78" s="46"/>
      <c r="O78" s="46"/>
      <c r="P78" s="46"/>
      <c r="Q78" s="46"/>
      <c r="R78" s="46"/>
      <c r="S78" s="46"/>
      <c r="T78" s="46"/>
      <c r="U78" s="46"/>
      <c r="V78" s="46"/>
      <c r="W78" s="46"/>
      <c r="X78" s="46"/>
      <c r="Y78" s="46"/>
      <c r="Z78" s="46"/>
      <c r="AA78" s="46"/>
      <c r="AB78" s="46"/>
      <c r="AC78" s="46"/>
      <c r="AD78" s="46"/>
      <c r="AE78" s="46"/>
      <c r="AF78" s="46"/>
      <c r="AG78" s="46"/>
      <c r="AH78" s="46"/>
      <c r="AI78" s="46"/>
      <c r="AJ78" s="46"/>
      <c r="AK78" s="46"/>
      <c r="AL78" s="46"/>
      <c r="AM78" s="46"/>
      <c r="AN78" s="46"/>
      <c r="AO78" s="46"/>
      <c r="AP78" s="46"/>
      <c r="AQ78" s="46"/>
      <c r="AR78" s="46"/>
      <c r="AS78" s="46"/>
      <c r="AT78" s="46"/>
      <c r="AU78" s="46"/>
      <c r="AV78" s="46"/>
      <c r="AW78" s="46"/>
      <c r="AX78" s="46"/>
      <c r="AY78" s="46"/>
      <c r="AZ78" s="46"/>
    </row>
    <row r="79" spans="1:52" ht="15" customHeight="1">
      <c r="A79" s="47"/>
      <c r="B79" s="47"/>
      <c r="J79" s="46"/>
      <c r="K79" s="46"/>
      <c r="L79" s="46"/>
      <c r="M79" s="46"/>
      <c r="N79" s="46"/>
      <c r="O79" s="46"/>
      <c r="P79" s="46"/>
      <c r="Q79" s="46"/>
      <c r="R79" s="46"/>
      <c r="S79" s="46"/>
      <c r="T79" s="46"/>
      <c r="U79" s="46"/>
      <c r="V79" s="46"/>
      <c r="W79" s="46"/>
      <c r="X79" s="46"/>
      <c r="Y79" s="46"/>
      <c r="Z79" s="46"/>
      <c r="AA79" s="46"/>
      <c r="AB79" s="46"/>
      <c r="AC79" s="46"/>
      <c r="AD79" s="46"/>
      <c r="AE79" s="46"/>
      <c r="AF79" s="46"/>
      <c r="AG79" s="46"/>
      <c r="AH79" s="46"/>
      <c r="AI79" s="46"/>
      <c r="AJ79" s="46"/>
      <c r="AK79" s="46"/>
      <c r="AL79" s="46"/>
      <c r="AM79" s="46"/>
      <c r="AN79" s="46"/>
      <c r="AO79" s="46"/>
      <c r="AP79" s="46"/>
      <c r="AQ79" s="46"/>
      <c r="AR79" s="46"/>
      <c r="AS79" s="46"/>
      <c r="AT79" s="46"/>
      <c r="AU79" s="46"/>
      <c r="AV79" s="46"/>
      <c r="AW79" s="46"/>
      <c r="AX79" s="46"/>
      <c r="AY79" s="46"/>
      <c r="AZ79" s="46"/>
    </row>
    <row r="80" spans="1:52" ht="15" customHeight="1">
      <c r="A80" s="47"/>
      <c r="B80" s="47"/>
      <c r="J80" s="46"/>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c r="AJ80" s="46"/>
      <c r="AK80" s="46"/>
      <c r="AL80" s="46"/>
      <c r="AM80" s="46"/>
      <c r="AN80" s="46"/>
      <c r="AO80" s="46"/>
      <c r="AP80" s="46"/>
      <c r="AQ80" s="46"/>
      <c r="AR80" s="46"/>
      <c r="AS80" s="46"/>
      <c r="AT80" s="46"/>
      <c r="AU80" s="46"/>
      <c r="AV80" s="46"/>
      <c r="AW80" s="46"/>
      <c r="AX80" s="46"/>
      <c r="AY80" s="46"/>
      <c r="AZ80" s="46"/>
    </row>
    <row r="81" spans="1:52" ht="15" customHeight="1">
      <c r="A81" s="47"/>
      <c r="B81" s="47"/>
      <c r="J81" s="46"/>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c r="AJ81" s="46"/>
      <c r="AK81" s="46"/>
      <c r="AL81" s="46"/>
      <c r="AM81" s="46"/>
      <c r="AN81" s="46"/>
      <c r="AO81" s="46"/>
      <c r="AP81" s="46"/>
      <c r="AQ81" s="46"/>
      <c r="AR81" s="46"/>
      <c r="AS81" s="46"/>
      <c r="AT81" s="46"/>
      <c r="AU81" s="46"/>
      <c r="AV81" s="46"/>
      <c r="AW81" s="46"/>
      <c r="AX81" s="46"/>
      <c r="AY81" s="46"/>
      <c r="AZ81" s="46"/>
    </row>
    <row r="82" spans="1:52" ht="15" customHeight="1">
      <c r="A82" s="47"/>
      <c r="B82" s="47"/>
      <c r="J82" s="46"/>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c r="AM82" s="46"/>
      <c r="AN82" s="46"/>
      <c r="AO82" s="46"/>
      <c r="AP82" s="46"/>
      <c r="AQ82" s="46"/>
      <c r="AR82" s="46"/>
      <c r="AS82" s="46"/>
      <c r="AT82" s="46"/>
      <c r="AU82" s="46"/>
      <c r="AV82" s="46"/>
      <c r="AW82" s="46"/>
      <c r="AX82" s="46"/>
      <c r="AY82" s="46"/>
      <c r="AZ82" s="46"/>
    </row>
    <row r="83" spans="1:52" ht="15" customHeight="1">
      <c r="A83" s="47"/>
      <c r="B83" s="47"/>
      <c r="J83" s="46"/>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c r="AM83" s="46"/>
      <c r="AN83" s="46"/>
      <c r="AO83" s="46"/>
      <c r="AP83" s="46"/>
      <c r="AQ83" s="46"/>
      <c r="AR83" s="46"/>
      <c r="AS83" s="46"/>
      <c r="AT83" s="46"/>
      <c r="AU83" s="46"/>
      <c r="AV83" s="46"/>
      <c r="AW83" s="46"/>
      <c r="AX83" s="46"/>
      <c r="AY83" s="46"/>
      <c r="AZ83" s="46"/>
    </row>
    <row r="84" spans="1:52" ht="15" customHeight="1">
      <c r="A84" s="47"/>
      <c r="B84" s="47"/>
      <c r="J84" s="46"/>
      <c r="K84" s="46"/>
      <c r="L84" s="46"/>
      <c r="M84" s="46"/>
      <c r="N84" s="46"/>
      <c r="O84" s="46"/>
      <c r="P84" s="46"/>
      <c r="Q84" s="46"/>
      <c r="R84" s="46"/>
      <c r="S84" s="46"/>
      <c r="T84" s="46"/>
      <c r="U84" s="46"/>
      <c r="V84" s="46"/>
      <c r="W84" s="46"/>
      <c r="X84" s="46"/>
      <c r="Y84" s="46"/>
      <c r="Z84" s="46"/>
      <c r="AA84" s="46"/>
      <c r="AB84" s="46"/>
      <c r="AC84" s="46"/>
      <c r="AD84" s="46"/>
      <c r="AE84" s="46"/>
      <c r="AF84" s="46"/>
      <c r="AG84" s="46"/>
      <c r="AH84" s="46"/>
      <c r="AI84" s="46"/>
      <c r="AJ84" s="46"/>
      <c r="AK84" s="46"/>
      <c r="AL84" s="46"/>
      <c r="AM84" s="46"/>
      <c r="AN84" s="46"/>
      <c r="AO84" s="46"/>
      <c r="AP84" s="46"/>
      <c r="AQ84" s="46"/>
      <c r="AR84" s="46"/>
      <c r="AS84" s="46"/>
      <c r="AT84" s="46"/>
      <c r="AU84" s="46"/>
      <c r="AV84" s="46"/>
      <c r="AW84" s="46"/>
      <c r="AX84" s="46"/>
      <c r="AY84" s="46"/>
      <c r="AZ84" s="46"/>
    </row>
    <row r="85" spans="1:52" ht="15" customHeight="1">
      <c r="A85" s="47"/>
      <c r="B85" s="47"/>
      <c r="J85" s="46"/>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c r="AM85" s="46"/>
      <c r="AN85" s="46"/>
      <c r="AO85" s="46"/>
      <c r="AP85" s="46"/>
      <c r="AQ85" s="46"/>
      <c r="AR85" s="46"/>
      <c r="AS85" s="46"/>
      <c r="AT85" s="46"/>
      <c r="AU85" s="46"/>
      <c r="AV85" s="46"/>
      <c r="AW85" s="46"/>
      <c r="AX85" s="46"/>
      <c r="AY85" s="46"/>
      <c r="AZ85" s="46"/>
    </row>
    <row r="86" spans="1:52" ht="15" customHeight="1">
      <c r="A86" s="47"/>
      <c r="B86" s="47"/>
      <c r="J86" s="46"/>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c r="AM86" s="46"/>
      <c r="AN86" s="46"/>
      <c r="AO86" s="46"/>
      <c r="AP86" s="46"/>
      <c r="AQ86" s="46"/>
      <c r="AR86" s="46"/>
      <c r="AS86" s="46"/>
      <c r="AT86" s="46"/>
      <c r="AU86" s="46"/>
      <c r="AV86" s="46"/>
      <c r="AW86" s="46"/>
      <c r="AX86" s="46"/>
      <c r="AY86" s="46"/>
      <c r="AZ86" s="46"/>
    </row>
    <row r="87" spans="1:52" ht="15" customHeight="1">
      <c r="A87" s="47"/>
      <c r="B87" s="47"/>
      <c r="J87" s="46"/>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c r="AM87" s="46"/>
      <c r="AN87" s="46"/>
      <c r="AO87" s="46"/>
      <c r="AP87" s="46"/>
      <c r="AQ87" s="46"/>
      <c r="AR87" s="46"/>
      <c r="AS87" s="46"/>
      <c r="AT87" s="46"/>
      <c r="AU87" s="46"/>
      <c r="AV87" s="46"/>
      <c r="AW87" s="46"/>
      <c r="AX87" s="46"/>
      <c r="AY87" s="46"/>
      <c r="AZ87" s="46"/>
    </row>
    <row r="88" spans="1:52" ht="15" customHeight="1">
      <c r="A88" s="47"/>
      <c r="B88" s="47"/>
      <c r="J88" s="46"/>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c r="AM88" s="46"/>
      <c r="AN88" s="46"/>
      <c r="AO88" s="46"/>
      <c r="AP88" s="46"/>
      <c r="AQ88" s="46"/>
      <c r="AR88" s="46"/>
      <c r="AS88" s="46"/>
      <c r="AT88" s="46"/>
      <c r="AU88" s="46"/>
      <c r="AV88" s="46"/>
      <c r="AW88" s="46"/>
      <c r="AX88" s="46"/>
      <c r="AY88" s="46"/>
      <c r="AZ88" s="46"/>
    </row>
    <row r="89" spans="1:52" ht="15" customHeight="1">
      <c r="A89" s="47"/>
      <c r="B89" s="47"/>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c r="AM89" s="46"/>
      <c r="AN89" s="46"/>
      <c r="AO89" s="46"/>
      <c r="AP89" s="46"/>
      <c r="AQ89" s="46"/>
      <c r="AR89" s="46"/>
      <c r="AS89" s="46"/>
      <c r="AT89" s="46"/>
      <c r="AU89" s="46"/>
      <c r="AV89" s="46"/>
      <c r="AW89" s="46"/>
      <c r="AX89" s="46"/>
      <c r="AY89" s="46"/>
      <c r="AZ89" s="46"/>
    </row>
    <row r="90" spans="1:52" ht="15" customHeight="1">
      <c r="A90" s="47"/>
      <c r="B90" s="47"/>
      <c r="J90" s="46"/>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c r="AM90" s="46"/>
      <c r="AN90" s="46"/>
      <c r="AO90" s="46"/>
      <c r="AP90" s="46"/>
      <c r="AQ90" s="46"/>
      <c r="AR90" s="46"/>
      <c r="AS90" s="46"/>
      <c r="AT90" s="46"/>
      <c r="AU90" s="46"/>
      <c r="AV90" s="46"/>
      <c r="AW90" s="46"/>
      <c r="AX90" s="46"/>
      <c r="AY90" s="46"/>
      <c r="AZ90" s="46"/>
    </row>
    <row r="91" spans="1:52" ht="15" customHeight="1">
      <c r="A91" s="47"/>
      <c r="B91" s="47"/>
      <c r="J91" s="46"/>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c r="AM91" s="46"/>
      <c r="AN91" s="46"/>
      <c r="AO91" s="46"/>
      <c r="AP91" s="46"/>
      <c r="AQ91" s="46"/>
      <c r="AR91" s="46"/>
      <c r="AS91" s="46"/>
      <c r="AT91" s="46"/>
      <c r="AU91" s="46"/>
      <c r="AV91" s="46"/>
      <c r="AW91" s="46"/>
      <c r="AX91" s="46"/>
      <c r="AY91" s="46"/>
      <c r="AZ91" s="46"/>
    </row>
    <row r="92" spans="1:52" ht="15" customHeight="1">
      <c r="A92" s="47"/>
      <c r="B92" s="47"/>
      <c r="J92" s="46"/>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c r="AM92" s="46"/>
      <c r="AN92" s="46"/>
      <c r="AO92" s="46"/>
      <c r="AP92" s="46"/>
      <c r="AQ92" s="46"/>
      <c r="AR92" s="46"/>
      <c r="AS92" s="46"/>
      <c r="AT92" s="46"/>
      <c r="AU92" s="46"/>
      <c r="AV92" s="46"/>
      <c r="AW92" s="46"/>
      <c r="AX92" s="46"/>
      <c r="AY92" s="46"/>
      <c r="AZ92" s="46"/>
    </row>
    <row r="93" spans="1:52" ht="15" customHeight="1">
      <c r="A93" s="47"/>
      <c r="B93" s="47"/>
      <c r="J93" s="46"/>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c r="AM93" s="46"/>
      <c r="AN93" s="46"/>
      <c r="AO93" s="46"/>
      <c r="AP93" s="46"/>
      <c r="AQ93" s="46"/>
      <c r="AR93" s="46"/>
      <c r="AS93" s="46"/>
      <c r="AT93" s="46"/>
      <c r="AU93" s="46"/>
      <c r="AV93" s="46"/>
      <c r="AW93" s="46"/>
      <c r="AX93" s="46"/>
      <c r="AY93" s="46"/>
      <c r="AZ93" s="46"/>
    </row>
    <row r="94" spans="1:52" ht="15" customHeight="1">
      <c r="A94" s="47"/>
      <c r="B94" s="47"/>
      <c r="J94" s="46"/>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c r="AM94" s="46"/>
      <c r="AN94" s="46"/>
      <c r="AO94" s="46"/>
      <c r="AP94" s="46"/>
      <c r="AQ94" s="46"/>
      <c r="AR94" s="46"/>
      <c r="AS94" s="46"/>
      <c r="AT94" s="46"/>
      <c r="AU94" s="46"/>
      <c r="AV94" s="46"/>
      <c r="AW94" s="46"/>
      <c r="AX94" s="46"/>
      <c r="AY94" s="46"/>
      <c r="AZ94" s="46"/>
    </row>
    <row r="95" spans="1:52" ht="15" customHeight="1">
      <c r="A95" s="47"/>
      <c r="B95" s="47"/>
      <c r="J95" s="46"/>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c r="AM95" s="46"/>
      <c r="AN95" s="46"/>
      <c r="AO95" s="46"/>
      <c r="AP95" s="46"/>
      <c r="AQ95" s="46"/>
      <c r="AR95" s="46"/>
      <c r="AS95" s="46"/>
      <c r="AT95" s="46"/>
      <c r="AU95" s="46"/>
      <c r="AV95" s="46"/>
      <c r="AW95" s="46"/>
      <c r="AX95" s="46"/>
      <c r="AY95" s="46"/>
      <c r="AZ95" s="46"/>
    </row>
    <row r="96" spans="1:52" ht="15" customHeight="1">
      <c r="A96" s="47"/>
      <c r="B96" s="47"/>
      <c r="J96" s="46"/>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c r="AJ96" s="46"/>
      <c r="AK96" s="46"/>
      <c r="AL96" s="46"/>
      <c r="AM96" s="46"/>
      <c r="AN96" s="46"/>
      <c r="AO96" s="46"/>
      <c r="AP96" s="46"/>
      <c r="AQ96" s="46"/>
      <c r="AR96" s="46"/>
      <c r="AS96" s="46"/>
      <c r="AT96" s="46"/>
      <c r="AU96" s="46"/>
      <c r="AV96" s="46"/>
      <c r="AW96" s="46"/>
      <c r="AX96" s="46"/>
      <c r="AY96" s="46"/>
      <c r="AZ96" s="46"/>
    </row>
    <row r="97" spans="1:52" ht="15" customHeight="1">
      <c r="A97" s="47"/>
      <c r="B97" s="47"/>
      <c r="J97" s="46"/>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c r="AJ97" s="46"/>
      <c r="AK97" s="46"/>
      <c r="AL97" s="46"/>
      <c r="AM97" s="46"/>
      <c r="AN97" s="46"/>
      <c r="AO97" s="46"/>
      <c r="AP97" s="46"/>
      <c r="AQ97" s="46"/>
      <c r="AR97" s="46"/>
      <c r="AS97" s="46"/>
      <c r="AT97" s="46"/>
      <c r="AU97" s="46"/>
      <c r="AV97" s="46"/>
      <c r="AW97" s="46"/>
      <c r="AX97" s="46"/>
      <c r="AY97" s="46"/>
      <c r="AZ97" s="46"/>
    </row>
    <row r="98" spans="1:52" ht="15" customHeight="1">
      <c r="A98" s="47"/>
      <c r="B98" s="47"/>
      <c r="J98" s="46"/>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c r="AM98" s="46"/>
      <c r="AN98" s="46"/>
      <c r="AO98" s="46"/>
      <c r="AP98" s="46"/>
      <c r="AQ98" s="46"/>
      <c r="AR98" s="46"/>
      <c r="AS98" s="46"/>
      <c r="AT98" s="46"/>
      <c r="AU98" s="46"/>
      <c r="AV98" s="46"/>
      <c r="AW98" s="46"/>
      <c r="AX98" s="46"/>
      <c r="AY98" s="46"/>
      <c r="AZ98" s="46"/>
    </row>
    <row r="99" spans="1:52" ht="15" customHeight="1">
      <c r="A99" s="47"/>
      <c r="B99" s="47"/>
      <c r="J99" s="46"/>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c r="AM99" s="46"/>
      <c r="AN99" s="46"/>
      <c r="AO99" s="46"/>
      <c r="AP99" s="46"/>
      <c r="AQ99" s="46"/>
      <c r="AR99" s="46"/>
      <c r="AS99" s="46"/>
      <c r="AT99" s="46"/>
      <c r="AU99" s="46"/>
      <c r="AV99" s="46"/>
      <c r="AW99" s="46"/>
      <c r="AX99" s="46"/>
      <c r="AY99" s="46"/>
      <c r="AZ99" s="46"/>
    </row>
    <row r="100" spans="1:52" ht="15" customHeight="1">
      <c r="A100" s="47"/>
      <c r="B100" s="47"/>
      <c r="J100" s="46"/>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c r="AM100" s="46"/>
      <c r="AN100" s="46"/>
      <c r="AO100" s="46"/>
      <c r="AP100" s="46"/>
      <c r="AQ100" s="46"/>
      <c r="AR100" s="46"/>
      <c r="AS100" s="46"/>
      <c r="AT100" s="46"/>
      <c r="AU100" s="46"/>
      <c r="AV100" s="46"/>
      <c r="AW100" s="46"/>
      <c r="AX100" s="46"/>
      <c r="AY100" s="46"/>
      <c r="AZ100" s="46"/>
    </row>
    <row r="101" spans="1:52" ht="15" customHeight="1">
      <c r="A101" s="47"/>
      <c r="B101" s="47"/>
      <c r="J101" s="46"/>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c r="AM101" s="46"/>
      <c r="AN101" s="46"/>
      <c r="AO101" s="46"/>
      <c r="AP101" s="46"/>
      <c r="AQ101" s="46"/>
      <c r="AR101" s="46"/>
      <c r="AS101" s="46"/>
      <c r="AT101" s="46"/>
      <c r="AU101" s="46"/>
      <c r="AV101" s="46"/>
      <c r="AW101" s="46"/>
      <c r="AX101" s="46"/>
      <c r="AY101" s="46"/>
      <c r="AZ101" s="46"/>
    </row>
    <row r="102" spans="1:52" ht="15" customHeight="1">
      <c r="A102" s="47"/>
      <c r="B102" s="47"/>
      <c r="J102" s="46"/>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c r="AM102" s="46"/>
      <c r="AN102" s="46"/>
      <c r="AO102" s="46"/>
      <c r="AP102" s="46"/>
      <c r="AQ102" s="46"/>
      <c r="AR102" s="46"/>
      <c r="AS102" s="46"/>
      <c r="AT102" s="46"/>
      <c r="AU102" s="46"/>
      <c r="AV102" s="46"/>
      <c r="AW102" s="46"/>
      <c r="AX102" s="46"/>
      <c r="AY102" s="46"/>
      <c r="AZ102" s="46"/>
    </row>
    <row r="103" spans="1:52" ht="15" customHeight="1">
      <c r="A103" s="47"/>
      <c r="B103" s="47"/>
      <c r="J103" s="46"/>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c r="AM103" s="46"/>
      <c r="AN103" s="46"/>
      <c r="AO103" s="46"/>
      <c r="AP103" s="46"/>
      <c r="AQ103" s="46"/>
      <c r="AR103" s="46"/>
      <c r="AS103" s="46"/>
      <c r="AT103" s="46"/>
      <c r="AU103" s="46"/>
      <c r="AV103" s="46"/>
      <c r="AW103" s="46"/>
      <c r="AX103" s="46"/>
      <c r="AY103" s="46"/>
      <c r="AZ103" s="46"/>
    </row>
    <row r="104" spans="1:52" ht="15" customHeight="1">
      <c r="A104" s="47"/>
      <c r="B104" s="47"/>
      <c r="J104" s="46"/>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c r="AM104" s="46"/>
      <c r="AN104" s="46"/>
      <c r="AO104" s="46"/>
      <c r="AP104" s="46"/>
      <c r="AQ104" s="46"/>
      <c r="AR104" s="46"/>
      <c r="AS104" s="46"/>
      <c r="AT104" s="46"/>
      <c r="AU104" s="46"/>
      <c r="AV104" s="46"/>
      <c r="AW104" s="46"/>
      <c r="AX104" s="46"/>
      <c r="AY104" s="46"/>
      <c r="AZ104" s="46"/>
    </row>
    <row r="105" spans="1:52" ht="15" customHeight="1">
      <c r="A105" s="47"/>
      <c r="B105" s="47"/>
      <c r="J105" s="46"/>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c r="AM105" s="46"/>
      <c r="AN105" s="46"/>
      <c r="AO105" s="46"/>
      <c r="AP105" s="46"/>
      <c r="AQ105" s="46"/>
      <c r="AR105" s="46"/>
      <c r="AS105" s="46"/>
      <c r="AT105" s="46"/>
      <c r="AU105" s="46"/>
      <c r="AV105" s="46"/>
      <c r="AW105" s="46"/>
      <c r="AX105" s="46"/>
      <c r="AY105" s="46"/>
      <c r="AZ105" s="46"/>
    </row>
    <row r="106" spans="1:52" ht="15" customHeight="1">
      <c r="A106" s="47"/>
      <c r="B106" s="47"/>
      <c r="J106" s="46"/>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c r="AM106" s="46"/>
      <c r="AN106" s="46"/>
      <c r="AO106" s="46"/>
      <c r="AP106" s="46"/>
      <c r="AQ106" s="46"/>
      <c r="AR106" s="46"/>
      <c r="AS106" s="46"/>
      <c r="AT106" s="46"/>
      <c r="AU106" s="46"/>
      <c r="AV106" s="46"/>
      <c r="AW106" s="46"/>
      <c r="AX106" s="46"/>
      <c r="AY106" s="46"/>
      <c r="AZ106" s="46"/>
    </row>
    <row r="107" spans="1:52" ht="15" customHeight="1">
      <c r="A107" s="47"/>
      <c r="B107" s="47"/>
      <c r="J107" s="46"/>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c r="AM107" s="46"/>
      <c r="AN107" s="46"/>
      <c r="AO107" s="46"/>
      <c r="AP107" s="46"/>
      <c r="AQ107" s="46"/>
      <c r="AR107" s="46"/>
      <c r="AS107" s="46"/>
      <c r="AT107" s="46"/>
      <c r="AU107" s="46"/>
      <c r="AV107" s="46"/>
      <c r="AW107" s="46"/>
      <c r="AX107" s="46"/>
      <c r="AY107" s="46"/>
      <c r="AZ107" s="46"/>
    </row>
    <row r="108" spans="1:52" ht="15" customHeight="1">
      <c r="A108" s="47"/>
      <c r="B108" s="47"/>
      <c r="J108" s="46"/>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row>
    <row r="109" spans="1:52" ht="15" customHeight="1">
      <c r="A109" s="47"/>
      <c r="B109" s="47"/>
      <c r="J109" s="46"/>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row>
    <row r="110" spans="1:52" ht="15" customHeight="1">
      <c r="A110" s="47"/>
      <c r="B110" s="47"/>
      <c r="J110" s="46"/>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row>
    <row r="111" spans="1:52" ht="15" customHeight="1">
      <c r="A111" s="47"/>
      <c r="B111" s="47"/>
      <c r="J111" s="46"/>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row>
    <row r="112" spans="1:52" ht="15" customHeight="1">
      <c r="A112" s="47"/>
      <c r="B112" s="47"/>
      <c r="J112" s="46"/>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row>
    <row r="113" spans="1:52" ht="15" customHeight="1">
      <c r="A113" s="47"/>
      <c r="B113" s="47"/>
      <c r="J113" s="46"/>
      <c r="K113" s="46"/>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row>
    <row r="114" spans="1:52" ht="15" customHeight="1">
      <c r="A114" s="47"/>
      <c r="B114" s="47"/>
      <c r="J114" s="46"/>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row>
    <row r="115" spans="1:52" ht="15" customHeight="1">
      <c r="A115" s="47"/>
      <c r="B115" s="47"/>
      <c r="J115" s="46"/>
      <c r="K115" s="46"/>
      <c r="L115" s="46"/>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c r="AJ115" s="46"/>
      <c r="AK115" s="46"/>
      <c r="AL115" s="46"/>
      <c r="AM115" s="46"/>
      <c r="AN115" s="46"/>
      <c r="AO115" s="46"/>
      <c r="AP115" s="46"/>
      <c r="AQ115" s="46"/>
      <c r="AR115" s="46"/>
      <c r="AS115" s="46"/>
      <c r="AT115" s="46"/>
      <c r="AU115" s="46"/>
      <c r="AV115" s="46"/>
      <c r="AW115" s="46"/>
      <c r="AX115" s="46"/>
      <c r="AY115" s="46"/>
      <c r="AZ115" s="46"/>
    </row>
    <row r="116" spans="1:52" ht="15" customHeight="1">
      <c r="A116" s="47"/>
      <c r="B116" s="47"/>
      <c r="J116" s="46"/>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c r="AJ116" s="46"/>
      <c r="AK116" s="46"/>
      <c r="AL116" s="46"/>
      <c r="AM116" s="46"/>
      <c r="AN116" s="46"/>
      <c r="AO116" s="46"/>
      <c r="AP116" s="46"/>
      <c r="AQ116" s="46"/>
      <c r="AR116" s="46"/>
      <c r="AS116" s="46"/>
      <c r="AT116" s="46"/>
      <c r="AU116" s="46"/>
      <c r="AV116" s="46"/>
      <c r="AW116" s="46"/>
      <c r="AX116" s="46"/>
      <c r="AY116" s="46"/>
      <c r="AZ116" s="46"/>
    </row>
    <row r="117" spans="1:52" ht="15" customHeight="1">
      <c r="A117" s="47"/>
      <c r="B117" s="47"/>
      <c r="J117" s="46"/>
      <c r="K117" s="46"/>
      <c r="L117" s="46"/>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c r="AJ117" s="46"/>
      <c r="AK117" s="46"/>
      <c r="AL117" s="46"/>
      <c r="AM117" s="46"/>
      <c r="AN117" s="46"/>
      <c r="AO117" s="46"/>
      <c r="AP117" s="46"/>
      <c r="AQ117" s="46"/>
      <c r="AR117" s="46"/>
      <c r="AS117" s="46"/>
      <c r="AT117" s="46"/>
      <c r="AU117" s="46"/>
      <c r="AV117" s="46"/>
      <c r="AW117" s="46"/>
      <c r="AX117" s="46"/>
      <c r="AY117" s="46"/>
      <c r="AZ117" s="46"/>
    </row>
    <row r="118" spans="1:52" ht="15" customHeight="1">
      <c r="A118" s="47"/>
      <c r="B118" s="47"/>
      <c r="J118" s="46"/>
      <c r="K118" s="46"/>
      <c r="L118" s="46"/>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c r="AJ118" s="46"/>
      <c r="AK118" s="46"/>
      <c r="AL118" s="46"/>
      <c r="AM118" s="46"/>
      <c r="AN118" s="46"/>
      <c r="AO118" s="46"/>
      <c r="AP118" s="46"/>
      <c r="AQ118" s="46"/>
      <c r="AR118" s="46"/>
      <c r="AS118" s="46"/>
      <c r="AT118" s="46"/>
      <c r="AU118" s="46"/>
      <c r="AV118" s="46"/>
      <c r="AW118" s="46"/>
      <c r="AX118" s="46"/>
      <c r="AY118" s="46"/>
      <c r="AZ118" s="46"/>
    </row>
    <row r="119" spans="1:52" ht="15" customHeight="1">
      <c r="A119" s="47"/>
      <c r="B119" s="47"/>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c r="AJ119" s="46"/>
      <c r="AK119" s="46"/>
      <c r="AL119" s="46"/>
      <c r="AM119" s="46"/>
      <c r="AN119" s="46"/>
      <c r="AO119" s="46"/>
      <c r="AP119" s="46"/>
      <c r="AQ119" s="46"/>
      <c r="AR119" s="46"/>
      <c r="AS119" s="46"/>
      <c r="AT119" s="46"/>
      <c r="AU119" s="46"/>
      <c r="AV119" s="46"/>
      <c r="AW119" s="46"/>
      <c r="AX119" s="46"/>
      <c r="AY119" s="46"/>
      <c r="AZ119" s="46"/>
    </row>
    <row r="120" spans="1:52" ht="15" customHeight="1">
      <c r="A120" s="47"/>
      <c r="B120" s="47"/>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c r="AM120" s="46"/>
      <c r="AN120" s="46"/>
      <c r="AO120" s="46"/>
      <c r="AP120" s="46"/>
      <c r="AQ120" s="46"/>
      <c r="AR120" s="46"/>
      <c r="AS120" s="46"/>
      <c r="AT120" s="46"/>
      <c r="AU120" s="46"/>
      <c r="AV120" s="46"/>
      <c r="AW120" s="46"/>
      <c r="AX120" s="46"/>
      <c r="AY120" s="46"/>
      <c r="AZ120" s="46"/>
    </row>
    <row r="121" spans="1:52" ht="15" customHeight="1">
      <c r="A121" s="47"/>
      <c r="B121" s="47"/>
      <c r="J121" s="46"/>
      <c r="K121" s="46"/>
      <c r="L121" s="46"/>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c r="AM121" s="46"/>
      <c r="AN121" s="46"/>
      <c r="AO121" s="46"/>
      <c r="AP121" s="46"/>
      <c r="AQ121" s="46"/>
      <c r="AR121" s="46"/>
      <c r="AS121" s="46"/>
      <c r="AT121" s="46"/>
      <c r="AU121" s="46"/>
      <c r="AV121" s="46"/>
      <c r="AW121" s="46"/>
      <c r="AX121" s="46"/>
      <c r="AY121" s="46"/>
      <c r="AZ121" s="46"/>
    </row>
    <row r="122" spans="1:52" ht="15" customHeight="1">
      <c r="A122" s="47"/>
      <c r="B122" s="47"/>
      <c r="J122" s="46"/>
      <c r="K122" s="46"/>
      <c r="L122" s="46"/>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c r="AJ122" s="46"/>
      <c r="AK122" s="46"/>
      <c r="AL122" s="46"/>
      <c r="AM122" s="46"/>
      <c r="AN122" s="46"/>
      <c r="AO122" s="46"/>
      <c r="AP122" s="46"/>
      <c r="AQ122" s="46"/>
      <c r="AR122" s="46"/>
      <c r="AS122" s="46"/>
      <c r="AT122" s="46"/>
      <c r="AU122" s="46"/>
      <c r="AV122" s="46"/>
      <c r="AW122" s="46"/>
      <c r="AX122" s="46"/>
      <c r="AY122" s="46"/>
      <c r="AZ122" s="46"/>
    </row>
    <row r="123" spans="1:52" ht="15" customHeight="1">
      <c r="A123" s="47"/>
      <c r="B123" s="47"/>
      <c r="J123" s="46"/>
      <c r="K123" s="46"/>
      <c r="L123" s="46"/>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c r="AJ123" s="46"/>
      <c r="AK123" s="46"/>
      <c r="AL123" s="46"/>
      <c r="AM123" s="46"/>
      <c r="AN123" s="46"/>
      <c r="AO123" s="46"/>
      <c r="AP123" s="46"/>
      <c r="AQ123" s="46"/>
      <c r="AR123" s="46"/>
      <c r="AS123" s="46"/>
      <c r="AT123" s="46"/>
      <c r="AU123" s="46"/>
      <c r="AV123" s="46"/>
      <c r="AW123" s="46"/>
      <c r="AX123" s="46"/>
      <c r="AY123" s="46"/>
      <c r="AZ123" s="46"/>
    </row>
    <row r="124" spans="1:52" ht="15" customHeight="1">
      <c r="A124" s="47"/>
      <c r="B124" s="47"/>
      <c r="J124" s="46"/>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c r="AK124" s="46"/>
      <c r="AL124" s="46"/>
      <c r="AM124" s="46"/>
      <c r="AN124" s="46"/>
      <c r="AO124" s="46"/>
      <c r="AP124" s="46"/>
      <c r="AQ124" s="46"/>
      <c r="AR124" s="46"/>
      <c r="AS124" s="46"/>
      <c r="AT124" s="46"/>
      <c r="AU124" s="46"/>
      <c r="AV124" s="46"/>
      <c r="AW124" s="46"/>
      <c r="AX124" s="46"/>
      <c r="AY124" s="46"/>
      <c r="AZ124" s="46"/>
    </row>
    <row r="125" spans="1:52" ht="15" customHeight="1">
      <c r="A125" s="47"/>
      <c r="B125" s="47"/>
      <c r="J125" s="46"/>
      <c r="K125" s="46"/>
      <c r="L125" s="46"/>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c r="AJ125" s="46"/>
      <c r="AK125" s="46"/>
      <c r="AL125" s="46"/>
      <c r="AM125" s="46"/>
      <c r="AN125" s="46"/>
      <c r="AO125" s="46"/>
      <c r="AP125" s="46"/>
      <c r="AQ125" s="46"/>
      <c r="AR125" s="46"/>
      <c r="AS125" s="46"/>
      <c r="AT125" s="46"/>
      <c r="AU125" s="46"/>
      <c r="AV125" s="46"/>
      <c r="AW125" s="46"/>
      <c r="AX125" s="46"/>
      <c r="AY125" s="46"/>
      <c r="AZ125" s="46"/>
    </row>
    <row r="126" spans="1:52" ht="15" customHeight="1">
      <c r="A126" s="47"/>
      <c r="B126" s="47"/>
      <c r="J126" s="46"/>
      <c r="K126" s="46"/>
      <c r="L126" s="46"/>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c r="AJ126" s="46"/>
      <c r="AK126" s="46"/>
      <c r="AL126" s="46"/>
      <c r="AM126" s="46"/>
      <c r="AN126" s="46"/>
      <c r="AO126" s="46"/>
      <c r="AP126" s="46"/>
      <c r="AQ126" s="46"/>
      <c r="AR126" s="46"/>
      <c r="AS126" s="46"/>
      <c r="AT126" s="46"/>
      <c r="AU126" s="46"/>
      <c r="AV126" s="46"/>
      <c r="AW126" s="46"/>
      <c r="AX126" s="46"/>
      <c r="AY126" s="46"/>
      <c r="AZ126" s="46"/>
    </row>
    <row r="127" spans="1:52" ht="15" customHeight="1">
      <c r="A127" s="47"/>
      <c r="B127" s="47"/>
      <c r="J127" s="46"/>
      <c r="K127" s="46"/>
      <c r="L127" s="46"/>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c r="AJ127" s="46"/>
      <c r="AK127" s="46"/>
      <c r="AL127" s="46"/>
      <c r="AM127" s="46"/>
      <c r="AN127" s="46"/>
      <c r="AO127" s="46"/>
      <c r="AP127" s="46"/>
      <c r="AQ127" s="46"/>
      <c r="AR127" s="46"/>
      <c r="AS127" s="46"/>
      <c r="AT127" s="46"/>
      <c r="AU127" s="46"/>
      <c r="AV127" s="46"/>
      <c r="AW127" s="46"/>
      <c r="AX127" s="46"/>
      <c r="AY127" s="46"/>
      <c r="AZ127" s="46"/>
    </row>
    <row r="128" spans="1:52" ht="15" customHeight="1">
      <c r="A128" s="47"/>
      <c r="B128" s="47"/>
      <c r="J128" s="46"/>
      <c r="K128" s="46"/>
      <c r="L128" s="46"/>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c r="AJ128" s="46"/>
      <c r="AK128" s="46"/>
      <c r="AL128" s="46"/>
      <c r="AM128" s="46"/>
      <c r="AN128" s="46"/>
      <c r="AO128" s="46"/>
      <c r="AP128" s="46"/>
      <c r="AQ128" s="46"/>
      <c r="AR128" s="46"/>
      <c r="AS128" s="46"/>
      <c r="AT128" s="46"/>
      <c r="AU128" s="46"/>
      <c r="AV128" s="46"/>
      <c r="AW128" s="46"/>
      <c r="AX128" s="46"/>
      <c r="AY128" s="46"/>
      <c r="AZ128" s="46"/>
    </row>
    <row r="129" spans="1:52" ht="15" customHeight="1">
      <c r="A129" s="47"/>
      <c r="B129" s="47"/>
      <c r="J129" s="46"/>
      <c r="K129" s="46"/>
      <c r="L129" s="46"/>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row>
    <row r="130" spans="1:52" ht="15" customHeight="1">
      <c r="A130" s="47"/>
      <c r="B130" s="47"/>
      <c r="J130" s="46"/>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row>
    <row r="131" spans="1:52" ht="15" customHeight="1">
      <c r="A131" s="47"/>
      <c r="B131" s="47"/>
      <c r="J131" s="46"/>
      <c r="K131" s="46"/>
      <c r="L131" s="46"/>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row>
    <row r="132" spans="1:52" ht="15" customHeight="1">
      <c r="A132" s="47"/>
      <c r="B132" s="47"/>
      <c r="J132" s="46"/>
      <c r="K132" s="46"/>
      <c r="L132" s="46"/>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row>
    <row r="133" spans="1:52" ht="15" customHeight="1">
      <c r="A133" s="47"/>
      <c r="B133" s="47"/>
      <c r="J133" s="46"/>
      <c r="K133" s="46"/>
      <c r="L133" s="46"/>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row>
    <row r="134" spans="1:52" ht="15" customHeight="1">
      <c r="A134" s="47"/>
      <c r="B134" s="47"/>
      <c r="J134" s="46"/>
      <c r="K134" s="46"/>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row>
    <row r="135" spans="1:52" ht="15" customHeight="1">
      <c r="A135" s="47"/>
      <c r="B135" s="47"/>
      <c r="J135" s="46"/>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row>
    <row r="136" spans="1:52" ht="15" customHeight="1">
      <c r="A136" s="47"/>
      <c r="B136" s="47"/>
      <c r="J136" s="46"/>
      <c r="K136" s="46"/>
      <c r="L136" s="46"/>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c r="AJ136" s="46"/>
      <c r="AK136" s="46"/>
      <c r="AL136" s="46"/>
      <c r="AM136" s="46"/>
      <c r="AN136" s="46"/>
      <c r="AO136" s="46"/>
      <c r="AP136" s="46"/>
      <c r="AQ136" s="46"/>
      <c r="AR136" s="46"/>
      <c r="AS136" s="46"/>
      <c r="AT136" s="46"/>
      <c r="AU136" s="46"/>
      <c r="AV136" s="46"/>
      <c r="AW136" s="46"/>
      <c r="AX136" s="46"/>
      <c r="AY136" s="46"/>
      <c r="AZ136" s="46"/>
    </row>
    <row r="137" spans="1:52" ht="15" customHeight="1">
      <c r="A137" s="47"/>
      <c r="B137" s="47"/>
      <c r="J137" s="46"/>
      <c r="K137" s="46"/>
      <c r="L137" s="46"/>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c r="AJ137" s="46"/>
      <c r="AK137" s="46"/>
      <c r="AL137" s="46"/>
      <c r="AM137" s="46"/>
      <c r="AN137" s="46"/>
      <c r="AO137" s="46"/>
      <c r="AP137" s="46"/>
      <c r="AQ137" s="46"/>
      <c r="AR137" s="46"/>
      <c r="AS137" s="46"/>
      <c r="AT137" s="46"/>
      <c r="AU137" s="46"/>
      <c r="AV137" s="46"/>
      <c r="AW137" s="46"/>
      <c r="AX137" s="46"/>
      <c r="AY137" s="46"/>
      <c r="AZ137" s="46"/>
    </row>
    <row r="138" spans="1:52" ht="15" customHeight="1">
      <c r="A138" s="47"/>
      <c r="B138" s="47"/>
      <c r="J138" s="46"/>
      <c r="K138" s="46"/>
      <c r="L138" s="46"/>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c r="AJ138" s="46"/>
      <c r="AK138" s="46"/>
      <c r="AL138" s="46"/>
      <c r="AM138" s="46"/>
      <c r="AN138" s="46"/>
      <c r="AO138" s="46"/>
      <c r="AP138" s="46"/>
      <c r="AQ138" s="46"/>
      <c r="AR138" s="46"/>
      <c r="AS138" s="46"/>
      <c r="AT138" s="46"/>
      <c r="AU138" s="46"/>
      <c r="AV138" s="46"/>
      <c r="AW138" s="46"/>
      <c r="AX138" s="46"/>
      <c r="AY138" s="46"/>
      <c r="AZ138" s="46"/>
    </row>
    <row r="139" spans="1:52" ht="15" customHeight="1">
      <c r="A139" s="47"/>
      <c r="B139" s="47"/>
      <c r="J139" s="46"/>
      <c r="K139" s="46"/>
      <c r="L139" s="46"/>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c r="AJ139" s="46"/>
      <c r="AK139" s="46"/>
      <c r="AL139" s="46"/>
      <c r="AM139" s="46"/>
      <c r="AN139" s="46"/>
      <c r="AO139" s="46"/>
      <c r="AP139" s="46"/>
      <c r="AQ139" s="46"/>
      <c r="AR139" s="46"/>
      <c r="AS139" s="46"/>
      <c r="AT139" s="46"/>
      <c r="AU139" s="46"/>
      <c r="AV139" s="46"/>
      <c r="AW139" s="46"/>
      <c r="AX139" s="46"/>
      <c r="AY139" s="46"/>
      <c r="AZ139" s="46"/>
    </row>
    <row r="140" spans="1:52" ht="15" customHeight="1">
      <c r="A140" s="47"/>
      <c r="B140" s="47"/>
      <c r="J140" s="46"/>
      <c r="K140" s="46"/>
      <c r="L140" s="46"/>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c r="AJ140" s="46"/>
      <c r="AK140" s="46"/>
      <c r="AL140" s="46"/>
      <c r="AM140" s="46"/>
      <c r="AN140" s="46"/>
      <c r="AO140" s="46"/>
      <c r="AP140" s="46"/>
      <c r="AQ140" s="46"/>
      <c r="AR140" s="46"/>
      <c r="AS140" s="46"/>
      <c r="AT140" s="46"/>
      <c r="AU140" s="46"/>
      <c r="AV140" s="46"/>
      <c r="AW140" s="46"/>
      <c r="AX140" s="46"/>
      <c r="AY140" s="46"/>
      <c r="AZ140" s="46"/>
    </row>
    <row r="141" spans="1:52" ht="15" customHeight="1">
      <c r="A141" s="47"/>
      <c r="B141" s="47"/>
      <c r="J141" s="46"/>
      <c r="K141" s="46"/>
      <c r="L141" s="46"/>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c r="AJ141" s="46"/>
      <c r="AK141" s="46"/>
      <c r="AL141" s="46"/>
      <c r="AM141" s="46"/>
      <c r="AN141" s="46"/>
      <c r="AO141" s="46"/>
      <c r="AP141" s="46"/>
      <c r="AQ141" s="46"/>
      <c r="AR141" s="46"/>
      <c r="AS141" s="46"/>
      <c r="AT141" s="46"/>
      <c r="AU141" s="46"/>
      <c r="AV141" s="46"/>
      <c r="AW141" s="46"/>
      <c r="AX141" s="46"/>
      <c r="AY141" s="46"/>
      <c r="AZ141" s="46"/>
    </row>
    <row r="142" spans="1:52" ht="15" customHeight="1">
      <c r="A142" s="47"/>
      <c r="B142" s="47"/>
      <c r="J142" s="46"/>
      <c r="K142" s="46"/>
      <c r="L142" s="46"/>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c r="AJ142" s="46"/>
      <c r="AK142" s="46"/>
      <c r="AL142" s="46"/>
      <c r="AM142" s="46"/>
      <c r="AN142" s="46"/>
      <c r="AO142" s="46"/>
      <c r="AP142" s="46"/>
      <c r="AQ142" s="46"/>
      <c r="AR142" s="46"/>
      <c r="AS142" s="46"/>
      <c r="AT142" s="46"/>
      <c r="AU142" s="46"/>
      <c r="AV142" s="46"/>
      <c r="AW142" s="46"/>
      <c r="AX142" s="46"/>
      <c r="AY142" s="46"/>
      <c r="AZ142" s="46"/>
    </row>
    <row r="143" spans="1:52" ht="15" customHeight="1">
      <c r="A143" s="47"/>
      <c r="B143" s="47"/>
      <c r="J143" s="46"/>
      <c r="K143" s="46"/>
      <c r="L143" s="46"/>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c r="AJ143" s="46"/>
      <c r="AK143" s="46"/>
      <c r="AL143" s="46"/>
      <c r="AM143" s="46"/>
      <c r="AN143" s="46"/>
      <c r="AO143" s="46"/>
      <c r="AP143" s="46"/>
      <c r="AQ143" s="46"/>
      <c r="AR143" s="46"/>
      <c r="AS143" s="46"/>
      <c r="AT143" s="46"/>
      <c r="AU143" s="46"/>
      <c r="AV143" s="46"/>
      <c r="AW143" s="46"/>
      <c r="AX143" s="46"/>
      <c r="AY143" s="46"/>
      <c r="AZ143" s="46"/>
    </row>
    <row r="144" spans="1:52" ht="15" customHeight="1">
      <c r="A144" s="47"/>
      <c r="B144" s="47"/>
      <c r="J144" s="46"/>
      <c r="K144" s="46"/>
      <c r="L144" s="46"/>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c r="AJ144" s="46"/>
      <c r="AK144" s="46"/>
      <c r="AL144" s="46"/>
      <c r="AM144" s="46"/>
      <c r="AN144" s="46"/>
      <c r="AO144" s="46"/>
      <c r="AP144" s="46"/>
      <c r="AQ144" s="46"/>
      <c r="AR144" s="46"/>
      <c r="AS144" s="46"/>
      <c r="AT144" s="46"/>
      <c r="AU144" s="46"/>
      <c r="AV144" s="46"/>
      <c r="AW144" s="46"/>
      <c r="AX144" s="46"/>
      <c r="AY144" s="46"/>
      <c r="AZ144" s="46"/>
    </row>
    <row r="145" spans="1:52" ht="15" customHeight="1">
      <c r="A145" s="47"/>
      <c r="B145" s="47"/>
      <c r="J145" s="46"/>
      <c r="K145" s="46"/>
      <c r="L145" s="46"/>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c r="AJ145" s="46"/>
      <c r="AK145" s="46"/>
      <c r="AL145" s="46"/>
      <c r="AM145" s="46"/>
      <c r="AN145" s="46"/>
      <c r="AO145" s="46"/>
      <c r="AP145" s="46"/>
      <c r="AQ145" s="46"/>
      <c r="AR145" s="46"/>
      <c r="AS145" s="46"/>
      <c r="AT145" s="46"/>
      <c r="AU145" s="46"/>
      <c r="AV145" s="46"/>
      <c r="AW145" s="46"/>
      <c r="AX145" s="46"/>
      <c r="AY145" s="46"/>
      <c r="AZ145" s="46"/>
    </row>
    <row r="146" spans="1:52" ht="15" customHeight="1">
      <c r="A146" s="47"/>
      <c r="B146" s="47"/>
      <c r="J146" s="46"/>
      <c r="K146" s="46"/>
      <c r="L146" s="46"/>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c r="AJ146" s="46"/>
      <c r="AK146" s="46"/>
      <c r="AL146" s="46"/>
      <c r="AM146" s="46"/>
      <c r="AN146" s="46"/>
      <c r="AO146" s="46"/>
      <c r="AP146" s="46"/>
      <c r="AQ146" s="46"/>
      <c r="AR146" s="46"/>
      <c r="AS146" s="46"/>
      <c r="AT146" s="46"/>
      <c r="AU146" s="46"/>
      <c r="AV146" s="46"/>
      <c r="AW146" s="46"/>
      <c r="AX146" s="46"/>
      <c r="AY146" s="46"/>
      <c r="AZ146" s="46"/>
    </row>
    <row r="147" spans="1:52" ht="15" customHeight="1">
      <c r="A147" s="47"/>
      <c r="B147" s="47"/>
      <c r="J147" s="46"/>
      <c r="K147" s="46"/>
      <c r="L147" s="46"/>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c r="AJ147" s="46"/>
      <c r="AK147" s="46"/>
      <c r="AL147" s="46"/>
      <c r="AM147" s="46"/>
      <c r="AN147" s="46"/>
      <c r="AO147" s="46"/>
      <c r="AP147" s="46"/>
      <c r="AQ147" s="46"/>
      <c r="AR147" s="46"/>
      <c r="AS147" s="46"/>
      <c r="AT147" s="46"/>
      <c r="AU147" s="46"/>
      <c r="AV147" s="46"/>
      <c r="AW147" s="46"/>
      <c r="AX147" s="46"/>
      <c r="AY147" s="46"/>
      <c r="AZ147" s="46"/>
    </row>
    <row r="148" spans="1:52" ht="15" customHeight="1">
      <c r="A148" s="47"/>
      <c r="B148" s="47"/>
      <c r="J148" s="46"/>
      <c r="K148" s="46"/>
      <c r="L148" s="46"/>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c r="AJ148" s="46"/>
      <c r="AK148" s="46"/>
      <c r="AL148" s="46"/>
      <c r="AM148" s="46"/>
      <c r="AN148" s="46"/>
      <c r="AO148" s="46"/>
      <c r="AP148" s="46"/>
      <c r="AQ148" s="46"/>
      <c r="AR148" s="46"/>
      <c r="AS148" s="46"/>
      <c r="AT148" s="46"/>
      <c r="AU148" s="46"/>
      <c r="AV148" s="46"/>
      <c r="AW148" s="46"/>
      <c r="AX148" s="46"/>
      <c r="AY148" s="46"/>
      <c r="AZ148" s="46"/>
    </row>
    <row r="149" spans="1:52" ht="15" customHeight="1">
      <c r="A149" s="47"/>
      <c r="B149" s="47"/>
      <c r="J149" s="46"/>
      <c r="K149" s="46"/>
      <c r="L149" s="46"/>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c r="AJ149" s="46"/>
      <c r="AK149" s="46"/>
      <c r="AL149" s="46"/>
      <c r="AM149" s="46"/>
      <c r="AN149" s="46"/>
      <c r="AO149" s="46"/>
      <c r="AP149" s="46"/>
      <c r="AQ149" s="46"/>
      <c r="AR149" s="46"/>
      <c r="AS149" s="46"/>
      <c r="AT149" s="46"/>
      <c r="AU149" s="46"/>
      <c r="AV149" s="46"/>
      <c r="AW149" s="46"/>
      <c r="AX149" s="46"/>
      <c r="AY149" s="46"/>
      <c r="AZ149" s="46"/>
    </row>
    <row r="150" spans="1:52" ht="15" customHeight="1">
      <c r="A150" s="47"/>
      <c r="B150" s="47"/>
      <c r="J150" s="46"/>
      <c r="K150" s="46"/>
      <c r="L150" s="46"/>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c r="AJ150" s="46"/>
      <c r="AK150" s="46"/>
      <c r="AL150" s="46"/>
      <c r="AM150" s="46"/>
      <c r="AN150" s="46"/>
      <c r="AO150" s="46"/>
      <c r="AP150" s="46"/>
      <c r="AQ150" s="46"/>
      <c r="AR150" s="46"/>
      <c r="AS150" s="46"/>
      <c r="AT150" s="46"/>
      <c r="AU150" s="46"/>
      <c r="AV150" s="46"/>
      <c r="AW150" s="46"/>
      <c r="AX150" s="46"/>
      <c r="AY150" s="46"/>
      <c r="AZ150" s="46"/>
    </row>
    <row r="151" spans="1:52" ht="15" customHeight="1">
      <c r="A151" s="47"/>
      <c r="B151" s="47"/>
      <c r="J151" s="46"/>
      <c r="K151" s="46"/>
      <c r="L151" s="46"/>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c r="AJ151" s="46"/>
      <c r="AK151" s="46"/>
      <c r="AL151" s="46"/>
      <c r="AM151" s="46"/>
      <c r="AN151" s="46"/>
      <c r="AO151" s="46"/>
      <c r="AP151" s="46"/>
      <c r="AQ151" s="46"/>
      <c r="AR151" s="46"/>
      <c r="AS151" s="46"/>
      <c r="AT151" s="46"/>
      <c r="AU151" s="46"/>
      <c r="AV151" s="46"/>
      <c r="AW151" s="46"/>
      <c r="AX151" s="46"/>
      <c r="AY151" s="46"/>
      <c r="AZ151" s="46"/>
    </row>
    <row r="152" spans="1:52" ht="15" customHeight="1">
      <c r="A152" s="47"/>
      <c r="B152" s="47"/>
      <c r="J152" s="46"/>
      <c r="K152" s="46"/>
      <c r="L152" s="46"/>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c r="AJ152" s="46"/>
      <c r="AK152" s="46"/>
      <c r="AL152" s="46"/>
      <c r="AM152" s="46"/>
      <c r="AN152" s="46"/>
      <c r="AO152" s="46"/>
      <c r="AP152" s="46"/>
      <c r="AQ152" s="46"/>
      <c r="AR152" s="46"/>
      <c r="AS152" s="46"/>
      <c r="AT152" s="46"/>
      <c r="AU152" s="46"/>
      <c r="AV152" s="46"/>
      <c r="AW152" s="46"/>
      <c r="AX152" s="46"/>
      <c r="AY152" s="46"/>
      <c r="AZ152" s="46"/>
    </row>
    <row r="153" spans="1:52" ht="15" customHeight="1">
      <c r="A153" s="47"/>
      <c r="B153" s="47"/>
      <c r="J153" s="46"/>
      <c r="K153" s="46"/>
      <c r="L153" s="46"/>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c r="AJ153" s="46"/>
      <c r="AK153" s="46"/>
      <c r="AL153" s="46"/>
      <c r="AM153" s="46"/>
      <c r="AN153" s="46"/>
      <c r="AO153" s="46"/>
      <c r="AP153" s="46"/>
      <c r="AQ153" s="46"/>
      <c r="AR153" s="46"/>
      <c r="AS153" s="46"/>
      <c r="AT153" s="46"/>
      <c r="AU153" s="46"/>
      <c r="AV153" s="46"/>
      <c r="AW153" s="46"/>
      <c r="AX153" s="46"/>
      <c r="AY153" s="46"/>
      <c r="AZ153" s="46"/>
    </row>
    <row r="154" spans="1:52" ht="15" customHeight="1">
      <c r="A154" s="47"/>
      <c r="B154" s="47"/>
      <c r="J154" s="46"/>
      <c r="K154" s="46"/>
      <c r="L154" s="46"/>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c r="AJ154" s="46"/>
      <c r="AK154" s="46"/>
      <c r="AL154" s="46"/>
      <c r="AM154" s="46"/>
      <c r="AN154" s="46"/>
      <c r="AO154" s="46"/>
      <c r="AP154" s="46"/>
      <c r="AQ154" s="46"/>
      <c r="AR154" s="46"/>
      <c r="AS154" s="46"/>
      <c r="AT154" s="46"/>
      <c r="AU154" s="46"/>
      <c r="AV154" s="46"/>
      <c r="AW154" s="46"/>
      <c r="AX154" s="46"/>
      <c r="AY154" s="46"/>
      <c r="AZ154" s="46"/>
    </row>
    <row r="155" spans="1:52" ht="15" customHeight="1">
      <c r="A155" s="47"/>
      <c r="B155" s="47"/>
      <c r="J155" s="46"/>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c r="AM155" s="46"/>
      <c r="AN155" s="46"/>
      <c r="AO155" s="46"/>
      <c r="AP155" s="46"/>
      <c r="AQ155" s="46"/>
      <c r="AR155" s="46"/>
      <c r="AS155" s="46"/>
      <c r="AT155" s="46"/>
      <c r="AU155" s="46"/>
      <c r="AV155" s="46"/>
      <c r="AW155" s="46"/>
      <c r="AX155" s="46"/>
      <c r="AY155" s="46"/>
      <c r="AZ155" s="46"/>
    </row>
    <row r="156" spans="1:52" ht="15" customHeight="1">
      <c r="A156" s="47"/>
      <c r="B156" s="47"/>
      <c r="J156" s="46"/>
      <c r="K156" s="46"/>
      <c r="L156" s="46"/>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c r="AJ156" s="46"/>
      <c r="AK156" s="46"/>
      <c r="AL156" s="46"/>
      <c r="AM156" s="46"/>
      <c r="AN156" s="46"/>
      <c r="AO156" s="46"/>
      <c r="AP156" s="46"/>
      <c r="AQ156" s="46"/>
      <c r="AR156" s="46"/>
      <c r="AS156" s="46"/>
      <c r="AT156" s="46"/>
      <c r="AU156" s="46"/>
      <c r="AV156" s="46"/>
      <c r="AW156" s="46"/>
      <c r="AX156" s="46"/>
      <c r="AY156" s="46"/>
      <c r="AZ156" s="46"/>
    </row>
    <row r="157" spans="1:52" ht="15" customHeight="1">
      <c r="A157" s="47"/>
      <c r="B157" s="47"/>
      <c r="J157" s="46"/>
      <c r="K157" s="46"/>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46"/>
      <c r="AL157" s="46"/>
      <c r="AM157" s="46"/>
      <c r="AN157" s="46"/>
      <c r="AO157" s="46"/>
      <c r="AP157" s="46"/>
      <c r="AQ157" s="46"/>
      <c r="AR157" s="46"/>
      <c r="AS157" s="46"/>
      <c r="AT157" s="46"/>
      <c r="AU157" s="46"/>
      <c r="AV157" s="46"/>
      <c r="AW157" s="46"/>
      <c r="AX157" s="46"/>
      <c r="AY157" s="46"/>
      <c r="AZ157" s="46"/>
    </row>
    <row r="158" spans="1:52" ht="15" customHeight="1">
      <c r="A158" s="47"/>
      <c r="B158" s="47"/>
      <c r="J158" s="46"/>
      <c r="K158" s="46"/>
      <c r="L158" s="46"/>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c r="AJ158" s="46"/>
      <c r="AK158" s="46"/>
      <c r="AL158" s="46"/>
      <c r="AM158" s="46"/>
      <c r="AN158" s="46"/>
      <c r="AO158" s="46"/>
      <c r="AP158" s="46"/>
      <c r="AQ158" s="46"/>
      <c r="AR158" s="46"/>
      <c r="AS158" s="46"/>
      <c r="AT158" s="46"/>
      <c r="AU158" s="46"/>
      <c r="AV158" s="46"/>
      <c r="AW158" s="46"/>
      <c r="AX158" s="46"/>
      <c r="AY158" s="46"/>
      <c r="AZ158" s="46"/>
    </row>
    <row r="159" spans="1:52" ht="15" customHeight="1">
      <c r="A159" s="47"/>
      <c r="B159" s="47"/>
      <c r="J159" s="46"/>
      <c r="K159" s="46"/>
      <c r="L159" s="46"/>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c r="AJ159" s="46"/>
      <c r="AK159" s="46"/>
      <c r="AL159" s="46"/>
      <c r="AM159" s="46"/>
      <c r="AN159" s="46"/>
      <c r="AO159" s="46"/>
      <c r="AP159" s="46"/>
      <c r="AQ159" s="46"/>
      <c r="AR159" s="46"/>
      <c r="AS159" s="46"/>
      <c r="AT159" s="46"/>
      <c r="AU159" s="46"/>
      <c r="AV159" s="46"/>
      <c r="AW159" s="46"/>
      <c r="AX159" s="46"/>
      <c r="AY159" s="46"/>
      <c r="AZ159" s="46"/>
    </row>
    <row r="160" spans="1:52" ht="15" customHeight="1">
      <c r="A160" s="47"/>
      <c r="B160" s="47"/>
      <c r="J160" s="46"/>
      <c r="K160" s="46"/>
      <c r="L160" s="46"/>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c r="AJ160" s="46"/>
      <c r="AK160" s="46"/>
      <c r="AL160" s="46"/>
      <c r="AM160" s="46"/>
      <c r="AN160" s="46"/>
      <c r="AO160" s="46"/>
      <c r="AP160" s="46"/>
      <c r="AQ160" s="46"/>
      <c r="AR160" s="46"/>
      <c r="AS160" s="46"/>
      <c r="AT160" s="46"/>
      <c r="AU160" s="46"/>
      <c r="AV160" s="46"/>
      <c r="AW160" s="46"/>
      <c r="AX160" s="46"/>
      <c r="AY160" s="46"/>
      <c r="AZ160" s="46"/>
    </row>
    <row r="161" spans="1:52" ht="15" customHeight="1">
      <c r="A161" s="47"/>
      <c r="B161" s="47"/>
      <c r="J161" s="46"/>
      <c r="K161" s="46"/>
      <c r="L161" s="46"/>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c r="AJ161" s="46"/>
      <c r="AK161" s="46"/>
      <c r="AL161" s="46"/>
      <c r="AM161" s="46"/>
      <c r="AN161" s="46"/>
      <c r="AO161" s="46"/>
      <c r="AP161" s="46"/>
      <c r="AQ161" s="46"/>
      <c r="AR161" s="46"/>
      <c r="AS161" s="46"/>
      <c r="AT161" s="46"/>
      <c r="AU161" s="46"/>
      <c r="AV161" s="46"/>
      <c r="AW161" s="46"/>
      <c r="AX161" s="46"/>
      <c r="AY161" s="46"/>
      <c r="AZ161" s="46"/>
    </row>
    <row r="162" spans="1:52" ht="15" customHeight="1">
      <c r="A162" s="47"/>
      <c r="B162" s="47"/>
      <c r="J162" s="46"/>
      <c r="K162" s="46"/>
      <c r="L162" s="46"/>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c r="AJ162" s="46"/>
      <c r="AK162" s="46"/>
      <c r="AL162" s="46"/>
      <c r="AM162" s="46"/>
      <c r="AN162" s="46"/>
      <c r="AO162" s="46"/>
      <c r="AP162" s="46"/>
      <c r="AQ162" s="46"/>
      <c r="AR162" s="46"/>
      <c r="AS162" s="46"/>
      <c r="AT162" s="46"/>
      <c r="AU162" s="46"/>
      <c r="AV162" s="46"/>
      <c r="AW162" s="46"/>
      <c r="AX162" s="46"/>
      <c r="AY162" s="46"/>
      <c r="AZ162" s="46"/>
    </row>
    <row r="163" spans="1:52" ht="15" customHeight="1">
      <c r="A163" s="47"/>
      <c r="B163" s="47"/>
      <c r="J163" s="46"/>
      <c r="K163" s="46"/>
      <c r="L163" s="46"/>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c r="AJ163" s="46"/>
      <c r="AK163" s="46"/>
      <c r="AL163" s="46"/>
      <c r="AM163" s="46"/>
      <c r="AN163" s="46"/>
      <c r="AO163" s="46"/>
      <c r="AP163" s="46"/>
      <c r="AQ163" s="46"/>
      <c r="AR163" s="46"/>
      <c r="AS163" s="46"/>
      <c r="AT163" s="46"/>
      <c r="AU163" s="46"/>
      <c r="AV163" s="46"/>
      <c r="AW163" s="46"/>
      <c r="AX163" s="46"/>
      <c r="AY163" s="46"/>
      <c r="AZ163" s="46"/>
    </row>
    <row r="164" spans="1:52" ht="15" customHeight="1">
      <c r="A164" s="47"/>
      <c r="B164" s="47"/>
      <c r="J164" s="46"/>
      <c r="K164" s="46"/>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46"/>
      <c r="AL164" s="46"/>
      <c r="AM164" s="46"/>
      <c r="AN164" s="46"/>
      <c r="AO164" s="46"/>
      <c r="AP164" s="46"/>
      <c r="AQ164" s="46"/>
      <c r="AR164" s="46"/>
      <c r="AS164" s="46"/>
      <c r="AT164" s="46"/>
      <c r="AU164" s="46"/>
      <c r="AV164" s="46"/>
      <c r="AW164" s="46"/>
      <c r="AX164" s="46"/>
      <c r="AY164" s="46"/>
      <c r="AZ164" s="46"/>
    </row>
    <row r="165" spans="1:52" ht="15" customHeight="1">
      <c r="A165" s="47"/>
      <c r="B165" s="47"/>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c r="AJ165" s="46"/>
      <c r="AK165" s="46"/>
      <c r="AL165" s="46"/>
      <c r="AM165" s="46"/>
      <c r="AN165" s="46"/>
      <c r="AO165" s="46"/>
      <c r="AP165" s="46"/>
      <c r="AQ165" s="46"/>
      <c r="AR165" s="46"/>
      <c r="AS165" s="46"/>
      <c r="AT165" s="46"/>
      <c r="AU165" s="46"/>
      <c r="AV165" s="46"/>
      <c r="AW165" s="46"/>
      <c r="AX165" s="46"/>
      <c r="AY165" s="46"/>
      <c r="AZ165" s="46"/>
    </row>
    <row r="166" spans="1:52" ht="15" customHeight="1">
      <c r="A166" s="47"/>
      <c r="B166" s="47"/>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46"/>
      <c r="AL166" s="46"/>
      <c r="AM166" s="46"/>
      <c r="AN166" s="46"/>
      <c r="AO166" s="46"/>
      <c r="AP166" s="46"/>
      <c r="AQ166" s="46"/>
      <c r="AR166" s="46"/>
      <c r="AS166" s="46"/>
      <c r="AT166" s="46"/>
      <c r="AU166" s="46"/>
      <c r="AV166" s="46"/>
      <c r="AW166" s="46"/>
      <c r="AX166" s="46"/>
      <c r="AY166" s="46"/>
      <c r="AZ166" s="46"/>
    </row>
    <row r="167" spans="1:52" ht="15" customHeight="1">
      <c r="A167" s="47"/>
      <c r="B167" s="47"/>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46"/>
      <c r="AL167" s="46"/>
      <c r="AM167" s="46"/>
      <c r="AN167" s="46"/>
      <c r="AO167" s="46"/>
      <c r="AP167" s="46"/>
      <c r="AQ167" s="46"/>
      <c r="AR167" s="46"/>
      <c r="AS167" s="46"/>
      <c r="AT167" s="46"/>
      <c r="AU167" s="46"/>
      <c r="AV167" s="46"/>
      <c r="AW167" s="46"/>
      <c r="AX167" s="46"/>
      <c r="AY167" s="46"/>
      <c r="AZ167" s="46"/>
    </row>
    <row r="168" spans="1:52" ht="15" customHeight="1">
      <c r="A168" s="47"/>
      <c r="B168" s="47"/>
      <c r="J168" s="46"/>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46"/>
      <c r="AL168" s="46"/>
      <c r="AM168" s="46"/>
      <c r="AN168" s="46"/>
      <c r="AO168" s="46"/>
      <c r="AP168" s="46"/>
      <c r="AQ168" s="46"/>
      <c r="AR168" s="46"/>
      <c r="AS168" s="46"/>
      <c r="AT168" s="46"/>
      <c r="AU168" s="46"/>
      <c r="AV168" s="46"/>
      <c r="AW168" s="46"/>
      <c r="AX168" s="46"/>
      <c r="AY168" s="46"/>
      <c r="AZ168" s="46"/>
    </row>
    <row r="169" spans="1:52" ht="15" customHeight="1">
      <c r="A169" s="47"/>
      <c r="B169" s="47"/>
      <c r="J169" s="46"/>
      <c r="K169" s="46"/>
      <c r="L169" s="46"/>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c r="AJ169" s="46"/>
      <c r="AK169" s="46"/>
      <c r="AL169" s="46"/>
      <c r="AM169" s="46"/>
      <c r="AN169" s="46"/>
      <c r="AO169" s="46"/>
      <c r="AP169" s="46"/>
      <c r="AQ169" s="46"/>
      <c r="AR169" s="46"/>
      <c r="AS169" s="46"/>
      <c r="AT169" s="46"/>
      <c r="AU169" s="46"/>
      <c r="AV169" s="46"/>
      <c r="AW169" s="46"/>
      <c r="AX169" s="46"/>
      <c r="AY169" s="46"/>
      <c r="AZ169" s="46"/>
    </row>
    <row r="170" spans="1:52" ht="15" customHeight="1">
      <c r="A170" s="47"/>
      <c r="B170" s="47"/>
      <c r="J170" s="46"/>
      <c r="K170" s="46"/>
      <c r="L170" s="46"/>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c r="AJ170" s="46"/>
      <c r="AK170" s="46"/>
      <c r="AL170" s="46"/>
      <c r="AM170" s="46"/>
      <c r="AN170" s="46"/>
      <c r="AO170" s="46"/>
      <c r="AP170" s="46"/>
      <c r="AQ170" s="46"/>
      <c r="AR170" s="46"/>
      <c r="AS170" s="46"/>
      <c r="AT170" s="46"/>
      <c r="AU170" s="46"/>
      <c r="AV170" s="46"/>
      <c r="AW170" s="46"/>
      <c r="AX170" s="46"/>
      <c r="AY170" s="46"/>
      <c r="AZ170" s="46"/>
    </row>
    <row r="171" spans="1:52" ht="15" customHeight="1">
      <c r="A171" s="47"/>
      <c r="B171" s="47"/>
      <c r="J171" s="46"/>
      <c r="K171" s="46"/>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c r="AK171" s="46"/>
      <c r="AL171" s="46"/>
      <c r="AM171" s="46"/>
      <c r="AN171" s="46"/>
      <c r="AO171" s="46"/>
      <c r="AP171" s="46"/>
      <c r="AQ171" s="46"/>
      <c r="AR171" s="46"/>
      <c r="AS171" s="46"/>
      <c r="AT171" s="46"/>
      <c r="AU171" s="46"/>
      <c r="AV171" s="46"/>
      <c r="AW171" s="46"/>
      <c r="AX171" s="46"/>
      <c r="AY171" s="46"/>
      <c r="AZ171" s="46"/>
    </row>
    <row r="172" spans="1:52" ht="15" customHeight="1">
      <c r="A172" s="47"/>
      <c r="B172" s="47"/>
      <c r="J172" s="46"/>
      <c r="K172" s="46"/>
      <c r="L172" s="46"/>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c r="AJ172" s="46"/>
      <c r="AK172" s="46"/>
      <c r="AL172" s="46"/>
      <c r="AM172" s="46"/>
      <c r="AN172" s="46"/>
      <c r="AO172" s="46"/>
      <c r="AP172" s="46"/>
      <c r="AQ172" s="46"/>
      <c r="AR172" s="46"/>
      <c r="AS172" s="46"/>
      <c r="AT172" s="46"/>
      <c r="AU172" s="46"/>
      <c r="AV172" s="46"/>
      <c r="AW172" s="46"/>
      <c r="AX172" s="46"/>
      <c r="AY172" s="46"/>
      <c r="AZ172" s="46"/>
    </row>
    <row r="173" spans="1:52" ht="15" customHeight="1">
      <c r="A173" s="47"/>
      <c r="B173" s="47"/>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c r="AJ173" s="46"/>
      <c r="AK173" s="46"/>
      <c r="AL173" s="46"/>
      <c r="AM173" s="46"/>
      <c r="AN173" s="46"/>
      <c r="AO173" s="46"/>
      <c r="AP173" s="46"/>
      <c r="AQ173" s="46"/>
      <c r="AR173" s="46"/>
      <c r="AS173" s="46"/>
      <c r="AT173" s="46"/>
      <c r="AU173" s="46"/>
      <c r="AV173" s="46"/>
      <c r="AW173" s="46"/>
      <c r="AX173" s="46"/>
      <c r="AY173" s="46"/>
      <c r="AZ173" s="46"/>
    </row>
    <row r="174" spans="1:52" ht="15" customHeight="1">
      <c r="A174" s="47"/>
      <c r="B174" s="47"/>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c r="AJ174" s="46"/>
      <c r="AK174" s="46"/>
      <c r="AL174" s="46"/>
      <c r="AM174" s="46"/>
      <c r="AN174" s="46"/>
      <c r="AO174" s="46"/>
      <c r="AP174" s="46"/>
      <c r="AQ174" s="46"/>
      <c r="AR174" s="46"/>
      <c r="AS174" s="46"/>
      <c r="AT174" s="46"/>
      <c r="AU174" s="46"/>
      <c r="AV174" s="46"/>
      <c r="AW174" s="46"/>
      <c r="AX174" s="46"/>
      <c r="AY174" s="46"/>
      <c r="AZ174" s="46"/>
    </row>
    <row r="175" spans="1:52" ht="15" customHeight="1">
      <c r="A175" s="47"/>
      <c r="B175" s="47"/>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c r="AJ175" s="46"/>
      <c r="AK175" s="46"/>
      <c r="AL175" s="46"/>
      <c r="AM175" s="46"/>
      <c r="AN175" s="46"/>
      <c r="AO175" s="46"/>
      <c r="AP175" s="46"/>
      <c r="AQ175" s="46"/>
      <c r="AR175" s="46"/>
      <c r="AS175" s="46"/>
      <c r="AT175" s="46"/>
      <c r="AU175" s="46"/>
      <c r="AV175" s="46"/>
      <c r="AW175" s="46"/>
      <c r="AX175" s="46"/>
      <c r="AY175" s="46"/>
      <c r="AZ175" s="46"/>
    </row>
    <row r="176" spans="1:52" ht="15" customHeight="1">
      <c r="A176" s="47"/>
      <c r="B176" s="47"/>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c r="AJ176" s="46"/>
      <c r="AK176" s="46"/>
      <c r="AL176" s="46"/>
      <c r="AM176" s="46"/>
      <c r="AN176" s="46"/>
      <c r="AO176" s="46"/>
      <c r="AP176" s="46"/>
      <c r="AQ176" s="46"/>
      <c r="AR176" s="46"/>
      <c r="AS176" s="46"/>
      <c r="AT176" s="46"/>
      <c r="AU176" s="46"/>
      <c r="AV176" s="46"/>
      <c r="AW176" s="46"/>
      <c r="AX176" s="46"/>
      <c r="AY176" s="46"/>
      <c r="AZ176" s="46"/>
    </row>
    <row r="177" spans="1:52" ht="15" customHeight="1">
      <c r="A177" s="47"/>
      <c r="B177" s="47"/>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c r="AJ177" s="46"/>
      <c r="AK177" s="46"/>
      <c r="AL177" s="46"/>
      <c r="AM177" s="46"/>
      <c r="AN177" s="46"/>
      <c r="AO177" s="46"/>
      <c r="AP177" s="46"/>
      <c r="AQ177" s="46"/>
      <c r="AR177" s="46"/>
      <c r="AS177" s="46"/>
      <c r="AT177" s="46"/>
      <c r="AU177" s="46"/>
      <c r="AV177" s="46"/>
      <c r="AW177" s="46"/>
      <c r="AX177" s="46"/>
      <c r="AY177" s="46"/>
      <c r="AZ177" s="46"/>
    </row>
    <row r="178" spans="1:52" ht="15" customHeight="1">
      <c r="A178" s="47"/>
      <c r="B178" s="47"/>
      <c r="J178" s="46"/>
      <c r="K178" s="46"/>
      <c r="L178" s="46"/>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c r="AJ178" s="46"/>
      <c r="AK178" s="46"/>
      <c r="AL178" s="46"/>
      <c r="AM178" s="46"/>
      <c r="AN178" s="46"/>
      <c r="AO178" s="46"/>
      <c r="AP178" s="46"/>
      <c r="AQ178" s="46"/>
      <c r="AR178" s="46"/>
      <c r="AS178" s="46"/>
      <c r="AT178" s="46"/>
      <c r="AU178" s="46"/>
      <c r="AV178" s="46"/>
      <c r="AW178" s="46"/>
      <c r="AX178" s="46"/>
      <c r="AY178" s="46"/>
      <c r="AZ178" s="46"/>
    </row>
    <row r="179" spans="1:52" ht="15" customHeight="1">
      <c r="A179" s="47"/>
      <c r="B179" s="47"/>
      <c r="J179" s="46"/>
      <c r="K179" s="46"/>
      <c r="L179" s="46"/>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c r="AJ179" s="46"/>
      <c r="AK179" s="46"/>
      <c r="AL179" s="46"/>
      <c r="AM179" s="46"/>
      <c r="AN179" s="46"/>
      <c r="AO179" s="46"/>
      <c r="AP179" s="46"/>
      <c r="AQ179" s="46"/>
      <c r="AR179" s="46"/>
      <c r="AS179" s="46"/>
      <c r="AT179" s="46"/>
      <c r="AU179" s="46"/>
      <c r="AV179" s="46"/>
      <c r="AW179" s="46"/>
      <c r="AX179" s="46"/>
      <c r="AY179" s="46"/>
      <c r="AZ179" s="46"/>
    </row>
    <row r="180" spans="1:52" ht="15" customHeight="1">
      <c r="A180" s="47"/>
      <c r="B180" s="47"/>
      <c r="J180" s="46"/>
      <c r="K180" s="46"/>
      <c r="L180" s="46"/>
      <c r="M180" s="46"/>
      <c r="N180" s="46"/>
      <c r="O180" s="46"/>
      <c r="P180" s="46"/>
      <c r="Q180" s="46"/>
      <c r="R180" s="46"/>
      <c r="S180" s="46"/>
      <c r="T180" s="46"/>
      <c r="U180" s="46"/>
      <c r="V180" s="46"/>
      <c r="W180" s="46"/>
      <c r="X180" s="46"/>
      <c r="Y180" s="46"/>
      <c r="Z180" s="46"/>
      <c r="AA180" s="46"/>
      <c r="AB180" s="46"/>
      <c r="AC180" s="46"/>
      <c r="AD180" s="46"/>
      <c r="AE180" s="46"/>
      <c r="AF180" s="46"/>
      <c r="AG180" s="46"/>
      <c r="AH180" s="46"/>
      <c r="AI180" s="46"/>
      <c r="AJ180" s="46"/>
      <c r="AK180" s="46"/>
      <c r="AL180" s="46"/>
      <c r="AM180" s="46"/>
      <c r="AN180" s="46"/>
      <c r="AO180" s="46"/>
      <c r="AP180" s="46"/>
      <c r="AQ180" s="46"/>
      <c r="AR180" s="46"/>
      <c r="AS180" s="46"/>
      <c r="AT180" s="46"/>
      <c r="AU180" s="46"/>
      <c r="AV180" s="46"/>
      <c r="AW180" s="46"/>
      <c r="AX180" s="46"/>
      <c r="AY180" s="46"/>
      <c r="AZ180" s="46"/>
    </row>
    <row r="181" spans="1:52" ht="15" customHeight="1">
      <c r="A181" s="47"/>
      <c r="B181" s="47"/>
      <c r="J181" s="46"/>
      <c r="K181" s="46"/>
      <c r="L181" s="46"/>
      <c r="M181" s="46"/>
      <c r="N181" s="46"/>
      <c r="O181" s="46"/>
      <c r="P181" s="46"/>
      <c r="Q181" s="46"/>
      <c r="R181" s="46"/>
      <c r="S181" s="46"/>
      <c r="T181" s="46"/>
      <c r="U181" s="46"/>
      <c r="V181" s="46"/>
      <c r="W181" s="46"/>
      <c r="X181" s="46"/>
      <c r="Y181" s="46"/>
      <c r="Z181" s="46"/>
      <c r="AA181" s="46"/>
      <c r="AB181" s="46"/>
      <c r="AC181" s="46"/>
      <c r="AD181" s="46"/>
      <c r="AE181" s="46"/>
      <c r="AF181" s="46"/>
      <c r="AG181" s="46"/>
      <c r="AH181" s="46"/>
      <c r="AI181" s="46"/>
      <c r="AJ181" s="46"/>
      <c r="AK181" s="46"/>
      <c r="AL181" s="46"/>
      <c r="AM181" s="46"/>
      <c r="AN181" s="46"/>
      <c r="AO181" s="46"/>
      <c r="AP181" s="46"/>
      <c r="AQ181" s="46"/>
      <c r="AR181" s="46"/>
      <c r="AS181" s="46"/>
      <c r="AT181" s="46"/>
      <c r="AU181" s="46"/>
      <c r="AV181" s="46"/>
      <c r="AW181" s="46"/>
      <c r="AX181" s="46"/>
      <c r="AY181" s="46"/>
      <c r="AZ181" s="46"/>
    </row>
    <row r="182" spans="1:52" ht="15" customHeight="1">
      <c r="A182" s="47"/>
      <c r="B182" s="47"/>
      <c r="J182" s="46"/>
      <c r="K182" s="46"/>
      <c r="L182" s="46"/>
      <c r="M182" s="46"/>
      <c r="N182" s="46"/>
      <c r="O182" s="46"/>
      <c r="P182" s="46"/>
      <c r="Q182" s="46"/>
      <c r="R182" s="46"/>
      <c r="S182" s="46"/>
      <c r="T182" s="46"/>
      <c r="U182" s="46"/>
      <c r="V182" s="46"/>
      <c r="W182" s="46"/>
      <c r="X182" s="46"/>
      <c r="Y182" s="46"/>
      <c r="Z182" s="46"/>
      <c r="AA182" s="46"/>
      <c r="AB182" s="46"/>
      <c r="AC182" s="46"/>
      <c r="AD182" s="46"/>
      <c r="AE182" s="46"/>
      <c r="AF182" s="46"/>
      <c r="AG182" s="46"/>
      <c r="AH182" s="46"/>
      <c r="AI182" s="46"/>
      <c r="AJ182" s="46"/>
      <c r="AK182" s="46"/>
      <c r="AL182" s="46"/>
      <c r="AM182" s="46"/>
      <c r="AN182" s="46"/>
      <c r="AO182" s="46"/>
      <c r="AP182" s="46"/>
      <c r="AQ182" s="46"/>
      <c r="AR182" s="46"/>
      <c r="AS182" s="46"/>
      <c r="AT182" s="46"/>
      <c r="AU182" s="46"/>
      <c r="AV182" s="46"/>
      <c r="AW182" s="46"/>
      <c r="AX182" s="46"/>
      <c r="AY182" s="46"/>
      <c r="AZ182" s="46"/>
    </row>
    <row r="183" spans="1:52" ht="15" customHeight="1">
      <c r="A183" s="47"/>
      <c r="B183" s="47"/>
      <c r="J183" s="46"/>
      <c r="K183" s="46"/>
      <c r="L183" s="46"/>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c r="AJ183" s="46"/>
      <c r="AK183" s="46"/>
      <c r="AL183" s="46"/>
      <c r="AM183" s="46"/>
      <c r="AN183" s="46"/>
      <c r="AO183" s="46"/>
      <c r="AP183" s="46"/>
      <c r="AQ183" s="46"/>
      <c r="AR183" s="46"/>
      <c r="AS183" s="46"/>
      <c r="AT183" s="46"/>
      <c r="AU183" s="46"/>
      <c r="AV183" s="46"/>
      <c r="AW183" s="46"/>
      <c r="AX183" s="46"/>
      <c r="AY183" s="46"/>
      <c r="AZ183" s="46"/>
    </row>
    <row r="184" spans="1:52" ht="15" customHeight="1">
      <c r="A184" s="47"/>
      <c r="B184" s="47"/>
      <c r="J184" s="46"/>
      <c r="K184" s="46"/>
      <c r="L184" s="46"/>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c r="AJ184" s="46"/>
      <c r="AK184" s="46"/>
      <c r="AL184" s="46"/>
      <c r="AM184" s="46"/>
      <c r="AN184" s="46"/>
      <c r="AO184" s="46"/>
      <c r="AP184" s="46"/>
      <c r="AQ184" s="46"/>
      <c r="AR184" s="46"/>
      <c r="AS184" s="46"/>
      <c r="AT184" s="46"/>
      <c r="AU184" s="46"/>
      <c r="AV184" s="46"/>
      <c r="AW184" s="46"/>
      <c r="AX184" s="46"/>
      <c r="AY184" s="46"/>
      <c r="AZ184" s="46"/>
    </row>
    <row r="185" spans="1:52" ht="15" customHeight="1">
      <c r="A185" s="47"/>
      <c r="B185" s="47"/>
      <c r="J185" s="46"/>
      <c r="K185" s="46"/>
      <c r="L185" s="46"/>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c r="AJ185" s="46"/>
      <c r="AK185" s="46"/>
      <c r="AL185" s="46"/>
      <c r="AM185" s="46"/>
      <c r="AN185" s="46"/>
      <c r="AO185" s="46"/>
      <c r="AP185" s="46"/>
      <c r="AQ185" s="46"/>
      <c r="AR185" s="46"/>
      <c r="AS185" s="46"/>
      <c r="AT185" s="46"/>
      <c r="AU185" s="46"/>
      <c r="AV185" s="46"/>
      <c r="AW185" s="46"/>
      <c r="AX185" s="46"/>
      <c r="AY185" s="46"/>
      <c r="AZ185" s="46"/>
    </row>
    <row r="186" spans="1:52" ht="15" customHeight="1">
      <c r="A186" s="47"/>
      <c r="B186" s="47"/>
      <c r="J186" s="46"/>
      <c r="K186" s="46"/>
      <c r="L186" s="46"/>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c r="AJ186" s="46"/>
      <c r="AK186" s="46"/>
      <c r="AL186" s="46"/>
      <c r="AM186" s="46"/>
      <c r="AN186" s="46"/>
      <c r="AO186" s="46"/>
      <c r="AP186" s="46"/>
      <c r="AQ186" s="46"/>
      <c r="AR186" s="46"/>
      <c r="AS186" s="46"/>
      <c r="AT186" s="46"/>
      <c r="AU186" s="46"/>
      <c r="AV186" s="46"/>
      <c r="AW186" s="46"/>
      <c r="AX186" s="46"/>
      <c r="AY186" s="46"/>
      <c r="AZ186" s="46"/>
    </row>
    <row r="187" spans="1:52" ht="15" customHeight="1">
      <c r="A187" s="47"/>
      <c r="B187" s="47"/>
      <c r="J187" s="46"/>
      <c r="K187" s="46"/>
      <c r="L187" s="46"/>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c r="AJ187" s="46"/>
      <c r="AK187" s="46"/>
      <c r="AL187" s="46"/>
      <c r="AM187" s="46"/>
      <c r="AN187" s="46"/>
      <c r="AO187" s="46"/>
      <c r="AP187" s="46"/>
      <c r="AQ187" s="46"/>
      <c r="AR187" s="46"/>
      <c r="AS187" s="46"/>
      <c r="AT187" s="46"/>
      <c r="AU187" s="46"/>
      <c r="AV187" s="46"/>
      <c r="AW187" s="46"/>
      <c r="AX187" s="46"/>
      <c r="AY187" s="46"/>
      <c r="AZ187" s="46"/>
    </row>
    <row r="188" spans="1:52" ht="15" customHeight="1">
      <c r="A188" s="47"/>
      <c r="B188" s="47"/>
      <c r="J188" s="46"/>
      <c r="K188" s="46"/>
      <c r="L188" s="46"/>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c r="AJ188" s="46"/>
      <c r="AK188" s="46"/>
      <c r="AL188" s="46"/>
      <c r="AM188" s="46"/>
      <c r="AN188" s="46"/>
      <c r="AO188" s="46"/>
      <c r="AP188" s="46"/>
      <c r="AQ188" s="46"/>
      <c r="AR188" s="46"/>
      <c r="AS188" s="46"/>
      <c r="AT188" s="46"/>
      <c r="AU188" s="46"/>
      <c r="AV188" s="46"/>
      <c r="AW188" s="46"/>
      <c r="AX188" s="46"/>
      <c r="AY188" s="46"/>
      <c r="AZ188" s="46"/>
    </row>
    <row r="189" spans="1:52" ht="15" customHeight="1">
      <c r="A189" s="47"/>
      <c r="B189" s="47"/>
      <c r="J189" s="46"/>
      <c r="K189" s="46"/>
      <c r="L189" s="46"/>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c r="AJ189" s="46"/>
      <c r="AK189" s="46"/>
      <c r="AL189" s="46"/>
      <c r="AM189" s="46"/>
      <c r="AN189" s="46"/>
      <c r="AO189" s="46"/>
      <c r="AP189" s="46"/>
      <c r="AQ189" s="46"/>
      <c r="AR189" s="46"/>
      <c r="AS189" s="46"/>
      <c r="AT189" s="46"/>
      <c r="AU189" s="46"/>
      <c r="AV189" s="46"/>
      <c r="AW189" s="46"/>
      <c r="AX189" s="46"/>
      <c r="AY189" s="46"/>
      <c r="AZ189" s="46"/>
    </row>
    <row r="190" spans="1:52" ht="15" customHeight="1">
      <c r="A190" s="47"/>
      <c r="B190" s="47"/>
      <c r="J190" s="46"/>
      <c r="K190" s="46"/>
      <c r="L190" s="46"/>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c r="AJ190" s="46"/>
      <c r="AK190" s="46"/>
      <c r="AL190" s="46"/>
      <c r="AM190" s="46"/>
      <c r="AN190" s="46"/>
      <c r="AO190" s="46"/>
      <c r="AP190" s="46"/>
      <c r="AQ190" s="46"/>
      <c r="AR190" s="46"/>
      <c r="AS190" s="46"/>
      <c r="AT190" s="46"/>
      <c r="AU190" s="46"/>
      <c r="AV190" s="46"/>
      <c r="AW190" s="46"/>
      <c r="AX190" s="46"/>
      <c r="AY190" s="46"/>
      <c r="AZ190" s="46"/>
    </row>
    <row r="191" spans="1:52" ht="15" customHeight="1">
      <c r="A191" s="47"/>
      <c r="B191" s="47"/>
      <c r="J191" s="46"/>
      <c r="K191" s="46"/>
      <c r="L191" s="46"/>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c r="AJ191" s="46"/>
      <c r="AK191" s="46"/>
      <c r="AL191" s="46"/>
      <c r="AM191" s="46"/>
      <c r="AN191" s="46"/>
      <c r="AO191" s="46"/>
      <c r="AP191" s="46"/>
      <c r="AQ191" s="46"/>
      <c r="AR191" s="46"/>
      <c r="AS191" s="46"/>
      <c r="AT191" s="46"/>
      <c r="AU191" s="46"/>
      <c r="AV191" s="46"/>
      <c r="AW191" s="46"/>
      <c r="AX191" s="46"/>
      <c r="AY191" s="46"/>
      <c r="AZ191" s="46"/>
    </row>
    <row r="192" spans="1:52" ht="15" customHeight="1">
      <c r="A192" s="47"/>
      <c r="B192" s="47"/>
      <c r="J192" s="46"/>
      <c r="K192" s="46"/>
      <c r="L192" s="46"/>
      <c r="M192" s="46"/>
      <c r="N192" s="46"/>
      <c r="O192" s="46"/>
      <c r="P192" s="46"/>
      <c r="Q192" s="46"/>
      <c r="R192" s="46"/>
      <c r="S192" s="46"/>
      <c r="T192" s="46"/>
      <c r="U192" s="46"/>
      <c r="V192" s="46"/>
      <c r="W192" s="46"/>
      <c r="X192" s="46"/>
      <c r="Y192" s="46"/>
      <c r="Z192" s="46"/>
      <c r="AA192" s="46"/>
      <c r="AB192" s="46"/>
      <c r="AC192" s="46"/>
      <c r="AD192" s="46"/>
      <c r="AE192" s="46"/>
      <c r="AF192" s="46"/>
      <c r="AG192" s="46"/>
      <c r="AH192" s="46"/>
      <c r="AI192" s="46"/>
      <c r="AJ192" s="46"/>
      <c r="AK192" s="46"/>
      <c r="AL192" s="46"/>
      <c r="AM192" s="46"/>
      <c r="AN192" s="46"/>
      <c r="AO192" s="46"/>
      <c r="AP192" s="46"/>
      <c r="AQ192" s="46"/>
      <c r="AR192" s="46"/>
      <c r="AS192" s="46"/>
      <c r="AT192" s="46"/>
      <c r="AU192" s="46"/>
      <c r="AV192" s="46"/>
      <c r="AW192" s="46"/>
      <c r="AX192" s="46"/>
      <c r="AY192" s="46"/>
      <c r="AZ192" s="46"/>
    </row>
    <row r="193" spans="1:52" ht="15" customHeight="1">
      <c r="A193" s="47"/>
      <c r="B193" s="47"/>
      <c r="J193" s="46"/>
      <c r="K193" s="46"/>
      <c r="L193" s="46"/>
      <c r="M193" s="46"/>
      <c r="N193" s="46"/>
      <c r="O193" s="46"/>
      <c r="P193" s="46"/>
      <c r="Q193" s="46"/>
      <c r="R193" s="46"/>
      <c r="S193" s="46"/>
      <c r="T193" s="46"/>
      <c r="U193" s="46"/>
      <c r="V193" s="46"/>
      <c r="W193" s="46"/>
      <c r="X193" s="46"/>
      <c r="Y193" s="46"/>
      <c r="Z193" s="46"/>
      <c r="AA193" s="46"/>
      <c r="AB193" s="46"/>
      <c r="AC193" s="46"/>
      <c r="AD193" s="46"/>
      <c r="AE193" s="46"/>
      <c r="AF193" s="46"/>
      <c r="AG193" s="46"/>
      <c r="AH193" s="46"/>
      <c r="AI193" s="46"/>
      <c r="AJ193" s="46"/>
      <c r="AK193" s="46"/>
      <c r="AL193" s="46"/>
      <c r="AM193" s="46"/>
      <c r="AN193" s="46"/>
      <c r="AO193" s="46"/>
      <c r="AP193" s="46"/>
      <c r="AQ193" s="46"/>
      <c r="AR193" s="46"/>
      <c r="AS193" s="46"/>
      <c r="AT193" s="46"/>
      <c r="AU193" s="46"/>
      <c r="AV193" s="46"/>
      <c r="AW193" s="46"/>
      <c r="AX193" s="46"/>
      <c r="AY193" s="46"/>
      <c r="AZ193" s="46"/>
    </row>
    <row r="194" spans="1:52" ht="15" customHeight="1">
      <c r="A194" s="47"/>
      <c r="B194" s="47"/>
      <c r="J194" s="46"/>
      <c r="K194" s="46"/>
      <c r="L194" s="46"/>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c r="AJ194" s="46"/>
      <c r="AK194" s="46"/>
      <c r="AL194" s="46"/>
      <c r="AM194" s="46"/>
      <c r="AN194" s="46"/>
      <c r="AO194" s="46"/>
      <c r="AP194" s="46"/>
      <c r="AQ194" s="46"/>
      <c r="AR194" s="46"/>
      <c r="AS194" s="46"/>
      <c r="AT194" s="46"/>
      <c r="AU194" s="46"/>
      <c r="AV194" s="46"/>
      <c r="AW194" s="46"/>
      <c r="AX194" s="46"/>
      <c r="AY194" s="46"/>
      <c r="AZ194" s="46"/>
    </row>
    <row r="195" spans="1:52" ht="15" customHeight="1">
      <c r="A195" s="47"/>
      <c r="B195" s="47"/>
      <c r="J195" s="46"/>
      <c r="K195" s="46"/>
      <c r="L195" s="46"/>
      <c r="M195" s="46"/>
      <c r="N195" s="46"/>
      <c r="O195" s="46"/>
      <c r="P195" s="46"/>
      <c r="Q195" s="46"/>
      <c r="R195" s="46"/>
      <c r="S195" s="46"/>
      <c r="T195" s="46"/>
      <c r="U195" s="46"/>
      <c r="V195" s="46"/>
      <c r="W195" s="46"/>
      <c r="X195" s="46"/>
      <c r="Y195" s="46"/>
      <c r="Z195" s="46"/>
      <c r="AA195" s="46"/>
      <c r="AB195" s="46"/>
      <c r="AC195" s="46"/>
      <c r="AD195" s="46"/>
      <c r="AE195" s="46"/>
      <c r="AF195" s="46"/>
      <c r="AG195" s="46"/>
      <c r="AH195" s="46"/>
      <c r="AI195" s="46"/>
      <c r="AJ195" s="46"/>
      <c r="AK195" s="46"/>
      <c r="AL195" s="46"/>
      <c r="AM195" s="46"/>
      <c r="AN195" s="46"/>
      <c r="AO195" s="46"/>
      <c r="AP195" s="46"/>
      <c r="AQ195" s="46"/>
      <c r="AR195" s="46"/>
      <c r="AS195" s="46"/>
      <c r="AT195" s="46"/>
      <c r="AU195" s="46"/>
      <c r="AV195" s="46"/>
      <c r="AW195" s="46"/>
      <c r="AX195" s="46"/>
      <c r="AY195" s="46"/>
      <c r="AZ195" s="46"/>
    </row>
    <row r="196" spans="1:52" ht="15" customHeight="1">
      <c r="A196" s="47"/>
      <c r="B196" s="47"/>
      <c r="J196" s="46"/>
      <c r="K196" s="46"/>
      <c r="L196" s="46"/>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c r="AJ196" s="46"/>
      <c r="AK196" s="46"/>
      <c r="AL196" s="46"/>
      <c r="AM196" s="46"/>
      <c r="AN196" s="46"/>
      <c r="AO196" s="46"/>
      <c r="AP196" s="46"/>
      <c r="AQ196" s="46"/>
      <c r="AR196" s="46"/>
      <c r="AS196" s="46"/>
      <c r="AT196" s="46"/>
      <c r="AU196" s="46"/>
      <c r="AV196" s="46"/>
      <c r="AW196" s="46"/>
      <c r="AX196" s="46"/>
      <c r="AY196" s="46"/>
      <c r="AZ196" s="46"/>
    </row>
    <row r="197" spans="1:52" ht="15" customHeight="1">
      <c r="A197" s="47"/>
      <c r="B197" s="47"/>
      <c r="J197" s="46"/>
      <c r="K197" s="46"/>
      <c r="L197" s="46"/>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c r="AJ197" s="46"/>
      <c r="AK197" s="46"/>
      <c r="AL197" s="46"/>
      <c r="AM197" s="46"/>
      <c r="AN197" s="46"/>
      <c r="AO197" s="46"/>
      <c r="AP197" s="46"/>
      <c r="AQ197" s="46"/>
      <c r="AR197" s="46"/>
      <c r="AS197" s="46"/>
      <c r="AT197" s="46"/>
      <c r="AU197" s="46"/>
      <c r="AV197" s="46"/>
      <c r="AW197" s="46"/>
      <c r="AX197" s="46"/>
      <c r="AY197" s="46"/>
      <c r="AZ197" s="46"/>
    </row>
    <row r="198" spans="1:52" ht="15" customHeight="1">
      <c r="A198" s="47"/>
      <c r="B198" s="47"/>
      <c r="J198" s="46"/>
      <c r="K198" s="46"/>
      <c r="L198" s="46"/>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c r="AJ198" s="46"/>
      <c r="AK198" s="46"/>
      <c r="AL198" s="46"/>
      <c r="AM198" s="46"/>
      <c r="AN198" s="46"/>
      <c r="AO198" s="46"/>
      <c r="AP198" s="46"/>
      <c r="AQ198" s="46"/>
      <c r="AR198" s="46"/>
      <c r="AS198" s="46"/>
      <c r="AT198" s="46"/>
      <c r="AU198" s="46"/>
      <c r="AV198" s="46"/>
      <c r="AW198" s="46"/>
      <c r="AX198" s="46"/>
      <c r="AY198" s="46"/>
      <c r="AZ198" s="46"/>
    </row>
    <row r="199" spans="1:52" ht="15" customHeight="1">
      <c r="A199" s="47"/>
      <c r="B199" s="47"/>
      <c r="J199" s="46"/>
      <c r="K199" s="46"/>
      <c r="L199" s="46"/>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c r="AJ199" s="46"/>
      <c r="AK199" s="46"/>
      <c r="AL199" s="46"/>
      <c r="AM199" s="46"/>
      <c r="AN199" s="46"/>
      <c r="AO199" s="46"/>
      <c r="AP199" s="46"/>
      <c r="AQ199" s="46"/>
      <c r="AR199" s="46"/>
      <c r="AS199" s="46"/>
      <c r="AT199" s="46"/>
      <c r="AU199" s="46"/>
      <c r="AV199" s="46"/>
      <c r="AW199" s="46"/>
      <c r="AX199" s="46"/>
      <c r="AY199" s="46"/>
      <c r="AZ199" s="46"/>
    </row>
    <row r="200" spans="1:52" ht="15" customHeight="1">
      <c r="A200" s="47"/>
      <c r="B200" s="47"/>
      <c r="J200" s="46"/>
      <c r="K200" s="46"/>
      <c r="L200" s="46"/>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c r="AJ200" s="46"/>
      <c r="AK200" s="46"/>
      <c r="AL200" s="46"/>
      <c r="AM200" s="46"/>
      <c r="AN200" s="46"/>
      <c r="AO200" s="46"/>
      <c r="AP200" s="46"/>
      <c r="AQ200" s="46"/>
      <c r="AR200" s="46"/>
      <c r="AS200" s="46"/>
      <c r="AT200" s="46"/>
      <c r="AU200" s="46"/>
      <c r="AV200" s="46"/>
      <c r="AW200" s="46"/>
      <c r="AX200" s="46"/>
      <c r="AY200" s="46"/>
      <c r="AZ200" s="46"/>
    </row>
    <row r="201" spans="1:52" ht="15" customHeight="1">
      <c r="A201" s="47"/>
      <c r="B201" s="47"/>
      <c r="J201" s="46"/>
      <c r="K201" s="46"/>
      <c r="L201" s="46"/>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c r="AJ201" s="46"/>
      <c r="AK201" s="46"/>
      <c r="AL201" s="46"/>
      <c r="AM201" s="46"/>
      <c r="AN201" s="46"/>
      <c r="AO201" s="46"/>
      <c r="AP201" s="46"/>
      <c r="AQ201" s="46"/>
      <c r="AR201" s="46"/>
      <c r="AS201" s="46"/>
      <c r="AT201" s="46"/>
      <c r="AU201" s="46"/>
      <c r="AV201" s="46"/>
      <c r="AW201" s="46"/>
      <c r="AX201" s="46"/>
      <c r="AY201" s="46"/>
      <c r="AZ201" s="46"/>
    </row>
    <row r="202" spans="1:52" ht="15" customHeight="1">
      <c r="A202" s="47"/>
      <c r="B202" s="47"/>
      <c r="J202" s="46"/>
      <c r="K202" s="46"/>
      <c r="L202" s="46"/>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c r="AJ202" s="46"/>
      <c r="AK202" s="46"/>
      <c r="AL202" s="46"/>
      <c r="AM202" s="46"/>
      <c r="AN202" s="46"/>
      <c r="AO202" s="46"/>
      <c r="AP202" s="46"/>
      <c r="AQ202" s="46"/>
      <c r="AR202" s="46"/>
      <c r="AS202" s="46"/>
      <c r="AT202" s="46"/>
      <c r="AU202" s="46"/>
      <c r="AV202" s="46"/>
      <c r="AW202" s="46"/>
      <c r="AX202" s="46"/>
      <c r="AY202" s="46"/>
      <c r="AZ202" s="46"/>
    </row>
    <row r="203" spans="1:52" ht="15" customHeight="1">
      <c r="A203" s="47"/>
      <c r="B203" s="47"/>
      <c r="J203" s="46"/>
      <c r="K203" s="46"/>
      <c r="L203" s="46"/>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c r="AJ203" s="46"/>
      <c r="AK203" s="46"/>
      <c r="AL203" s="46"/>
      <c r="AM203" s="46"/>
      <c r="AN203" s="46"/>
      <c r="AO203" s="46"/>
      <c r="AP203" s="46"/>
      <c r="AQ203" s="46"/>
      <c r="AR203" s="46"/>
      <c r="AS203" s="46"/>
      <c r="AT203" s="46"/>
      <c r="AU203" s="46"/>
      <c r="AV203" s="46"/>
      <c r="AW203" s="46"/>
      <c r="AX203" s="46"/>
      <c r="AY203" s="46"/>
      <c r="AZ203" s="46"/>
    </row>
    <row r="204" spans="1:52" ht="15" customHeight="1">
      <c r="A204" s="47"/>
      <c r="B204" s="47"/>
      <c r="J204" s="46"/>
      <c r="K204" s="46"/>
      <c r="L204" s="46"/>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c r="AJ204" s="46"/>
      <c r="AK204" s="46"/>
      <c r="AL204" s="46"/>
      <c r="AM204" s="46"/>
      <c r="AN204" s="46"/>
      <c r="AO204" s="46"/>
      <c r="AP204" s="46"/>
      <c r="AQ204" s="46"/>
      <c r="AR204" s="46"/>
      <c r="AS204" s="46"/>
      <c r="AT204" s="46"/>
      <c r="AU204" s="46"/>
      <c r="AV204" s="46"/>
      <c r="AW204" s="46"/>
      <c r="AX204" s="46"/>
      <c r="AY204" s="46"/>
      <c r="AZ204" s="46"/>
    </row>
    <row r="205" spans="1:52" ht="15" customHeight="1">
      <c r="A205" s="47"/>
      <c r="B205" s="47"/>
      <c r="J205" s="46"/>
      <c r="K205" s="46"/>
      <c r="L205" s="46"/>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c r="AJ205" s="46"/>
      <c r="AK205" s="46"/>
      <c r="AL205" s="46"/>
      <c r="AM205" s="46"/>
      <c r="AN205" s="46"/>
      <c r="AO205" s="46"/>
      <c r="AP205" s="46"/>
      <c r="AQ205" s="46"/>
      <c r="AR205" s="46"/>
      <c r="AS205" s="46"/>
      <c r="AT205" s="46"/>
      <c r="AU205" s="46"/>
      <c r="AV205" s="46"/>
      <c r="AW205" s="46"/>
      <c r="AX205" s="46"/>
      <c r="AY205" s="46"/>
      <c r="AZ205" s="46"/>
    </row>
    <row r="206" spans="1:52" ht="15" customHeight="1">
      <c r="A206" s="47"/>
      <c r="B206" s="47"/>
      <c r="J206" s="46"/>
      <c r="K206" s="46"/>
      <c r="L206" s="46"/>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c r="AJ206" s="46"/>
      <c r="AK206" s="46"/>
      <c r="AL206" s="46"/>
      <c r="AM206" s="46"/>
      <c r="AN206" s="46"/>
      <c r="AO206" s="46"/>
      <c r="AP206" s="46"/>
      <c r="AQ206" s="46"/>
      <c r="AR206" s="46"/>
      <c r="AS206" s="46"/>
      <c r="AT206" s="46"/>
      <c r="AU206" s="46"/>
      <c r="AV206" s="46"/>
      <c r="AW206" s="46"/>
      <c r="AX206" s="46"/>
      <c r="AY206" s="46"/>
      <c r="AZ206" s="46"/>
    </row>
    <row r="207" spans="1:52" ht="15" customHeight="1">
      <c r="A207" s="47"/>
      <c r="B207" s="47"/>
      <c r="J207" s="46"/>
      <c r="K207" s="46"/>
      <c r="L207" s="46"/>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c r="AJ207" s="46"/>
      <c r="AK207" s="46"/>
      <c r="AL207" s="46"/>
      <c r="AM207" s="46"/>
      <c r="AN207" s="46"/>
      <c r="AO207" s="46"/>
      <c r="AP207" s="46"/>
      <c r="AQ207" s="46"/>
      <c r="AR207" s="46"/>
      <c r="AS207" s="46"/>
      <c r="AT207" s="46"/>
      <c r="AU207" s="46"/>
      <c r="AV207" s="46"/>
      <c r="AW207" s="46"/>
      <c r="AX207" s="46"/>
      <c r="AY207" s="46"/>
      <c r="AZ207" s="46"/>
    </row>
    <row r="208" spans="1:52" ht="15" customHeight="1">
      <c r="A208" s="47"/>
      <c r="B208" s="47"/>
      <c r="J208" s="46"/>
      <c r="K208" s="46"/>
      <c r="L208" s="46"/>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c r="AJ208" s="46"/>
      <c r="AK208" s="46"/>
      <c r="AL208" s="46"/>
      <c r="AM208" s="46"/>
      <c r="AN208" s="46"/>
      <c r="AO208" s="46"/>
      <c r="AP208" s="46"/>
      <c r="AQ208" s="46"/>
      <c r="AR208" s="46"/>
      <c r="AS208" s="46"/>
      <c r="AT208" s="46"/>
      <c r="AU208" s="46"/>
      <c r="AV208" s="46"/>
      <c r="AW208" s="46"/>
      <c r="AX208" s="46"/>
      <c r="AY208" s="46"/>
      <c r="AZ208" s="46"/>
    </row>
    <row r="209" spans="1:52" ht="15" customHeight="1">
      <c r="A209" s="47"/>
      <c r="B209" s="47"/>
      <c r="J209" s="46"/>
      <c r="K209" s="46"/>
      <c r="L209" s="46"/>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c r="AJ209" s="46"/>
      <c r="AK209" s="46"/>
      <c r="AL209" s="46"/>
      <c r="AM209" s="46"/>
      <c r="AN209" s="46"/>
      <c r="AO209" s="46"/>
      <c r="AP209" s="46"/>
      <c r="AQ209" s="46"/>
      <c r="AR209" s="46"/>
      <c r="AS209" s="46"/>
      <c r="AT209" s="46"/>
      <c r="AU209" s="46"/>
      <c r="AV209" s="46"/>
      <c r="AW209" s="46"/>
      <c r="AX209" s="46"/>
      <c r="AY209" s="46"/>
      <c r="AZ209" s="46"/>
    </row>
    <row r="210" spans="1:52" ht="15" customHeight="1">
      <c r="A210" s="47"/>
      <c r="B210" s="47"/>
      <c r="J210" s="46"/>
      <c r="K210" s="46"/>
      <c r="L210" s="46"/>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c r="AJ210" s="46"/>
      <c r="AK210" s="46"/>
      <c r="AL210" s="46"/>
      <c r="AM210" s="46"/>
      <c r="AN210" s="46"/>
      <c r="AO210" s="46"/>
      <c r="AP210" s="46"/>
      <c r="AQ210" s="46"/>
      <c r="AR210" s="46"/>
      <c r="AS210" s="46"/>
      <c r="AT210" s="46"/>
      <c r="AU210" s="46"/>
      <c r="AV210" s="46"/>
      <c r="AW210" s="46"/>
      <c r="AX210" s="46"/>
      <c r="AY210" s="46"/>
      <c r="AZ210" s="46"/>
    </row>
    <row r="211" spans="1:52" ht="15" customHeight="1">
      <c r="A211" s="47"/>
      <c r="B211" s="47"/>
      <c r="J211" s="46"/>
      <c r="K211" s="46"/>
      <c r="L211" s="46"/>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c r="AJ211" s="46"/>
      <c r="AK211" s="46"/>
      <c r="AL211" s="46"/>
      <c r="AM211" s="46"/>
      <c r="AN211" s="46"/>
      <c r="AO211" s="46"/>
      <c r="AP211" s="46"/>
      <c r="AQ211" s="46"/>
      <c r="AR211" s="46"/>
      <c r="AS211" s="46"/>
      <c r="AT211" s="46"/>
      <c r="AU211" s="46"/>
      <c r="AV211" s="46"/>
      <c r="AW211" s="46"/>
      <c r="AX211" s="46"/>
      <c r="AY211" s="46"/>
      <c r="AZ211" s="46"/>
    </row>
    <row r="212" spans="1:52" ht="15" customHeight="1">
      <c r="A212" s="47"/>
      <c r="B212" s="47"/>
      <c r="J212" s="46"/>
      <c r="K212" s="46"/>
      <c r="L212" s="46"/>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c r="AJ212" s="46"/>
      <c r="AK212" s="46"/>
      <c r="AL212" s="46"/>
      <c r="AM212" s="46"/>
      <c r="AN212" s="46"/>
      <c r="AO212" s="46"/>
      <c r="AP212" s="46"/>
      <c r="AQ212" s="46"/>
      <c r="AR212" s="46"/>
      <c r="AS212" s="46"/>
      <c r="AT212" s="46"/>
      <c r="AU212" s="46"/>
      <c r="AV212" s="46"/>
      <c r="AW212" s="46"/>
      <c r="AX212" s="46"/>
      <c r="AY212" s="46"/>
      <c r="AZ212" s="46"/>
    </row>
    <row r="213" spans="1:52" ht="15" customHeight="1">
      <c r="A213" s="47"/>
      <c r="B213" s="47"/>
      <c r="J213" s="46"/>
      <c r="K213" s="46"/>
      <c r="L213" s="46"/>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c r="AJ213" s="46"/>
      <c r="AK213" s="46"/>
      <c r="AL213" s="46"/>
      <c r="AM213" s="46"/>
      <c r="AN213" s="46"/>
      <c r="AO213" s="46"/>
      <c r="AP213" s="46"/>
      <c r="AQ213" s="46"/>
      <c r="AR213" s="46"/>
      <c r="AS213" s="46"/>
      <c r="AT213" s="46"/>
      <c r="AU213" s="46"/>
      <c r="AV213" s="46"/>
      <c r="AW213" s="46"/>
      <c r="AX213" s="46"/>
      <c r="AY213" s="46"/>
      <c r="AZ213" s="46"/>
    </row>
    <row r="214" spans="1:52" ht="15" customHeight="1">
      <c r="A214" s="47"/>
      <c r="B214" s="47"/>
      <c r="J214" s="46"/>
      <c r="K214" s="46"/>
      <c r="L214" s="46"/>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c r="AJ214" s="46"/>
      <c r="AK214" s="46"/>
      <c r="AL214" s="46"/>
      <c r="AM214" s="46"/>
      <c r="AN214" s="46"/>
      <c r="AO214" s="46"/>
      <c r="AP214" s="46"/>
      <c r="AQ214" s="46"/>
      <c r="AR214" s="46"/>
      <c r="AS214" s="46"/>
      <c r="AT214" s="46"/>
      <c r="AU214" s="46"/>
      <c r="AV214" s="46"/>
      <c r="AW214" s="46"/>
      <c r="AX214" s="46"/>
      <c r="AY214" s="46"/>
      <c r="AZ214" s="46"/>
    </row>
    <row r="215" spans="1:52" ht="15" customHeight="1">
      <c r="A215" s="47"/>
      <c r="B215" s="47"/>
      <c r="J215" s="46"/>
      <c r="K215" s="46"/>
      <c r="L215" s="46"/>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c r="AJ215" s="46"/>
      <c r="AK215" s="46"/>
      <c r="AL215" s="46"/>
      <c r="AM215" s="46"/>
      <c r="AN215" s="46"/>
      <c r="AO215" s="46"/>
      <c r="AP215" s="46"/>
      <c r="AQ215" s="46"/>
      <c r="AR215" s="46"/>
      <c r="AS215" s="46"/>
      <c r="AT215" s="46"/>
      <c r="AU215" s="46"/>
      <c r="AV215" s="46"/>
      <c r="AW215" s="46"/>
      <c r="AX215" s="46"/>
      <c r="AY215" s="46"/>
      <c r="AZ215" s="46"/>
    </row>
    <row r="216" spans="1:52" ht="15" customHeight="1">
      <c r="A216" s="47"/>
      <c r="B216" s="47"/>
      <c r="J216" s="46"/>
      <c r="K216" s="46"/>
      <c r="L216" s="46"/>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c r="AJ216" s="46"/>
      <c r="AK216" s="46"/>
      <c r="AL216" s="46"/>
      <c r="AM216" s="46"/>
      <c r="AN216" s="46"/>
      <c r="AO216" s="46"/>
      <c r="AP216" s="46"/>
      <c r="AQ216" s="46"/>
      <c r="AR216" s="46"/>
      <c r="AS216" s="46"/>
      <c r="AT216" s="46"/>
      <c r="AU216" s="46"/>
      <c r="AV216" s="46"/>
      <c r="AW216" s="46"/>
      <c r="AX216" s="46"/>
      <c r="AY216" s="46"/>
      <c r="AZ216" s="46"/>
    </row>
    <row r="217" spans="1:52" ht="15" customHeight="1">
      <c r="A217" s="47"/>
      <c r="B217" s="47"/>
      <c r="J217" s="46"/>
      <c r="K217" s="46"/>
      <c r="L217" s="46"/>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c r="AJ217" s="46"/>
      <c r="AK217" s="46"/>
      <c r="AL217" s="46"/>
      <c r="AM217" s="46"/>
      <c r="AN217" s="46"/>
      <c r="AO217" s="46"/>
      <c r="AP217" s="46"/>
      <c r="AQ217" s="46"/>
      <c r="AR217" s="46"/>
      <c r="AS217" s="46"/>
      <c r="AT217" s="46"/>
      <c r="AU217" s="46"/>
      <c r="AV217" s="46"/>
      <c r="AW217" s="46"/>
      <c r="AX217" s="46"/>
      <c r="AY217" s="46"/>
      <c r="AZ217" s="46"/>
    </row>
    <row r="218" spans="1:52" ht="15" customHeight="1">
      <c r="A218" s="47"/>
      <c r="B218" s="47"/>
      <c r="J218" s="46"/>
      <c r="K218" s="46"/>
      <c r="L218" s="46"/>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c r="AJ218" s="46"/>
      <c r="AK218" s="46"/>
      <c r="AL218" s="46"/>
      <c r="AM218" s="46"/>
      <c r="AN218" s="46"/>
      <c r="AO218" s="46"/>
      <c r="AP218" s="46"/>
      <c r="AQ218" s="46"/>
      <c r="AR218" s="46"/>
      <c r="AS218" s="46"/>
      <c r="AT218" s="46"/>
      <c r="AU218" s="46"/>
      <c r="AV218" s="46"/>
      <c r="AW218" s="46"/>
      <c r="AX218" s="46"/>
      <c r="AY218" s="46"/>
      <c r="AZ218" s="46"/>
    </row>
    <row r="219" spans="1:52" ht="15" customHeight="1">
      <c r="A219" s="47"/>
      <c r="B219" s="47"/>
      <c r="J219" s="46"/>
      <c r="K219" s="46"/>
      <c r="L219" s="46"/>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c r="AJ219" s="46"/>
      <c r="AK219" s="46"/>
      <c r="AL219" s="46"/>
      <c r="AM219" s="46"/>
      <c r="AN219" s="46"/>
      <c r="AO219" s="46"/>
      <c r="AP219" s="46"/>
      <c r="AQ219" s="46"/>
      <c r="AR219" s="46"/>
      <c r="AS219" s="46"/>
      <c r="AT219" s="46"/>
      <c r="AU219" s="46"/>
      <c r="AV219" s="46"/>
      <c r="AW219" s="46"/>
      <c r="AX219" s="46"/>
      <c r="AY219" s="46"/>
      <c r="AZ219" s="46"/>
    </row>
    <row r="220" spans="1:52" ht="15" customHeight="1">
      <c r="A220" s="47"/>
      <c r="B220" s="47"/>
      <c r="J220" s="46"/>
      <c r="K220" s="46"/>
      <c r="L220" s="46"/>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c r="AJ220" s="46"/>
      <c r="AK220" s="46"/>
      <c r="AL220" s="46"/>
      <c r="AM220" s="46"/>
      <c r="AN220" s="46"/>
      <c r="AO220" s="46"/>
      <c r="AP220" s="46"/>
      <c r="AQ220" s="46"/>
      <c r="AR220" s="46"/>
      <c r="AS220" s="46"/>
      <c r="AT220" s="46"/>
      <c r="AU220" s="46"/>
      <c r="AV220" s="46"/>
      <c r="AW220" s="46"/>
      <c r="AX220" s="46"/>
      <c r="AY220" s="46"/>
      <c r="AZ220" s="46"/>
    </row>
    <row r="221" spans="1:52" ht="15" customHeight="1">
      <c r="A221" s="47"/>
      <c r="B221" s="47"/>
      <c r="J221" s="46"/>
      <c r="K221" s="46"/>
      <c r="L221" s="46"/>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c r="AJ221" s="46"/>
      <c r="AK221" s="46"/>
      <c r="AL221" s="46"/>
      <c r="AM221" s="46"/>
      <c r="AN221" s="46"/>
      <c r="AO221" s="46"/>
      <c r="AP221" s="46"/>
      <c r="AQ221" s="46"/>
      <c r="AR221" s="46"/>
      <c r="AS221" s="46"/>
      <c r="AT221" s="46"/>
      <c r="AU221" s="46"/>
      <c r="AV221" s="46"/>
      <c r="AW221" s="46"/>
      <c r="AX221" s="46"/>
      <c r="AY221" s="46"/>
      <c r="AZ221" s="46"/>
    </row>
    <row r="222" spans="1:52" ht="15" customHeight="1">
      <c r="A222" s="47"/>
      <c r="B222" s="47"/>
      <c r="J222" s="46"/>
      <c r="K222" s="46"/>
      <c r="L222" s="46"/>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c r="AJ222" s="46"/>
      <c r="AK222" s="46"/>
      <c r="AL222" s="46"/>
      <c r="AM222" s="46"/>
      <c r="AN222" s="46"/>
      <c r="AO222" s="46"/>
      <c r="AP222" s="46"/>
      <c r="AQ222" s="46"/>
      <c r="AR222" s="46"/>
      <c r="AS222" s="46"/>
      <c r="AT222" s="46"/>
      <c r="AU222" s="46"/>
      <c r="AV222" s="46"/>
      <c r="AW222" s="46"/>
      <c r="AX222" s="46"/>
      <c r="AY222" s="46"/>
      <c r="AZ222" s="46"/>
    </row>
    <row r="223" spans="1:52" ht="15" customHeight="1">
      <c r="A223" s="47"/>
      <c r="B223" s="47"/>
      <c r="J223" s="46"/>
      <c r="K223" s="46"/>
      <c r="L223" s="46"/>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c r="AJ223" s="46"/>
      <c r="AK223" s="46"/>
      <c r="AL223" s="46"/>
      <c r="AM223" s="46"/>
      <c r="AN223" s="46"/>
      <c r="AO223" s="46"/>
      <c r="AP223" s="46"/>
      <c r="AQ223" s="46"/>
      <c r="AR223" s="46"/>
      <c r="AS223" s="46"/>
      <c r="AT223" s="46"/>
      <c r="AU223" s="46"/>
      <c r="AV223" s="46"/>
      <c r="AW223" s="46"/>
      <c r="AX223" s="46"/>
      <c r="AY223" s="46"/>
      <c r="AZ223" s="46"/>
    </row>
    <row r="224" spans="1:52" ht="15" customHeight="1">
      <c r="A224" s="47"/>
      <c r="B224" s="47"/>
      <c r="J224" s="46"/>
      <c r="K224" s="46"/>
      <c r="L224" s="46"/>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c r="AJ224" s="46"/>
      <c r="AK224" s="46"/>
      <c r="AL224" s="46"/>
      <c r="AM224" s="46"/>
      <c r="AN224" s="46"/>
      <c r="AO224" s="46"/>
      <c r="AP224" s="46"/>
      <c r="AQ224" s="46"/>
      <c r="AR224" s="46"/>
      <c r="AS224" s="46"/>
      <c r="AT224" s="46"/>
      <c r="AU224" s="46"/>
      <c r="AV224" s="46"/>
      <c r="AW224" s="46"/>
      <c r="AX224" s="46"/>
      <c r="AY224" s="46"/>
      <c r="AZ224" s="46"/>
    </row>
    <row r="225" spans="1:52" ht="15" customHeight="1">
      <c r="A225" s="47"/>
      <c r="B225" s="47"/>
      <c r="J225" s="46"/>
      <c r="K225" s="46"/>
      <c r="L225" s="46"/>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c r="AJ225" s="46"/>
      <c r="AK225" s="46"/>
      <c r="AL225" s="46"/>
      <c r="AM225" s="46"/>
      <c r="AN225" s="46"/>
      <c r="AO225" s="46"/>
      <c r="AP225" s="46"/>
      <c r="AQ225" s="46"/>
      <c r="AR225" s="46"/>
      <c r="AS225" s="46"/>
      <c r="AT225" s="46"/>
      <c r="AU225" s="46"/>
      <c r="AV225" s="46"/>
      <c r="AW225" s="46"/>
      <c r="AX225" s="46"/>
      <c r="AY225" s="46"/>
      <c r="AZ225" s="46"/>
    </row>
    <row r="226" spans="1:52" ht="15" customHeight="1">
      <c r="A226" s="47"/>
      <c r="B226" s="47"/>
      <c r="J226" s="46"/>
      <c r="K226" s="46"/>
      <c r="L226" s="46"/>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c r="AJ226" s="46"/>
      <c r="AK226" s="46"/>
      <c r="AL226" s="46"/>
      <c r="AM226" s="46"/>
      <c r="AN226" s="46"/>
      <c r="AO226" s="46"/>
      <c r="AP226" s="46"/>
      <c r="AQ226" s="46"/>
      <c r="AR226" s="46"/>
      <c r="AS226" s="46"/>
      <c r="AT226" s="46"/>
      <c r="AU226" s="46"/>
      <c r="AV226" s="46"/>
      <c r="AW226" s="46"/>
      <c r="AX226" s="46"/>
      <c r="AY226" s="46"/>
      <c r="AZ226" s="46"/>
    </row>
    <row r="227" spans="1:52" ht="15" customHeight="1">
      <c r="A227" s="47"/>
      <c r="B227" s="47"/>
      <c r="J227" s="46"/>
      <c r="K227" s="46"/>
      <c r="L227" s="46"/>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c r="AJ227" s="46"/>
      <c r="AK227" s="46"/>
      <c r="AL227" s="46"/>
      <c r="AM227" s="46"/>
      <c r="AN227" s="46"/>
      <c r="AO227" s="46"/>
      <c r="AP227" s="46"/>
      <c r="AQ227" s="46"/>
      <c r="AR227" s="46"/>
      <c r="AS227" s="46"/>
      <c r="AT227" s="46"/>
      <c r="AU227" s="46"/>
      <c r="AV227" s="46"/>
      <c r="AW227" s="46"/>
      <c r="AX227" s="46"/>
      <c r="AY227" s="46"/>
      <c r="AZ227" s="46"/>
    </row>
    <row r="228" spans="1:52" ht="15" customHeight="1">
      <c r="A228" s="47"/>
      <c r="B228" s="47"/>
      <c r="J228" s="46"/>
      <c r="K228" s="46"/>
      <c r="L228" s="46"/>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c r="AJ228" s="46"/>
      <c r="AK228" s="46"/>
      <c r="AL228" s="46"/>
      <c r="AM228" s="46"/>
      <c r="AN228" s="46"/>
      <c r="AO228" s="46"/>
      <c r="AP228" s="46"/>
      <c r="AQ228" s="46"/>
      <c r="AR228" s="46"/>
      <c r="AS228" s="46"/>
      <c r="AT228" s="46"/>
      <c r="AU228" s="46"/>
      <c r="AV228" s="46"/>
      <c r="AW228" s="46"/>
      <c r="AX228" s="46"/>
      <c r="AY228" s="46"/>
      <c r="AZ228" s="46"/>
    </row>
    <row r="229" spans="1:52" ht="15" customHeight="1">
      <c r="A229" s="47"/>
      <c r="B229" s="47"/>
      <c r="J229" s="46"/>
      <c r="K229" s="46"/>
      <c r="L229" s="46"/>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c r="AJ229" s="46"/>
      <c r="AK229" s="46"/>
      <c r="AL229" s="46"/>
      <c r="AM229" s="46"/>
      <c r="AN229" s="46"/>
      <c r="AO229" s="46"/>
      <c r="AP229" s="46"/>
      <c r="AQ229" s="46"/>
      <c r="AR229" s="46"/>
      <c r="AS229" s="46"/>
      <c r="AT229" s="46"/>
      <c r="AU229" s="46"/>
      <c r="AV229" s="46"/>
      <c r="AW229" s="46"/>
      <c r="AX229" s="46"/>
      <c r="AY229" s="46"/>
      <c r="AZ229" s="46"/>
    </row>
    <row r="230" spans="1:52" ht="15" customHeight="1">
      <c r="A230" s="47"/>
      <c r="B230" s="47"/>
    </row>
    <row r="231" spans="1:52" ht="15" customHeight="1">
      <c r="A231" s="47"/>
      <c r="B231" s="47"/>
    </row>
    <row r="232" spans="1:52" ht="15" customHeight="1">
      <c r="A232" s="47"/>
      <c r="B232" s="47"/>
      <c r="C232" s="5" t="s">
        <v>1918</v>
      </c>
    </row>
    <row r="233" spans="1:52" ht="15" customHeight="1">
      <c r="A233" s="47"/>
      <c r="B233" s="47"/>
    </row>
    <row r="234" spans="1:52" ht="15" customHeight="1">
      <c r="A234" s="47"/>
      <c r="B234" s="47"/>
    </row>
    <row r="235" spans="1:52" ht="15" customHeight="1">
      <c r="A235" s="47"/>
      <c r="B235" s="47"/>
    </row>
    <row r="236" spans="1:52" ht="15" customHeight="1">
      <c r="A236" s="47"/>
      <c r="B236" s="47"/>
    </row>
    <row r="237" spans="1:52" ht="15" customHeight="1">
      <c r="A237" s="47"/>
      <c r="B237" s="47"/>
    </row>
    <row r="238" spans="1:52" ht="15" customHeight="1">
      <c r="A238" s="47"/>
      <c r="B238" s="47"/>
    </row>
    <row r="239" spans="1:52" ht="15" customHeight="1">
      <c r="A239" s="47"/>
      <c r="B239" s="47"/>
    </row>
    <row r="240" spans="1:52" ht="15" customHeight="1">
      <c r="A240" s="47"/>
      <c r="B240" s="47"/>
    </row>
    <row r="241" spans="1:2" ht="15" customHeight="1">
      <c r="A241" s="47"/>
      <c r="B241" s="47"/>
    </row>
    <row r="242" spans="1:2" ht="15" customHeight="1">
      <c r="A242" s="47"/>
      <c r="B242" s="47"/>
    </row>
    <row r="243" spans="1:2" ht="15" customHeight="1">
      <c r="A243" s="47"/>
      <c r="B243" s="47"/>
    </row>
    <row r="244" spans="1:2" ht="15" customHeight="1">
      <c r="A244" s="47"/>
      <c r="B244" s="47"/>
    </row>
    <row r="245" spans="1:2" ht="15" customHeight="1">
      <c r="A245" s="47"/>
      <c r="B245" s="47"/>
    </row>
    <row r="246" spans="1:2" ht="15" customHeight="1">
      <c r="A246" s="47"/>
      <c r="B246" s="47"/>
    </row>
    <row r="247" spans="1:2" ht="15" customHeight="1">
      <c r="A247" s="47"/>
      <c r="B247" s="47"/>
    </row>
    <row r="248" spans="1:2" ht="15" customHeight="1">
      <c r="A248" s="47"/>
      <c r="B248" s="47"/>
    </row>
    <row r="249" spans="1:2" ht="15" customHeight="1">
      <c r="A249" s="47"/>
      <c r="B249" s="47"/>
    </row>
    <row r="250" spans="1:2" ht="15" customHeight="1">
      <c r="A250" s="47"/>
      <c r="B250" s="47"/>
    </row>
    <row r="251" spans="1:2" ht="15" customHeight="1">
      <c r="A251" s="47"/>
      <c r="B251" s="47"/>
    </row>
    <row r="252" spans="1:2" ht="15" customHeight="1">
      <c r="A252" s="47"/>
      <c r="B252" s="47"/>
    </row>
    <row r="253" spans="1:2" ht="15" customHeight="1">
      <c r="A253" s="47"/>
      <c r="B253" s="47"/>
    </row>
    <row r="254" spans="1:2" ht="15" customHeight="1">
      <c r="A254" s="47"/>
      <c r="B254" s="47"/>
    </row>
    <row r="255" spans="1:2" ht="15" customHeight="1">
      <c r="A255" s="47"/>
      <c r="B255" s="47"/>
    </row>
    <row r="256" spans="1:2" ht="15" customHeight="1">
      <c r="A256" s="47"/>
      <c r="B256" s="47"/>
    </row>
    <row r="257" spans="1:2" ht="15" customHeight="1">
      <c r="A257" s="47"/>
      <c r="B257" s="47"/>
    </row>
    <row r="258" spans="1:2" ht="15" customHeight="1">
      <c r="A258" s="47"/>
      <c r="B258" s="47"/>
    </row>
    <row r="259" spans="1:2" ht="15" customHeight="1">
      <c r="A259" s="47"/>
      <c r="B259" s="47"/>
    </row>
    <row r="260" spans="1:2" ht="15" customHeight="1">
      <c r="A260" s="47"/>
      <c r="B260" s="47"/>
    </row>
    <row r="261" spans="1:2" ht="15" customHeight="1">
      <c r="A261" s="47"/>
      <c r="B261" s="47"/>
    </row>
    <row r="262" spans="1:2" ht="15" customHeight="1">
      <c r="A262" s="47"/>
      <c r="B262" s="47"/>
    </row>
    <row r="263" spans="1:2" ht="15" customHeight="1">
      <c r="A263" s="47"/>
      <c r="B263" s="47"/>
    </row>
    <row r="264" spans="1:2" ht="15" customHeight="1">
      <c r="A264" s="47"/>
      <c r="B264" s="47"/>
    </row>
    <row r="265" spans="1:2" ht="15" customHeight="1">
      <c r="A265" s="47"/>
      <c r="B265" s="47"/>
    </row>
  </sheetData>
  <phoneticPr fontId="9" type="noConversion"/>
  <conditionalFormatting sqref="A2:B265">
    <cfRule type="cellIs" dxfId="59" priority="1" operator="equal">
      <formula>"Partial"</formula>
    </cfRule>
    <cfRule type="cellIs" dxfId="58" priority="2" operator="equal">
      <formula>"No"</formula>
    </cfRule>
    <cfRule type="cellIs" dxfId="57" priority="3" operator="equal">
      <formula>"Yes"</formula>
    </cfRule>
  </conditionalFormatting>
  <dataValidations count="7">
    <dataValidation type="list" allowBlank="1" showInputMessage="1" showErrorMessage="1" sqref="M3:S229" xr:uid="{B1FC54C6-8242-48D0-8AF1-33F3F04F021C}">
      <formula1>"All skills matching, Best available skills, Disregard skillsnext agent"</formula1>
    </dataValidation>
    <dataValidation type="list" allowBlank="1" showInputMessage="1" showErrorMessage="1" sqref="I2:I229" xr:uid="{EF816F5D-2C98-4040-8CA2-410A7EA719A8}">
      <formula1>"Optional, Mandatory-Discretionary, Manadatory-Time boxed, Manadatory-No early exit"</formula1>
    </dataValidation>
    <dataValidation type="list" allowBlank="1" showInputMessage="1" showErrorMessage="1" sqref="M2" xr:uid="{272AE17F-81AE-4167-A3BA-5E0768BDAFA0}">
      <formula1>"All skills matching, Best available skills, Disregard skills-next agent"</formula1>
    </dataValidation>
    <dataValidation type="list" allowBlank="1" showInputMessage="1" showErrorMessage="1" sqref="D230:D809" xr:uid="{C8AAB9C3-36CC-4DB0-B787-795865080E8D}">
      <formula1>"Entry Point, Queue"</formula1>
    </dataValidation>
    <dataValidation type="list" allowBlank="1" showInputMessage="1" showErrorMessage="1" sqref="K2:K229" xr:uid="{BD4E7BB1-20C9-4E10-A012-9383436D74A3}">
      <formula1>"Conversation Score, Priority Score"</formula1>
    </dataValidation>
    <dataValidation type="list" allowBlank="1" showInputMessage="1" showErrorMessage="1" sqref="L2:M2" xr:uid="{1D8FD089-8F8F-473B-9656-5CDF18A5EC46}">
      <formula1>"Standard Routing, Bullseye Routing, Preferred Agent Routing, Conditional Group Routing"</formula1>
    </dataValidation>
    <dataValidation type="list" allowBlank="1" showInputMessage="1" showErrorMessage="1" sqref="A2:B265 E2:E3" xr:uid="{F53CF318-31A1-4B1E-B9F8-8FF88D0DF3CB}">
      <formula1>#REF!</formula1>
    </dataValidation>
  </dataValidations>
  <hyperlinks>
    <hyperlink ref="C232" r:id="rId1" display="https://help.mypurecloud.com/articles/about-contact-center/" xr:uid="{0B6E21EB-5E2B-46CF-AF05-D4B5785FE001}"/>
  </hyperlinks>
  <pageMargins left="0.7" right="0.7" top="0.75" bottom="0.75" header="0.3" footer="0.3"/>
  <pageSetup orientation="portrait" r:id="rId2"/>
  <legacyDrawing r:id="rId3"/>
  <tableParts count="1">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24C5D-F644-4525-9674-D56AA387255C}">
  <dimension ref="A1:BV4"/>
  <sheetViews>
    <sheetView workbookViewId="0">
      <selection activeCell="P12" sqref="P12"/>
    </sheetView>
  </sheetViews>
  <sheetFormatPr defaultRowHeight="15"/>
  <cols>
    <col min="1" max="2" width="15.42578125" bestFit="1" customWidth="1"/>
    <col min="3" max="3" width="8.140625" bestFit="1" customWidth="1"/>
    <col min="4" max="4" width="7.42578125" bestFit="1" customWidth="1"/>
    <col min="5" max="5" width="13.5703125" bestFit="1" customWidth="1"/>
    <col min="6" max="6" width="19.42578125" bestFit="1" customWidth="1"/>
    <col min="7" max="7" width="30.28515625" bestFit="1" customWidth="1"/>
    <col min="8" max="8" width="13.28515625" bestFit="1" customWidth="1"/>
    <col min="9" max="9" width="18.28515625" bestFit="1" customWidth="1"/>
    <col min="10" max="10" width="15.42578125" hidden="1" customWidth="1"/>
    <col min="11" max="11" width="24.85546875" bestFit="1" customWidth="1"/>
    <col min="12" max="12" width="18.5703125" bestFit="1" customWidth="1"/>
    <col min="13" max="13" width="7.140625" bestFit="1" customWidth="1"/>
    <col min="14" max="14" width="9.28515625" bestFit="1" customWidth="1"/>
    <col min="15" max="15" width="14.7109375" bestFit="1" customWidth="1"/>
    <col min="16" max="16" width="27.28515625" bestFit="1" customWidth="1"/>
    <col min="17" max="17" width="18.5703125" bestFit="1" customWidth="1"/>
    <col min="18" max="18" width="7.140625" bestFit="1" customWidth="1"/>
    <col min="19" max="19" width="11.7109375" bestFit="1" customWidth="1"/>
    <col min="20" max="20" width="14.7109375" bestFit="1" customWidth="1"/>
    <col min="21" max="21" width="27.28515625" bestFit="1" customWidth="1"/>
    <col min="22" max="22" width="18.5703125" bestFit="1" customWidth="1"/>
    <col min="23" max="23" width="7.140625" bestFit="1" customWidth="1"/>
    <col min="24" max="24" width="9.28515625" bestFit="1" customWidth="1"/>
    <col min="25" max="25" width="14.7109375" bestFit="1" customWidth="1"/>
    <col min="26" max="26" width="27.28515625" bestFit="1" customWidth="1"/>
    <col min="27" max="27" width="18.5703125" bestFit="1" customWidth="1"/>
    <col min="28" max="28" width="7.140625" bestFit="1" customWidth="1"/>
    <col min="29" max="29" width="9.28515625" bestFit="1" customWidth="1"/>
    <col min="30" max="30" width="14.7109375" bestFit="1" customWidth="1"/>
    <col min="31" max="31" width="27.28515625" bestFit="1" customWidth="1"/>
    <col min="32" max="32" width="18.5703125" bestFit="1" customWidth="1"/>
    <col min="33" max="33" width="7.140625" bestFit="1" customWidth="1"/>
    <col min="34" max="34" width="9.28515625" bestFit="1" customWidth="1"/>
    <col min="35" max="35" width="14.7109375" bestFit="1" customWidth="1"/>
    <col min="36" max="36" width="27.28515625" bestFit="1" customWidth="1"/>
    <col min="37" max="37" width="18.5703125" bestFit="1" customWidth="1"/>
    <col min="38" max="38" width="7.140625" bestFit="1" customWidth="1"/>
    <col min="39" max="39" width="9.28515625" bestFit="1" customWidth="1"/>
    <col min="40" max="40" width="14.7109375" bestFit="1" customWidth="1"/>
    <col min="41" max="41" width="27.28515625" bestFit="1" customWidth="1"/>
    <col min="42" max="42" width="21.85546875" bestFit="1" customWidth="1"/>
    <col min="43" max="43" width="19.85546875" bestFit="1" customWidth="1"/>
    <col min="44" max="44" width="18.85546875" bestFit="1" customWidth="1"/>
    <col min="45" max="45" width="27.5703125" bestFit="1" customWidth="1"/>
    <col min="46" max="46" width="19.5703125" bestFit="1" customWidth="1"/>
    <col min="47" max="47" width="6" bestFit="1" customWidth="1"/>
    <col min="48" max="48" width="24.7109375" bestFit="1" customWidth="1"/>
    <col min="49" max="49" width="19.42578125" bestFit="1" customWidth="1"/>
    <col min="50" max="50" width="27.42578125" bestFit="1" customWidth="1"/>
    <col min="51" max="51" width="17.7109375" bestFit="1" customWidth="1"/>
    <col min="52" max="52" width="23" bestFit="1" customWidth="1"/>
    <col min="53" max="53" width="27.140625" bestFit="1" customWidth="1"/>
    <col min="54" max="54" width="20.140625" bestFit="1" customWidth="1"/>
    <col min="55" max="55" width="17.42578125" bestFit="1" customWidth="1"/>
    <col min="56" max="56" width="18.5703125" bestFit="1" customWidth="1"/>
    <col min="57" max="57" width="22.28515625" bestFit="1" customWidth="1"/>
    <col min="58" max="58" width="20.140625" bestFit="1" customWidth="1"/>
    <col min="59" max="59" width="31.42578125" bestFit="1" customWidth="1"/>
    <col min="60" max="60" width="26.7109375" bestFit="1" customWidth="1"/>
    <col min="61" max="61" width="18" bestFit="1" customWidth="1"/>
    <col min="62" max="62" width="23.28515625" bestFit="1" customWidth="1"/>
    <col min="63" max="63" width="19.42578125" bestFit="1" customWidth="1"/>
    <col min="64" max="64" width="18.5703125" bestFit="1" customWidth="1"/>
    <col min="65" max="65" width="26.7109375" bestFit="1" customWidth="1"/>
    <col min="66" max="66" width="30.85546875" bestFit="1" customWidth="1"/>
    <col min="67" max="67" width="28.140625" bestFit="1" customWidth="1"/>
    <col min="68" max="68" width="30.28515625" bestFit="1" customWidth="1"/>
    <col min="69" max="69" width="26.85546875" bestFit="1" customWidth="1"/>
    <col min="70" max="70" width="30.7109375" bestFit="1" customWidth="1"/>
    <col min="71" max="71" width="18.28515625" bestFit="1" customWidth="1"/>
    <col min="72" max="72" width="18.7109375" bestFit="1" customWidth="1"/>
    <col min="73" max="73" width="17.28515625" bestFit="1" customWidth="1"/>
    <col min="74" max="74" width="33.85546875" bestFit="1" customWidth="1"/>
  </cols>
  <sheetData>
    <row r="1" spans="1:74" ht="30">
      <c r="A1" s="33" t="s">
        <v>1869</v>
      </c>
      <c r="B1" s="33" t="s">
        <v>66</v>
      </c>
      <c r="C1" s="33" t="s">
        <v>1870</v>
      </c>
      <c r="D1" s="33" t="s">
        <v>1871</v>
      </c>
      <c r="E1" s="33" t="s">
        <v>1872</v>
      </c>
      <c r="F1" s="33" t="s">
        <v>1873</v>
      </c>
      <c r="G1" s="33" t="s">
        <v>1874</v>
      </c>
      <c r="H1" s="33" t="s">
        <v>1875</v>
      </c>
      <c r="I1" s="33" t="s">
        <v>1876</v>
      </c>
      <c r="J1" s="33" t="s">
        <v>1877</v>
      </c>
      <c r="K1" s="33" t="s">
        <v>1878</v>
      </c>
      <c r="L1" s="188" t="s">
        <v>2110</v>
      </c>
      <c r="M1" s="188" t="s">
        <v>2111</v>
      </c>
      <c r="N1" s="188" t="s">
        <v>2112</v>
      </c>
      <c r="O1" s="188" t="s">
        <v>2113</v>
      </c>
      <c r="P1" s="188" t="s">
        <v>2114</v>
      </c>
      <c r="Q1" s="189" t="s">
        <v>2115</v>
      </c>
      <c r="R1" s="189" t="s">
        <v>2116</v>
      </c>
      <c r="S1" s="189" t="s">
        <v>2117</v>
      </c>
      <c r="T1" s="189" t="s">
        <v>2118</v>
      </c>
      <c r="U1" s="189" t="s">
        <v>2119</v>
      </c>
      <c r="V1" s="190" t="s">
        <v>2120</v>
      </c>
      <c r="W1" s="190" t="s">
        <v>2121</v>
      </c>
      <c r="X1" s="190" t="s">
        <v>2122</v>
      </c>
      <c r="Y1" s="190" t="s">
        <v>2123</v>
      </c>
      <c r="Z1" s="190" t="s">
        <v>2124</v>
      </c>
      <c r="AA1" s="191" t="s">
        <v>2125</v>
      </c>
      <c r="AB1" s="191" t="s">
        <v>2126</v>
      </c>
      <c r="AC1" s="191" t="s">
        <v>2127</v>
      </c>
      <c r="AD1" s="191" t="s">
        <v>2128</v>
      </c>
      <c r="AE1" s="191" t="s">
        <v>2129</v>
      </c>
      <c r="AF1" s="192" t="s">
        <v>2130</v>
      </c>
      <c r="AG1" s="192" t="s">
        <v>2131</v>
      </c>
      <c r="AH1" s="192" t="s">
        <v>2132</v>
      </c>
      <c r="AI1" s="192" t="s">
        <v>2133</v>
      </c>
      <c r="AJ1" s="192" t="s">
        <v>2134</v>
      </c>
      <c r="AK1" s="193" t="s">
        <v>2135</v>
      </c>
      <c r="AL1" s="193" t="s">
        <v>2136</v>
      </c>
      <c r="AM1" s="193" t="s">
        <v>2137</v>
      </c>
      <c r="AN1" s="193" t="s">
        <v>2138</v>
      </c>
      <c r="AO1" s="193" t="s">
        <v>2139</v>
      </c>
      <c r="AP1" s="33" t="s">
        <v>1879</v>
      </c>
      <c r="AQ1" s="33" t="s">
        <v>1880</v>
      </c>
      <c r="AR1" s="33" t="s">
        <v>1881</v>
      </c>
      <c r="AS1" s="33" t="s">
        <v>1882</v>
      </c>
      <c r="AT1" s="33" t="s">
        <v>1883</v>
      </c>
      <c r="AU1" s="33" t="s">
        <v>1884</v>
      </c>
      <c r="AV1" s="33" t="s">
        <v>1885</v>
      </c>
      <c r="AW1" s="33" t="s">
        <v>1886</v>
      </c>
      <c r="AX1" s="33" t="s">
        <v>1887</v>
      </c>
      <c r="AY1" s="33" t="s">
        <v>1888</v>
      </c>
      <c r="AZ1" s="33" t="s">
        <v>1889</v>
      </c>
      <c r="BA1" s="33" t="s">
        <v>1890</v>
      </c>
      <c r="BB1" s="33" t="s">
        <v>1891</v>
      </c>
      <c r="BC1" s="33" t="s">
        <v>1892</v>
      </c>
      <c r="BD1" s="33" t="s">
        <v>1893</v>
      </c>
      <c r="BE1" s="33" t="s">
        <v>1894</v>
      </c>
      <c r="BF1" s="33" t="s">
        <v>1895</v>
      </c>
      <c r="BG1" s="33" t="s">
        <v>1896</v>
      </c>
      <c r="BH1" s="33" t="s">
        <v>1897</v>
      </c>
      <c r="BI1" s="33" t="s">
        <v>1898</v>
      </c>
      <c r="BJ1" s="33" t="s">
        <v>1899</v>
      </c>
      <c r="BK1" s="33" t="s">
        <v>1900</v>
      </c>
      <c r="BL1" s="33" t="s">
        <v>1901</v>
      </c>
      <c r="BM1" s="33" t="s">
        <v>1902</v>
      </c>
      <c r="BN1" s="33" t="s">
        <v>1903</v>
      </c>
      <c r="BO1" s="33" t="s">
        <v>1904</v>
      </c>
      <c r="BP1" s="33" t="s">
        <v>1905</v>
      </c>
      <c r="BQ1" s="33" t="s">
        <v>1906</v>
      </c>
      <c r="BR1" s="33" t="s">
        <v>1907</v>
      </c>
      <c r="BS1" s="33" t="s">
        <v>1908</v>
      </c>
      <c r="BT1" s="33" t="s">
        <v>1909</v>
      </c>
      <c r="BU1" s="33" t="s">
        <v>1910</v>
      </c>
      <c r="BV1" s="33" t="s">
        <v>1911</v>
      </c>
    </row>
    <row r="2" spans="1:74">
      <c r="A2" t="s">
        <v>2055</v>
      </c>
      <c r="B2" t="s">
        <v>2057</v>
      </c>
      <c r="C2" t="s">
        <v>2046</v>
      </c>
      <c r="E2">
        <v>8005551234</v>
      </c>
      <c r="F2" t="s">
        <v>68</v>
      </c>
      <c r="G2" t="s">
        <v>2047</v>
      </c>
      <c r="I2" t="s">
        <v>1915</v>
      </c>
      <c r="K2" t="s">
        <v>2063</v>
      </c>
      <c r="L2" t="s">
        <v>2027</v>
      </c>
      <c r="M2">
        <v>5</v>
      </c>
      <c r="N2" t="s">
        <v>2028</v>
      </c>
      <c r="O2" t="s">
        <v>2031</v>
      </c>
      <c r="P2" t="s">
        <v>2029</v>
      </c>
      <c r="Q2" t="s">
        <v>2027</v>
      </c>
      <c r="R2">
        <v>5</v>
      </c>
      <c r="S2" s="195" t="s">
        <v>2068</v>
      </c>
      <c r="T2" t="s">
        <v>2072</v>
      </c>
      <c r="U2" t="s">
        <v>2067</v>
      </c>
      <c r="V2" t="s">
        <v>2027</v>
      </c>
      <c r="W2">
        <v>5</v>
      </c>
      <c r="X2" t="s">
        <v>2071</v>
      </c>
      <c r="Y2" t="s">
        <v>2073</v>
      </c>
      <c r="Z2" t="s">
        <v>2069</v>
      </c>
      <c r="AP2">
        <v>8</v>
      </c>
      <c r="AR2">
        <v>80</v>
      </c>
      <c r="AS2">
        <v>20</v>
      </c>
      <c r="BT2" t="s">
        <v>89</v>
      </c>
      <c r="BV2" t="s">
        <v>89</v>
      </c>
    </row>
    <row r="3" spans="1:74">
      <c r="A3" t="s">
        <v>2056</v>
      </c>
      <c r="B3" t="s">
        <v>2057</v>
      </c>
      <c r="C3" t="s">
        <v>2046</v>
      </c>
      <c r="E3">
        <v>8005551234</v>
      </c>
      <c r="F3" t="s">
        <v>68</v>
      </c>
      <c r="G3" t="s">
        <v>2048</v>
      </c>
      <c r="I3" t="s">
        <v>1915</v>
      </c>
      <c r="K3" t="s">
        <v>2063</v>
      </c>
      <c r="L3" t="s">
        <v>2027</v>
      </c>
      <c r="M3">
        <v>5</v>
      </c>
      <c r="N3" t="s">
        <v>2028</v>
      </c>
      <c r="O3" t="s">
        <v>2031</v>
      </c>
      <c r="P3" t="s">
        <v>2029</v>
      </c>
      <c r="Q3" t="s">
        <v>2027</v>
      </c>
      <c r="R3">
        <v>5</v>
      </c>
      <c r="S3" t="s">
        <v>2068</v>
      </c>
      <c r="T3" t="s">
        <v>2072</v>
      </c>
      <c r="U3" t="s">
        <v>2067</v>
      </c>
      <c r="V3" t="s">
        <v>2027</v>
      </c>
      <c r="W3">
        <v>5</v>
      </c>
      <c r="X3" t="s">
        <v>2071</v>
      </c>
      <c r="Y3" t="s">
        <v>2073</v>
      </c>
      <c r="Z3" t="s">
        <v>2069</v>
      </c>
      <c r="AP3">
        <v>8</v>
      </c>
      <c r="AR3">
        <v>80</v>
      </c>
      <c r="AS3">
        <v>20</v>
      </c>
    </row>
    <row r="4" spans="1:74">
      <c r="A4" t="s">
        <v>2070</v>
      </c>
      <c r="B4" t="s">
        <v>2057</v>
      </c>
      <c r="C4" t="s">
        <v>2046</v>
      </c>
      <c r="E4">
        <v>8005551234</v>
      </c>
      <c r="F4" t="s">
        <v>68</v>
      </c>
      <c r="G4" t="s">
        <v>2049</v>
      </c>
      <c r="H4">
        <v>5</v>
      </c>
      <c r="I4" t="s">
        <v>1915</v>
      </c>
      <c r="K4" t="s">
        <v>2064</v>
      </c>
      <c r="L4" t="s">
        <v>2027</v>
      </c>
      <c r="M4">
        <v>5</v>
      </c>
      <c r="N4" t="s">
        <v>2028</v>
      </c>
      <c r="O4" t="s">
        <v>2031</v>
      </c>
      <c r="P4" t="s">
        <v>2029</v>
      </c>
      <c r="Q4" t="s">
        <v>2027</v>
      </c>
      <c r="R4">
        <v>5</v>
      </c>
      <c r="S4" t="s">
        <v>2068</v>
      </c>
      <c r="T4" t="s">
        <v>2072</v>
      </c>
      <c r="U4" t="s">
        <v>2067</v>
      </c>
      <c r="V4" t="s">
        <v>2027</v>
      </c>
      <c r="W4">
        <v>5</v>
      </c>
      <c r="X4" t="s">
        <v>2071</v>
      </c>
      <c r="Y4" t="s">
        <v>2073</v>
      </c>
      <c r="Z4" t="s">
        <v>2069</v>
      </c>
      <c r="AP4">
        <v>8</v>
      </c>
      <c r="AR4">
        <v>80</v>
      </c>
      <c r="AS4">
        <v>20</v>
      </c>
    </row>
  </sheetData>
  <phoneticPr fontId="9"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38B24-BEF6-4A54-9DC7-0928EDF87DFD}">
  <dimension ref="A1:O4"/>
  <sheetViews>
    <sheetView zoomScale="85" zoomScaleNormal="85" workbookViewId="0">
      <selection activeCell="H1" sqref="H1"/>
    </sheetView>
  </sheetViews>
  <sheetFormatPr defaultRowHeight="15"/>
  <cols>
    <col min="1" max="1" width="15.42578125" bestFit="1" customWidth="1"/>
    <col min="2" max="2" width="13.28515625" customWidth="1"/>
    <col min="3" max="3" width="31.85546875" bestFit="1" customWidth="1"/>
    <col min="4" max="4" width="22.42578125" bestFit="1" customWidth="1"/>
    <col min="5" max="5" width="12.28515625" bestFit="1" customWidth="1"/>
    <col min="6" max="6" width="9" bestFit="1" customWidth="1"/>
    <col min="7" max="7" width="13.140625" bestFit="1" customWidth="1"/>
    <col min="8" max="8" width="161" bestFit="1" customWidth="1"/>
    <col min="9" max="9" width="253.5703125" bestFit="1" customWidth="1"/>
    <col min="10" max="10" width="10.42578125" bestFit="1" customWidth="1"/>
    <col min="11" max="11" width="12" bestFit="1" customWidth="1"/>
    <col min="12" max="12" width="15.140625" bestFit="1" customWidth="1"/>
    <col min="13" max="13" width="24.5703125" bestFit="1" customWidth="1"/>
    <col min="14" max="14" width="12.42578125" bestFit="1" customWidth="1"/>
    <col min="15" max="15" width="13.85546875" bestFit="1" customWidth="1"/>
  </cols>
  <sheetData>
    <row r="1" spans="1:15">
      <c r="A1" t="s">
        <v>2032</v>
      </c>
      <c r="B1" t="s">
        <v>350</v>
      </c>
      <c r="C1" t="s">
        <v>2033</v>
      </c>
      <c r="D1" t="s">
        <v>2034</v>
      </c>
      <c r="E1" t="s">
        <v>2035</v>
      </c>
      <c r="F1" t="s">
        <v>2036</v>
      </c>
      <c r="G1" t="s">
        <v>2037</v>
      </c>
      <c r="H1" t="s">
        <v>2038</v>
      </c>
      <c r="I1" t="s">
        <v>2039</v>
      </c>
      <c r="J1" t="s">
        <v>2040</v>
      </c>
      <c r="K1" t="s">
        <v>2041</v>
      </c>
      <c r="L1" t="s">
        <v>2042</v>
      </c>
      <c r="M1" t="s">
        <v>2043</v>
      </c>
      <c r="N1" t="s">
        <v>2044</v>
      </c>
      <c r="O1" t="s">
        <v>2045</v>
      </c>
    </row>
    <row r="2" spans="1:15">
      <c r="A2" t="str">
        <f>BullseyeQueues!A2</f>
        <v>h4</v>
      </c>
      <c r="B2" t="str">
        <f>BullseyeQueues!C2</f>
        <v>Home</v>
      </c>
      <c r="C2" t="str">
        <f>_xlfn.CONCAT(BullseyeQueues!G2,IF(OR(BullseyeQueues!G2="MANDATORY",BullseyeQueues!G2="OPTIONAL"),"",_xlfn.CONCAT(":",BullseyeQueues!H2)))</f>
        <v>MANDATORY</v>
      </c>
      <c r="D2" t="str">
        <f>IF(ISBLANK(BullseyeQueues!AT2),"Default In-Queue Flow",BullseyeQueues!AT2)</f>
        <v>Default In-Queue Flow</v>
      </c>
      <c r="F2" t="str">
        <f>IF(ISBLANK(BullseyeQueues!AU2),"",BullseyeQueues!AU2)</f>
        <v/>
      </c>
      <c r="H2" t="str">
        <f>IF(ISBLANK(BullseyeQueues!L2),"",_xlfn.CONCAT(BullseyeQueues!L2,":",BullseyeQueues!M2,":",BullseyeQueues!N2,IF(ISBLANK(BullseyeQueues!Q2),"",_xlfn.CONCAT(",",BullseyeQueues!Q2,":",BullseyeQueues!R2,":",BullseyeQueues!S2,IF(ISBLANK(BullseyeQueues!V2),"",_xlfn.CONCAT(",",BullseyeQueues!V2,":",BullseyeQueues!W2,":",BullseyeQueues!X2,IF(ISBLANK(BullseyeQueues!AA2),"",_xlfn.CONCAT(",",BullseyeQueues!AA2,":",BullseyeQueues!AB2,":",BullseyeQueues!AC2,IF(ISBLANK(BullseyeQueues!AF2),"",_xlfn.CONCAT(",",BullseyeQueues!AF2,":",BullseyeQueues!AG2,":",BullseyeQueues!AH2,IF(ISBLANK(BullseyeQueues!AK2),"",_xlfn.CONCAT(",",BullseyeQueues!AK2,":",BullseyeQueues!AL2,":",BullseyeQueues!AM2))))))))))))</f>
        <v>TIMEOUT_SECONDS:5:test 1,TIMEOUT_SECONDS:5:test 2|test 3,TIMEOUT_SECONDS:5:test 4</v>
      </c>
      <c r="I2" t="str">
        <f>_xlfn.CONCAT(IF(ISBLANK(BullseyeQueues!$O2),"",BullseyeQueues!$O2),IF(ISBLANK(BullseyeQueues!$P2),"",IF(ISBLANK(BullseyeQueues!$O2),BullseyeQueues!$P2,_xlfn.CONCAT(",",BullseyeQueues!$P2))),"|",IF(ISBLANK(BullseyeQueues!T2),"",BullseyeQueues!T2),IF(ISBLANK(BullseyeQueues!U2),"",IF(ISBLANK(BullseyeQueues!T2),BullseyeQueues!U2,_xlfn.CONCAT(",",BullseyeQueues!U2))),"|",IF(ISBLANK(BullseyeQueues!Y2),"",BullseyeQueues!Y2),IF(ISBLANK(BullseyeQueues!Z2),"",IF(ISBLANK(BullseyeQueues!Y2),BullseyeQueues!Z2,_xlfn.CONCAT(",",BullseyeQueues!Z2))),"|",IF(ISBLANK(BullseyeQueues!AD2),"",BullseyeQueues!AD2),IF(ISBLANK(BullseyeQueues!AE2),"",IF(ISBLANK(BullseyeQueues!AD2),BullseyeQueues!AE2,_xlfn.CONCAT(",",BullseyeQueues!AE2))),"|",IF(ISBLANK(BullseyeQueues!AI2),"",BullseyeQueues!AI2),IF(ISBLANK(BullseyeQueues!AJ2),"",IF(ISBLANK(BullseyeQueues!AI2),BullseyeQueues!AJ2,_xlfn.CONCAT(",",BullseyeQueues!AJ2))),"|",IF(ISBLANK(BullseyeQueues!AN2),"",BullseyeQueues!AN2),IF(ISBLANK(BullseyeQueues!AO2),"",IF(ISBLANK(BullseyeQueues!AN2),BullseyeQueues!AO2,_xlfn.CONCAT(",",BullseyeQueues!AO2))))</f>
        <v>test 1 = 1:Home,bigTest1:none,bigTest2:none|test 1 = 2:Home,bigTest3:none,bigTest4:none|test 1 = 3:Home,bigTest5:none,bigTest6:none|||</v>
      </c>
      <c r="J2" t="str">
        <f>BullseyeQueues!K2</f>
        <v>BEST</v>
      </c>
      <c r="K2">
        <f>BullseyeQueues!E2</f>
        <v>8005551234</v>
      </c>
      <c r="L2" t="str">
        <f>BullseyeQueues!F2</f>
        <v>Company Name</v>
      </c>
      <c r="M2">
        <f>BullseyeQueues!AP2</f>
        <v>8</v>
      </c>
      <c r="N2">
        <f>BullseyeQueues!AR2/100</f>
        <v>0.8</v>
      </c>
      <c r="O2">
        <f>BullseyeQueues!AS2*1000</f>
        <v>20000</v>
      </c>
    </row>
    <row r="3" spans="1:15">
      <c r="A3" t="str">
        <f>BullseyeQueues!A3</f>
        <v>h5</v>
      </c>
      <c r="B3" t="str">
        <f>BullseyeQueues!C3</f>
        <v>Home</v>
      </c>
      <c r="C3" t="str">
        <f>_xlfn.CONCAT(BullseyeQueues!G3,IF(OR(BullseyeQueues!G3="MANDATORY",BullseyeQueues!G3="OPTIONAL"),"",_xlfn.CONCAT(":",BullseyeQueues!H3)))</f>
        <v>OPTIONAL</v>
      </c>
      <c r="D3" t="str">
        <f>IF(ISBLANK(BullseyeQueues!AT3),"Default In-Queue Flow",BullseyeQueues!AT3)</f>
        <v>Default In-Queue Flow</v>
      </c>
      <c r="F3" t="str">
        <f>IF(ISBLANK(BullseyeQueues!AU3),"",BullseyeQueues!AU3)</f>
        <v/>
      </c>
      <c r="H3" t="str">
        <f>IF(ISBLANK(BullseyeQueues!L3),"",_xlfn.CONCAT(BullseyeQueues!L3,":",BullseyeQueues!M3,":",BullseyeQueues!N3,IF(ISBLANK(BullseyeQueues!Q3),"",_xlfn.CONCAT(",",BullseyeQueues!Q3,":",BullseyeQueues!R3,":",BullseyeQueues!S3,IF(ISBLANK(BullseyeQueues!V3),"",_xlfn.CONCAT(",",BullseyeQueues!V3,":",BullseyeQueues!W3,":",BullseyeQueues!X3,IF(ISBLANK(BullseyeQueues!AA3),"",_xlfn.CONCAT(",",BullseyeQueues!AA3,":",BullseyeQueues!AB3,":",BullseyeQueues!AC3,IF(ISBLANK(BullseyeQueues!AF3),"",_xlfn.CONCAT(",",BullseyeQueues!AF3,":",BullseyeQueues!AG3,":",BullseyeQueues!AH3,IF(ISBLANK(BullseyeQueues!AK3),"",_xlfn.CONCAT(",",BullseyeQueues!AK3,":",BullseyeQueues!AL3,":",BullseyeQueues!AM3))))))))))))</f>
        <v>TIMEOUT_SECONDS:5:test 1,TIMEOUT_SECONDS:5:test 2|test 3,TIMEOUT_SECONDS:5:test 4</v>
      </c>
      <c r="I3" t="str">
        <f>_xlfn.CONCAT(IF(ISBLANK(BullseyeQueues!$O3),"",BullseyeQueues!$O3),IF(ISBLANK(BullseyeQueues!$P3),"",IF(ISBLANK(BullseyeQueues!$O3),BullseyeQueues!$P3,_xlfn.CONCAT(",",BullseyeQueues!$P3))),"|",IF(ISBLANK(BullseyeQueues!T3),"",BullseyeQueues!T3),IF(ISBLANK(BullseyeQueues!U3),"",IF(ISBLANK(BullseyeQueues!T3),BullseyeQueues!U3,_xlfn.CONCAT(",",BullseyeQueues!U3))),"|",IF(ISBLANK(BullseyeQueues!Y3),"",BullseyeQueues!Y3),IF(ISBLANK(BullseyeQueues!Z3),"",IF(ISBLANK(BullseyeQueues!Y3),BullseyeQueues!Z3,_xlfn.CONCAT(",",BullseyeQueues!Z3))),"|",IF(ISBLANK(BullseyeQueues!AD3),"",BullseyeQueues!AD3),IF(ISBLANK(BullseyeQueues!AE3),"",IF(ISBLANK(BullseyeQueues!AD3),BullseyeQueues!AE3,_xlfn.CONCAT(",",BullseyeQueues!AE3))),"|",IF(ISBLANK(BullseyeQueues!AI3),"",BullseyeQueues!AI3),IF(ISBLANK(BullseyeQueues!AJ3),"",IF(ISBLANK(BullseyeQueues!AI3),BullseyeQueues!AJ3,_xlfn.CONCAT(",",BullseyeQueues!AJ3))),"|",IF(ISBLANK(BullseyeQueues!AN3),"",BullseyeQueues!AN3),IF(ISBLANK(BullseyeQueues!AO3),"",IF(ISBLANK(BullseyeQueues!AN3),BullseyeQueues!AO3,_xlfn.CONCAT(",",BullseyeQueues!AO3))))</f>
        <v>test 1 = 1:Home,bigTest1:none,bigTest2:none|test 1 = 2:Home,bigTest3:none,bigTest4:none|test 1 = 3:Home,bigTest5:none,bigTest6:none|||</v>
      </c>
      <c r="J3" t="str">
        <f>BullseyeQueues!K3</f>
        <v>BEST</v>
      </c>
      <c r="K3">
        <f>BullseyeQueues!E3</f>
        <v>8005551234</v>
      </c>
      <c r="L3" t="str">
        <f>BullseyeQueues!F3</f>
        <v>Company Name</v>
      </c>
      <c r="M3">
        <f>BullseyeQueues!AP3</f>
        <v>8</v>
      </c>
      <c r="N3">
        <f>BullseyeQueues!AR3/100</f>
        <v>0.8</v>
      </c>
      <c r="O3">
        <f>BullseyeQueues!AS3*1000</f>
        <v>20000</v>
      </c>
    </row>
    <row r="4" spans="1:15">
      <c r="A4" t="str">
        <f>BullseyeQueues!A4</f>
        <v>h6</v>
      </c>
      <c r="B4" t="str">
        <f>BullseyeQueues!C4</f>
        <v>Home</v>
      </c>
      <c r="C4" t="str">
        <f>_xlfn.CONCAT(BullseyeQueues!G4,IF(OR(BullseyeQueues!G4="MANDATORY",BullseyeQueues!G4="OPTIONAL"),"",_xlfn.CONCAT(":",BullseyeQueues!H4)))</f>
        <v>MANDATORY_TIMEOUT:5</v>
      </c>
      <c r="D4" t="str">
        <f>IF(ISBLANK(BullseyeQueues!AT4),"Default In-Queue Flow",BullseyeQueues!AT4)</f>
        <v>Default In-Queue Flow</v>
      </c>
      <c r="F4" t="str">
        <f>IF(ISBLANK(BullseyeQueues!AU4),"",BullseyeQueues!AU4)</f>
        <v/>
      </c>
      <c r="H4" t="str">
        <f>IF(ISBLANK(BullseyeQueues!L4),"",_xlfn.CONCAT(BullseyeQueues!L4,":",BullseyeQueues!M4,":",BullseyeQueues!N4,IF(ISBLANK(BullseyeQueues!Q4),"",_xlfn.CONCAT(",",BullseyeQueues!Q4,":",BullseyeQueues!R4,":",BullseyeQueues!S4,IF(ISBLANK(BullseyeQueues!V4),"",_xlfn.CONCAT(",",BullseyeQueues!V4,":",BullseyeQueues!W4,":",BullseyeQueues!X4,IF(ISBLANK(BullseyeQueues!AA4),"",_xlfn.CONCAT(",",BullseyeQueues!AA4,":",BullseyeQueues!AB4,":",BullseyeQueues!AC4,IF(ISBLANK(BullseyeQueues!AF4),"",_xlfn.CONCAT(",",BullseyeQueues!AF4,":",BullseyeQueues!AG4,":",BullseyeQueues!AH4,IF(ISBLANK(BullseyeQueues!AK4),"",_xlfn.CONCAT(",",BullseyeQueues!AK4,":",BullseyeQueues!AL4,":",BullseyeQueues!AM4))))))))))))</f>
        <v>TIMEOUT_SECONDS:5:test 1,TIMEOUT_SECONDS:5:test 2|test 3,TIMEOUT_SECONDS:5:test 4</v>
      </c>
      <c r="I4" t="str">
        <f>_xlfn.CONCAT(IF(ISBLANK(BullseyeQueues!$O4),"",BullseyeQueues!$O4),IF(ISBLANK(BullseyeQueues!$P4),"",IF(ISBLANK(BullseyeQueues!$O4),BullseyeQueues!$P4,_xlfn.CONCAT(",",BullseyeQueues!$P4))),"|",IF(ISBLANK(BullseyeQueues!T4),"",BullseyeQueues!T4),IF(ISBLANK(BullseyeQueues!U4),"",IF(ISBLANK(BullseyeQueues!T4),BullseyeQueues!U4,_xlfn.CONCAT(",",BullseyeQueues!U4))),"|",IF(ISBLANK(BullseyeQueues!Y4),"",BullseyeQueues!Y4),IF(ISBLANK(BullseyeQueues!Z4),"",IF(ISBLANK(BullseyeQueues!Y4),BullseyeQueues!Z4,_xlfn.CONCAT(",",BullseyeQueues!Z4))),"|",IF(ISBLANK(BullseyeQueues!AD4),"",BullseyeQueues!AD4),IF(ISBLANK(BullseyeQueues!AE4),"",IF(ISBLANK(BullseyeQueues!AD4),BullseyeQueues!AE4,_xlfn.CONCAT(",",BullseyeQueues!AE4))),"|",IF(ISBLANK(BullseyeQueues!AI4),"",BullseyeQueues!AI4),IF(ISBLANK(BullseyeQueues!AJ4),"",IF(ISBLANK(BullseyeQueues!AI4),BullseyeQueues!AJ4,_xlfn.CONCAT(",",BullseyeQueues!AJ4))),"|",IF(ISBLANK(BullseyeQueues!AN4),"",BullseyeQueues!AN4),IF(ISBLANK(BullseyeQueues!AO4),"",IF(ISBLANK(BullseyeQueues!AN4),BullseyeQueues!AO4,_xlfn.CONCAT(",",BullseyeQueues!AO4))))</f>
        <v>test 1 = 1:Home,bigTest1:none,bigTest2:none|test 1 = 2:Home,bigTest3:none,bigTest4:none|test 1 = 3:Home,bigTest5:none,bigTest6:none|||</v>
      </c>
      <c r="J4" t="str">
        <f>BullseyeQueues!K4</f>
        <v>ALL</v>
      </c>
      <c r="K4">
        <f>BullseyeQueues!E4</f>
        <v>8005551234</v>
      </c>
      <c r="L4" t="str">
        <f>BullseyeQueues!F4</f>
        <v>Company Name</v>
      </c>
      <c r="M4">
        <f>BullseyeQueues!AP4</f>
        <v>8</v>
      </c>
      <c r="N4">
        <f>BullseyeQueues!AR4/100</f>
        <v>0.8</v>
      </c>
      <c r="O4">
        <f>BullseyeQueues!AS4*1000</f>
        <v>20000</v>
      </c>
    </row>
  </sheetData>
  <phoneticPr fontId="9" type="noConversion"/>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14C3C-1279-477E-B4EE-03310E4391F8}">
  <dimension ref="A1:CB6"/>
  <sheetViews>
    <sheetView tabSelected="1" topLeftCell="I1" workbookViewId="0">
      <selection activeCell="Y2" sqref="Y2"/>
    </sheetView>
  </sheetViews>
  <sheetFormatPr defaultRowHeight="15"/>
  <cols>
    <col min="1" max="1" width="23.7109375" customWidth="1"/>
    <col min="2" max="2" width="15.42578125" bestFit="1" customWidth="1"/>
    <col min="3" max="3" width="8.140625" bestFit="1" customWidth="1"/>
    <col min="4" max="4" width="7.42578125" bestFit="1" customWidth="1"/>
    <col min="5" max="5" width="13.5703125" bestFit="1" customWidth="1"/>
    <col min="6" max="6" width="17" customWidth="1"/>
    <col min="7" max="7" width="30.28515625" bestFit="1" customWidth="1"/>
    <col min="8" max="8" width="8.42578125" bestFit="1" customWidth="1"/>
    <col min="9" max="9" width="18.28515625" bestFit="1" customWidth="1"/>
    <col min="10" max="10" width="8.140625" bestFit="1" customWidth="1"/>
    <col min="11" max="11" width="10.28515625" bestFit="1" customWidth="1"/>
    <col min="12" max="12" width="18.7109375" bestFit="1" customWidth="1"/>
    <col min="13" max="13" width="12" bestFit="1" customWidth="1"/>
    <col min="14" max="14" width="6.140625" bestFit="1" customWidth="1"/>
    <col min="15" max="15" width="9.28515625" customWidth="1"/>
    <col min="16" max="16" width="14.7109375" bestFit="1" customWidth="1"/>
    <col min="17" max="17" width="27.28515625" bestFit="1" customWidth="1"/>
    <col min="18" max="18" width="18.7109375" bestFit="1" customWidth="1"/>
    <col min="19" max="19" width="12" bestFit="1" customWidth="1"/>
    <col min="20" max="20" width="10.28515625" bestFit="1" customWidth="1"/>
    <col min="21" max="21" width="9.42578125" bestFit="1" customWidth="1"/>
    <col min="22" max="22" width="14.7109375" bestFit="1" customWidth="1"/>
    <col min="23" max="23" width="27.28515625" bestFit="1" customWidth="1"/>
    <col min="24" max="24" width="18.7109375" bestFit="1" customWidth="1"/>
    <col min="25" max="25" width="12" bestFit="1" customWidth="1"/>
    <col min="26" max="26" width="6.140625" bestFit="1" customWidth="1"/>
    <col min="27" max="27" width="9.28515625" customWidth="1"/>
    <col min="28" max="28" width="14.7109375" bestFit="1" customWidth="1"/>
    <col min="29" max="29" width="27.28515625" bestFit="1" customWidth="1"/>
    <col min="30" max="30" width="18.7109375" bestFit="1" customWidth="1"/>
    <col min="31" max="31" width="12" bestFit="1" customWidth="1"/>
    <col min="32" max="32" width="6.140625" bestFit="1" customWidth="1"/>
    <col min="33" max="33" width="9.28515625" customWidth="1"/>
    <col min="34" max="34" width="14.7109375" bestFit="1" customWidth="1"/>
    <col min="35" max="35" width="27.28515625" bestFit="1" customWidth="1"/>
    <col min="36" max="36" width="18.7109375" bestFit="1" customWidth="1"/>
    <col min="37" max="37" width="12" bestFit="1" customWidth="1"/>
    <col min="38" max="38" width="6.140625" bestFit="1" customWidth="1"/>
    <col min="39" max="39" width="9.28515625" customWidth="1"/>
    <col min="40" max="40" width="14.7109375" bestFit="1" customWidth="1"/>
    <col min="41" max="41" width="27.28515625" bestFit="1" customWidth="1"/>
    <col min="42" max="42" width="18.7109375" bestFit="1" customWidth="1"/>
    <col min="43" max="43" width="12" bestFit="1" customWidth="1"/>
    <col min="44" max="44" width="6.140625" bestFit="1" customWidth="1"/>
    <col min="45" max="45" width="9.28515625" customWidth="1"/>
    <col min="46" max="46" width="14.7109375" bestFit="1" customWidth="1"/>
    <col min="47" max="47" width="27.28515625" bestFit="1" customWidth="1"/>
    <col min="48" max="48" width="21.85546875" bestFit="1" customWidth="1"/>
    <col min="49" max="49" width="14.140625" bestFit="1" customWidth="1"/>
    <col min="50" max="50" width="18.85546875" bestFit="1" customWidth="1"/>
    <col min="51" max="51" width="27.5703125" bestFit="1" customWidth="1"/>
    <col min="52" max="52" width="19.5703125" bestFit="1" customWidth="1"/>
    <col min="53" max="53" width="6" bestFit="1" customWidth="1"/>
    <col min="54" max="54" width="24.7109375" bestFit="1" customWidth="1"/>
    <col min="55" max="55" width="19.42578125" bestFit="1" customWidth="1"/>
    <col min="56" max="56" width="27.42578125" bestFit="1" customWidth="1"/>
    <col min="57" max="57" width="17.7109375" bestFit="1" customWidth="1"/>
    <col min="58" max="58" width="23" bestFit="1" customWidth="1"/>
    <col min="59" max="59" width="27.140625" bestFit="1" customWidth="1"/>
    <col min="60" max="60" width="20.140625" bestFit="1" customWidth="1"/>
    <col min="61" max="61" width="17.42578125" bestFit="1" customWidth="1"/>
    <col min="62" max="62" width="18.5703125" bestFit="1" customWidth="1"/>
    <col min="63" max="63" width="22.28515625" bestFit="1" customWidth="1"/>
    <col min="64" max="64" width="20.140625" bestFit="1" customWidth="1"/>
    <col min="65" max="65" width="31.42578125" bestFit="1" customWidth="1"/>
    <col min="66" max="66" width="26.7109375" bestFit="1" customWidth="1"/>
    <col min="67" max="67" width="18" bestFit="1" customWidth="1"/>
    <col min="68" max="68" width="23.28515625" bestFit="1" customWidth="1"/>
    <col min="69" max="69" width="19.42578125" bestFit="1" customWidth="1"/>
    <col min="70" max="70" width="18.5703125" bestFit="1" customWidth="1"/>
    <col min="71" max="71" width="26.7109375" bestFit="1" customWidth="1"/>
    <col min="72" max="72" width="30.85546875" bestFit="1" customWidth="1"/>
    <col min="73" max="73" width="28.140625" bestFit="1" customWidth="1"/>
    <col min="74" max="74" width="30.28515625" bestFit="1" customWidth="1"/>
    <col min="75" max="75" width="26.85546875" bestFit="1" customWidth="1"/>
    <col min="76" max="76" width="30.7109375" bestFit="1" customWidth="1"/>
    <col min="77" max="77" width="18.28515625" bestFit="1" customWidth="1"/>
    <col min="78" max="78" width="18.7109375" bestFit="1" customWidth="1"/>
    <col min="79" max="79" width="17.28515625" bestFit="1" customWidth="1"/>
    <col min="80" max="80" width="33.85546875" bestFit="1" customWidth="1"/>
  </cols>
  <sheetData>
    <row r="1" spans="1:80" ht="45">
      <c r="A1" s="33" t="s">
        <v>1869</v>
      </c>
      <c r="B1" s="33" t="s">
        <v>66</v>
      </c>
      <c r="C1" s="33" t="s">
        <v>1870</v>
      </c>
      <c r="D1" s="33" t="s">
        <v>1871</v>
      </c>
      <c r="E1" s="33" t="s">
        <v>1872</v>
      </c>
      <c r="F1" s="33" t="s">
        <v>1873</v>
      </c>
      <c r="G1" s="33" t="s">
        <v>1874</v>
      </c>
      <c r="H1" s="33" t="s">
        <v>1875</v>
      </c>
      <c r="I1" s="33" t="s">
        <v>1876</v>
      </c>
      <c r="J1" s="33" t="s">
        <v>1877</v>
      </c>
      <c r="K1" s="33" t="s">
        <v>1878</v>
      </c>
      <c r="L1" s="188" t="s">
        <v>2074</v>
      </c>
      <c r="M1" s="188" t="s">
        <v>2075</v>
      </c>
      <c r="N1" s="188" t="s">
        <v>2109</v>
      </c>
      <c r="O1" s="188" t="s">
        <v>2076</v>
      </c>
      <c r="P1" s="188" t="s">
        <v>2077</v>
      </c>
      <c r="Q1" s="188" t="s">
        <v>2078</v>
      </c>
      <c r="R1" s="189" t="s">
        <v>2079</v>
      </c>
      <c r="S1" s="189" t="s">
        <v>2084</v>
      </c>
      <c r="T1" s="189" t="s">
        <v>2089</v>
      </c>
      <c r="U1" s="189" t="s">
        <v>2090</v>
      </c>
      <c r="V1" s="189" t="s">
        <v>2091</v>
      </c>
      <c r="W1" s="189" t="s">
        <v>2092</v>
      </c>
      <c r="X1" s="190" t="s">
        <v>2080</v>
      </c>
      <c r="Y1" s="190" t="s">
        <v>2085</v>
      </c>
      <c r="Z1" s="190" t="s">
        <v>2093</v>
      </c>
      <c r="AA1" s="190" t="s">
        <v>2094</v>
      </c>
      <c r="AB1" s="190" t="s">
        <v>2095</v>
      </c>
      <c r="AC1" s="190" t="s">
        <v>2096</v>
      </c>
      <c r="AD1" s="191" t="s">
        <v>2081</v>
      </c>
      <c r="AE1" s="191" t="s">
        <v>2086</v>
      </c>
      <c r="AF1" s="191" t="s">
        <v>2097</v>
      </c>
      <c r="AG1" s="191" t="s">
        <v>2098</v>
      </c>
      <c r="AH1" s="191" t="s">
        <v>2099</v>
      </c>
      <c r="AI1" s="191" t="s">
        <v>2100</v>
      </c>
      <c r="AJ1" s="192" t="s">
        <v>2082</v>
      </c>
      <c r="AK1" s="192" t="s">
        <v>2087</v>
      </c>
      <c r="AL1" s="192" t="s">
        <v>2101</v>
      </c>
      <c r="AM1" s="192" t="s">
        <v>2102</v>
      </c>
      <c r="AN1" s="192" t="s">
        <v>2103</v>
      </c>
      <c r="AO1" s="192" t="s">
        <v>2104</v>
      </c>
      <c r="AP1" s="193" t="s">
        <v>2083</v>
      </c>
      <c r="AQ1" s="193" t="s">
        <v>2088</v>
      </c>
      <c r="AR1" s="193" t="s">
        <v>2105</v>
      </c>
      <c r="AS1" s="193" t="s">
        <v>2106</v>
      </c>
      <c r="AT1" s="193" t="s">
        <v>2107</v>
      </c>
      <c r="AU1" s="193" t="s">
        <v>2108</v>
      </c>
      <c r="AV1" s="33" t="s">
        <v>1879</v>
      </c>
      <c r="AW1" s="33" t="s">
        <v>1880</v>
      </c>
      <c r="AX1" s="33" t="s">
        <v>1881</v>
      </c>
      <c r="AY1" s="33" t="s">
        <v>1882</v>
      </c>
      <c r="AZ1" s="33" t="s">
        <v>1883</v>
      </c>
      <c r="BA1" s="33" t="s">
        <v>1884</v>
      </c>
      <c r="BB1" s="33" t="s">
        <v>1885</v>
      </c>
      <c r="BC1" s="33" t="s">
        <v>1886</v>
      </c>
      <c r="BD1" s="33" t="s">
        <v>1887</v>
      </c>
      <c r="BE1" s="33" t="s">
        <v>1888</v>
      </c>
      <c r="BF1" s="33" t="s">
        <v>1889</v>
      </c>
      <c r="BG1" s="33" t="s">
        <v>1890</v>
      </c>
      <c r="BH1" s="33" t="s">
        <v>1891</v>
      </c>
      <c r="BI1" s="33" t="s">
        <v>1892</v>
      </c>
      <c r="BJ1" s="33" t="s">
        <v>1893</v>
      </c>
      <c r="BK1" s="33" t="s">
        <v>1894</v>
      </c>
      <c r="BL1" s="33" t="s">
        <v>1895</v>
      </c>
      <c r="BM1" s="33" t="s">
        <v>1896</v>
      </c>
      <c r="BN1" s="33" t="s">
        <v>1897</v>
      </c>
      <c r="BO1" s="33" t="s">
        <v>1898</v>
      </c>
      <c r="BP1" s="33" t="s">
        <v>1899</v>
      </c>
      <c r="BQ1" s="33" t="s">
        <v>1900</v>
      </c>
      <c r="BR1" s="33" t="s">
        <v>1901</v>
      </c>
      <c r="BS1" s="33" t="s">
        <v>1902</v>
      </c>
      <c r="BT1" s="33" t="s">
        <v>1903</v>
      </c>
      <c r="BU1" s="33" t="s">
        <v>1904</v>
      </c>
      <c r="BV1" s="33" t="s">
        <v>1905</v>
      </c>
      <c r="BW1" s="33" t="s">
        <v>1906</v>
      </c>
      <c r="BX1" s="33" t="s">
        <v>1907</v>
      </c>
      <c r="BY1" s="33" t="s">
        <v>1908</v>
      </c>
      <c r="BZ1" s="33" t="s">
        <v>1909</v>
      </c>
      <c r="CA1" s="33" t="s">
        <v>1910</v>
      </c>
      <c r="CB1" s="33" t="s">
        <v>1911</v>
      </c>
    </row>
    <row r="2" spans="1:80">
      <c r="A2" t="s">
        <v>2052</v>
      </c>
      <c r="B2" t="s">
        <v>2057</v>
      </c>
      <c r="C2" t="s">
        <v>2046</v>
      </c>
      <c r="E2" t="s">
        <v>1913</v>
      </c>
      <c r="F2" t="s">
        <v>68</v>
      </c>
      <c r="G2" t="s">
        <v>2047</v>
      </c>
      <c r="I2" t="s">
        <v>1915</v>
      </c>
      <c r="K2" t="s">
        <v>2063</v>
      </c>
      <c r="L2" t="s">
        <v>2065</v>
      </c>
      <c r="M2" s="194" t="s">
        <v>2066</v>
      </c>
      <c r="N2">
        <v>30</v>
      </c>
      <c r="O2">
        <v>2</v>
      </c>
      <c r="P2" t="s">
        <v>2031</v>
      </c>
      <c r="Q2" t="s">
        <v>2029</v>
      </c>
      <c r="R2" t="s">
        <v>2065</v>
      </c>
      <c r="S2" t="s">
        <v>2066</v>
      </c>
      <c r="T2">
        <v>30</v>
      </c>
      <c r="U2">
        <v>2</v>
      </c>
      <c r="V2" t="s">
        <v>2031</v>
      </c>
      <c r="W2" t="s">
        <v>2029</v>
      </c>
      <c r="X2" t="s">
        <v>2065</v>
      </c>
      <c r="Y2" t="s">
        <v>2066</v>
      </c>
      <c r="Z2">
        <v>30</v>
      </c>
      <c r="AA2">
        <v>2</v>
      </c>
      <c r="AB2" t="s">
        <v>2031</v>
      </c>
      <c r="AC2" t="s">
        <v>2029</v>
      </c>
      <c r="AD2" t="s">
        <v>2065</v>
      </c>
      <c r="AE2" s="194" t="s">
        <v>2066</v>
      </c>
      <c r="AF2">
        <v>30</v>
      </c>
      <c r="AG2">
        <v>2</v>
      </c>
      <c r="AH2" s="195" t="s">
        <v>2031</v>
      </c>
      <c r="AI2" s="195" t="s">
        <v>2029</v>
      </c>
      <c r="AJ2" t="s">
        <v>2065</v>
      </c>
      <c r="AK2" t="s">
        <v>2066</v>
      </c>
      <c r="AL2">
        <v>30</v>
      </c>
      <c r="AM2">
        <v>2</v>
      </c>
      <c r="AN2" t="s">
        <v>2031</v>
      </c>
      <c r="AO2" t="s">
        <v>2029</v>
      </c>
      <c r="AP2" t="s">
        <v>2065</v>
      </c>
      <c r="AQ2" s="194" t="s">
        <v>2066</v>
      </c>
      <c r="AR2">
        <v>30</v>
      </c>
      <c r="AS2">
        <v>2</v>
      </c>
      <c r="AT2" t="s">
        <v>2031</v>
      </c>
      <c r="AU2" t="s">
        <v>2029</v>
      </c>
      <c r="AV2">
        <v>8</v>
      </c>
      <c r="AX2">
        <v>80</v>
      </c>
      <c r="AY2">
        <v>20</v>
      </c>
      <c r="BZ2" t="s">
        <v>89</v>
      </c>
      <c r="CB2" t="s">
        <v>89</v>
      </c>
    </row>
    <row r="3" spans="1:80">
      <c r="A3" t="s">
        <v>2053</v>
      </c>
      <c r="B3" t="s">
        <v>2057</v>
      </c>
      <c r="C3" t="s">
        <v>2046</v>
      </c>
      <c r="E3" t="s">
        <v>2058</v>
      </c>
      <c r="F3" t="s">
        <v>68</v>
      </c>
      <c r="G3" t="s">
        <v>2048</v>
      </c>
      <c r="I3" t="s">
        <v>1915</v>
      </c>
      <c r="K3" t="s">
        <v>2063</v>
      </c>
      <c r="L3" t="s">
        <v>2065</v>
      </c>
      <c r="M3" t="s">
        <v>2066</v>
      </c>
      <c r="N3">
        <v>30</v>
      </c>
      <c r="O3">
        <v>2</v>
      </c>
      <c r="P3" t="s">
        <v>2031</v>
      </c>
      <c r="Q3" t="s">
        <v>2029</v>
      </c>
      <c r="R3" t="s">
        <v>2065</v>
      </c>
      <c r="S3" t="s">
        <v>2066</v>
      </c>
      <c r="T3">
        <v>30</v>
      </c>
      <c r="U3">
        <v>2</v>
      </c>
      <c r="V3" t="s">
        <v>2031</v>
      </c>
      <c r="W3" t="s">
        <v>2029</v>
      </c>
      <c r="X3" t="s">
        <v>2065</v>
      </c>
      <c r="Y3" t="s">
        <v>2066</v>
      </c>
      <c r="Z3" s="194">
        <v>30</v>
      </c>
      <c r="AA3">
        <v>2</v>
      </c>
      <c r="AB3" t="s">
        <v>2031</v>
      </c>
      <c r="AC3" t="s">
        <v>2029</v>
      </c>
      <c r="AD3" t="s">
        <v>2065</v>
      </c>
      <c r="AE3" t="s">
        <v>2066</v>
      </c>
      <c r="AF3">
        <v>30</v>
      </c>
      <c r="AG3">
        <v>2</v>
      </c>
      <c r="AH3" t="s">
        <v>2031</v>
      </c>
      <c r="AI3" t="s">
        <v>2029</v>
      </c>
      <c r="AJ3" t="s">
        <v>2065</v>
      </c>
      <c r="AK3" t="s">
        <v>2066</v>
      </c>
      <c r="AL3">
        <v>30</v>
      </c>
      <c r="AM3">
        <v>2</v>
      </c>
      <c r="AN3" t="s">
        <v>2031</v>
      </c>
      <c r="AO3" t="s">
        <v>2029</v>
      </c>
      <c r="AP3" t="s">
        <v>2065</v>
      </c>
      <c r="AQ3" t="s">
        <v>2066</v>
      </c>
      <c r="AR3">
        <v>30</v>
      </c>
      <c r="AS3">
        <v>2</v>
      </c>
      <c r="AT3" t="s">
        <v>2031</v>
      </c>
      <c r="AU3" t="s">
        <v>2029</v>
      </c>
      <c r="AV3">
        <v>8</v>
      </c>
      <c r="AX3">
        <v>80</v>
      </c>
      <c r="AY3">
        <v>20</v>
      </c>
    </row>
    <row r="4" spans="1:80">
      <c r="A4" t="s">
        <v>2054</v>
      </c>
      <c r="B4" t="s">
        <v>2057</v>
      </c>
      <c r="C4" t="s">
        <v>2046</v>
      </c>
      <c r="E4" t="s">
        <v>2059</v>
      </c>
      <c r="F4" t="s">
        <v>68</v>
      </c>
      <c r="G4" t="s">
        <v>2049</v>
      </c>
      <c r="H4">
        <v>5</v>
      </c>
      <c r="I4" t="s">
        <v>1915</v>
      </c>
      <c r="K4" t="s">
        <v>2064</v>
      </c>
      <c r="L4" t="s">
        <v>2065</v>
      </c>
      <c r="M4" s="194" t="s">
        <v>2066</v>
      </c>
      <c r="N4">
        <v>30</v>
      </c>
      <c r="O4">
        <v>2</v>
      </c>
      <c r="P4" t="s">
        <v>2031</v>
      </c>
      <c r="Q4" t="s">
        <v>2029</v>
      </c>
      <c r="R4" t="s">
        <v>2065</v>
      </c>
      <c r="S4" t="s">
        <v>2066</v>
      </c>
      <c r="T4">
        <v>30</v>
      </c>
      <c r="U4">
        <v>2</v>
      </c>
      <c r="V4" t="s">
        <v>2031</v>
      </c>
      <c r="W4" t="s">
        <v>2029</v>
      </c>
      <c r="X4" t="s">
        <v>2065</v>
      </c>
      <c r="Y4" t="s">
        <v>2066</v>
      </c>
      <c r="Z4">
        <v>30</v>
      </c>
      <c r="AA4">
        <v>2</v>
      </c>
      <c r="AB4" t="s">
        <v>2031</v>
      </c>
      <c r="AC4" t="s">
        <v>2029</v>
      </c>
      <c r="AD4" t="s">
        <v>2065</v>
      </c>
      <c r="AE4" s="194" t="s">
        <v>2066</v>
      </c>
      <c r="AF4">
        <v>30</v>
      </c>
      <c r="AG4">
        <v>2</v>
      </c>
      <c r="AH4" t="s">
        <v>2031</v>
      </c>
      <c r="AI4" t="s">
        <v>2029</v>
      </c>
      <c r="AJ4" t="s">
        <v>2065</v>
      </c>
      <c r="AK4" t="s">
        <v>2066</v>
      </c>
      <c r="AL4">
        <v>30</v>
      </c>
      <c r="AM4">
        <v>2</v>
      </c>
      <c r="AN4" t="s">
        <v>2031</v>
      </c>
      <c r="AO4" t="s">
        <v>2029</v>
      </c>
      <c r="AP4" t="s">
        <v>2065</v>
      </c>
      <c r="AQ4" s="194" t="s">
        <v>2066</v>
      </c>
      <c r="AR4">
        <v>30</v>
      </c>
      <c r="AS4">
        <v>2</v>
      </c>
      <c r="AT4" t="s">
        <v>2031</v>
      </c>
      <c r="AU4" t="s">
        <v>2029</v>
      </c>
      <c r="AV4">
        <v>8</v>
      </c>
      <c r="AX4">
        <v>80</v>
      </c>
      <c r="AY4">
        <v>20</v>
      </c>
    </row>
    <row r="5" spans="1:80">
      <c r="A5" t="s">
        <v>2055</v>
      </c>
      <c r="B5" t="s">
        <v>2057</v>
      </c>
      <c r="C5" t="s">
        <v>2046</v>
      </c>
      <c r="E5" t="s">
        <v>2060</v>
      </c>
      <c r="F5" t="s">
        <v>68</v>
      </c>
      <c r="G5" t="s">
        <v>2050</v>
      </c>
      <c r="H5">
        <v>5</v>
      </c>
      <c r="I5" t="s">
        <v>1915</v>
      </c>
      <c r="K5" t="s">
        <v>2062</v>
      </c>
      <c r="L5" t="s">
        <v>2065</v>
      </c>
      <c r="M5" s="194" t="s">
        <v>2066</v>
      </c>
      <c r="N5">
        <v>30</v>
      </c>
      <c r="O5">
        <v>2</v>
      </c>
      <c r="P5" t="s">
        <v>2031</v>
      </c>
      <c r="Q5" t="s">
        <v>2029</v>
      </c>
      <c r="R5" t="s">
        <v>2065</v>
      </c>
      <c r="S5" t="s">
        <v>2066</v>
      </c>
      <c r="T5">
        <v>30</v>
      </c>
      <c r="U5">
        <v>2</v>
      </c>
      <c r="V5" t="s">
        <v>2031</v>
      </c>
      <c r="W5" t="s">
        <v>2029</v>
      </c>
      <c r="X5" t="s">
        <v>2065</v>
      </c>
      <c r="Y5" t="s">
        <v>2066</v>
      </c>
      <c r="Z5">
        <v>30</v>
      </c>
      <c r="AA5">
        <v>2</v>
      </c>
      <c r="AB5" t="s">
        <v>2031</v>
      </c>
      <c r="AC5" t="s">
        <v>2029</v>
      </c>
      <c r="AD5" t="s">
        <v>2065</v>
      </c>
      <c r="AE5" s="194" t="s">
        <v>2066</v>
      </c>
      <c r="AF5">
        <v>30</v>
      </c>
      <c r="AG5">
        <v>2</v>
      </c>
      <c r="AH5" t="s">
        <v>2031</v>
      </c>
      <c r="AI5" t="s">
        <v>2029</v>
      </c>
      <c r="AJ5" t="s">
        <v>2065</v>
      </c>
      <c r="AK5" t="s">
        <v>2066</v>
      </c>
      <c r="AL5">
        <v>30</v>
      </c>
      <c r="AM5">
        <v>2</v>
      </c>
      <c r="AN5" t="s">
        <v>2031</v>
      </c>
      <c r="AO5" t="s">
        <v>2029</v>
      </c>
      <c r="AP5" t="s">
        <v>2065</v>
      </c>
      <c r="AQ5" s="194" t="s">
        <v>2066</v>
      </c>
      <c r="AR5">
        <v>30</v>
      </c>
      <c r="AS5">
        <v>2</v>
      </c>
      <c r="AT5" t="s">
        <v>2031</v>
      </c>
      <c r="AU5" t="s">
        <v>2029</v>
      </c>
      <c r="AV5">
        <v>8</v>
      </c>
      <c r="AX5">
        <v>80</v>
      </c>
      <c r="AY5">
        <v>20</v>
      </c>
    </row>
    <row r="6" spans="1:80">
      <c r="A6" t="s">
        <v>2056</v>
      </c>
      <c r="B6" t="s">
        <v>2057</v>
      </c>
      <c r="C6" t="s">
        <v>2046</v>
      </c>
      <c r="E6" t="s">
        <v>2061</v>
      </c>
      <c r="F6" t="s">
        <v>68</v>
      </c>
      <c r="G6" t="s">
        <v>2051</v>
      </c>
      <c r="H6">
        <v>5</v>
      </c>
      <c r="I6" t="s">
        <v>1915</v>
      </c>
      <c r="K6" t="s">
        <v>2062</v>
      </c>
      <c r="L6" t="s">
        <v>2065</v>
      </c>
      <c r="M6" s="194" t="s">
        <v>2066</v>
      </c>
      <c r="N6">
        <v>30</v>
      </c>
      <c r="O6">
        <v>2</v>
      </c>
      <c r="P6" t="s">
        <v>2031</v>
      </c>
      <c r="Q6" t="s">
        <v>2029</v>
      </c>
      <c r="R6" t="s">
        <v>2065</v>
      </c>
      <c r="S6" t="s">
        <v>2066</v>
      </c>
      <c r="T6">
        <v>30</v>
      </c>
      <c r="U6">
        <v>2</v>
      </c>
      <c r="V6" t="s">
        <v>2031</v>
      </c>
      <c r="W6" t="s">
        <v>2029</v>
      </c>
      <c r="X6" t="s">
        <v>2065</v>
      </c>
      <c r="Y6" t="s">
        <v>2066</v>
      </c>
      <c r="Z6">
        <v>30</v>
      </c>
      <c r="AA6">
        <v>2</v>
      </c>
      <c r="AB6" t="s">
        <v>2031</v>
      </c>
      <c r="AC6" t="s">
        <v>2029</v>
      </c>
      <c r="AD6" t="s">
        <v>2065</v>
      </c>
      <c r="AE6" s="194" t="s">
        <v>2066</v>
      </c>
      <c r="AF6">
        <v>30</v>
      </c>
      <c r="AG6">
        <v>2</v>
      </c>
      <c r="AH6" t="s">
        <v>2031</v>
      </c>
      <c r="AI6" t="s">
        <v>2029</v>
      </c>
      <c r="AJ6" t="s">
        <v>2065</v>
      </c>
      <c r="AK6" t="s">
        <v>2066</v>
      </c>
      <c r="AL6">
        <v>30</v>
      </c>
      <c r="AM6">
        <v>2</v>
      </c>
      <c r="AN6" t="s">
        <v>2031</v>
      </c>
      <c r="AO6" t="s">
        <v>2029</v>
      </c>
      <c r="AP6" t="s">
        <v>2065</v>
      </c>
      <c r="AQ6" s="194" t="s">
        <v>2066</v>
      </c>
      <c r="AR6">
        <v>30</v>
      </c>
      <c r="AS6">
        <v>2</v>
      </c>
      <c r="AT6" t="s">
        <v>2031</v>
      </c>
      <c r="AU6" t="s">
        <v>2029</v>
      </c>
      <c r="AV6">
        <v>8</v>
      </c>
      <c r="AX6">
        <v>80</v>
      </c>
      <c r="AY6">
        <v>20</v>
      </c>
    </row>
  </sheetData>
  <phoneticPr fontId="9" type="noConversion"/>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773E9-3669-4262-8B84-DCB227B1D8C4}">
  <sheetPr codeName="Sheet19">
    <tabColor rgb="FF0070C0"/>
  </sheetPr>
  <dimension ref="A1:E427"/>
  <sheetViews>
    <sheetView workbookViewId="0">
      <pane ySplit="2" topLeftCell="A3" activePane="bottomLeft" state="frozen"/>
      <selection activeCell="H31" sqref="H31"/>
      <selection pane="bottomLeft" activeCell="C2" sqref="C2:C3"/>
    </sheetView>
  </sheetViews>
  <sheetFormatPr defaultColWidth="9.140625" defaultRowHeight="15"/>
  <cols>
    <col min="1" max="1" width="24.140625" customWidth="1"/>
    <col min="2" max="2" width="31.85546875" customWidth="1"/>
    <col min="4" max="4" width="10.85546875" customWidth="1"/>
    <col min="5" max="5" width="11.85546875" customWidth="1"/>
  </cols>
  <sheetData>
    <row r="1" spans="1:5" ht="18.75">
      <c r="A1" s="16" t="s">
        <v>1920</v>
      </c>
      <c r="B1" s="5" t="s">
        <v>1921</v>
      </c>
    </row>
    <row r="2" spans="1:5">
      <c r="A2" s="20" t="s">
        <v>1922</v>
      </c>
      <c r="B2" s="20" t="s">
        <v>1923</v>
      </c>
      <c r="C2" s="33" t="s">
        <v>1870</v>
      </c>
      <c r="D2" s="33" t="s">
        <v>260</v>
      </c>
      <c r="E2" s="33" t="s">
        <v>228</v>
      </c>
    </row>
    <row r="3" spans="1:5">
      <c r="D3" s="47" t="s">
        <v>204</v>
      </c>
      <c r="E3" s="47" t="s">
        <v>204</v>
      </c>
    </row>
    <row r="4" spans="1:5">
      <c r="D4" s="47"/>
      <c r="E4" s="47"/>
    </row>
    <row r="5" spans="1:5">
      <c r="D5" s="47"/>
      <c r="E5" s="47"/>
    </row>
    <row r="6" spans="1:5">
      <c r="D6" s="47"/>
      <c r="E6" s="47"/>
    </row>
    <row r="7" spans="1:5">
      <c r="D7" s="47"/>
      <c r="E7" s="47"/>
    </row>
    <row r="8" spans="1:5">
      <c r="D8" s="47"/>
      <c r="E8" s="47"/>
    </row>
    <row r="9" spans="1:5">
      <c r="D9" s="47"/>
      <c r="E9" s="47"/>
    </row>
    <row r="10" spans="1:5">
      <c r="D10" s="47"/>
      <c r="E10" s="47"/>
    </row>
    <row r="11" spans="1:5">
      <c r="D11" s="47"/>
      <c r="E11" s="47"/>
    </row>
    <row r="12" spans="1:5">
      <c r="D12" s="47"/>
      <c r="E12" s="47"/>
    </row>
    <row r="13" spans="1:5">
      <c r="D13" s="47"/>
      <c r="E13" s="47"/>
    </row>
    <row r="14" spans="1:5">
      <c r="D14" s="47"/>
      <c r="E14" s="47"/>
    </row>
    <row r="15" spans="1:5">
      <c r="D15" s="47"/>
      <c r="E15" s="47"/>
    </row>
    <row r="16" spans="1:5">
      <c r="D16" s="47"/>
      <c r="E16" s="47"/>
    </row>
    <row r="17" spans="4:5">
      <c r="D17" s="47"/>
      <c r="E17" s="47"/>
    </row>
    <row r="18" spans="4:5">
      <c r="D18" s="47"/>
      <c r="E18" s="47"/>
    </row>
    <row r="19" spans="4:5">
      <c r="D19" s="47"/>
      <c r="E19" s="47"/>
    </row>
    <row r="20" spans="4:5">
      <c r="D20" s="47"/>
      <c r="E20" s="47"/>
    </row>
    <row r="21" spans="4:5">
      <c r="D21" s="47"/>
      <c r="E21" s="47"/>
    </row>
    <row r="22" spans="4:5">
      <c r="D22" s="47"/>
      <c r="E22" s="47"/>
    </row>
    <row r="23" spans="4:5">
      <c r="D23" s="47"/>
      <c r="E23" s="47"/>
    </row>
    <row r="24" spans="4:5">
      <c r="D24" s="47"/>
      <c r="E24" s="47"/>
    </row>
    <row r="25" spans="4:5">
      <c r="D25" s="47"/>
      <c r="E25" s="47"/>
    </row>
    <row r="26" spans="4:5">
      <c r="D26" s="47"/>
      <c r="E26" s="47"/>
    </row>
    <row r="27" spans="4:5">
      <c r="D27" s="47"/>
      <c r="E27" s="47"/>
    </row>
    <row r="28" spans="4:5">
      <c r="D28" s="47"/>
      <c r="E28" s="47"/>
    </row>
    <row r="29" spans="4:5">
      <c r="D29" s="47"/>
      <c r="E29" s="47"/>
    </row>
    <row r="30" spans="4:5">
      <c r="D30" s="47"/>
      <c r="E30" s="47"/>
    </row>
    <row r="31" spans="4:5">
      <c r="D31" s="47"/>
      <c r="E31" s="47"/>
    </row>
    <row r="32" spans="4:5">
      <c r="D32" s="47"/>
      <c r="E32" s="47"/>
    </row>
    <row r="33" spans="4:5">
      <c r="D33" s="47"/>
      <c r="E33" s="47"/>
    </row>
    <row r="34" spans="4:5">
      <c r="D34" s="47"/>
      <c r="E34" s="47"/>
    </row>
    <row r="35" spans="4:5">
      <c r="D35" s="47"/>
      <c r="E35" s="47"/>
    </row>
    <row r="36" spans="4:5">
      <c r="D36" s="47"/>
      <c r="E36" s="47"/>
    </row>
    <row r="37" spans="4:5">
      <c r="D37" s="47"/>
      <c r="E37" s="47"/>
    </row>
    <row r="38" spans="4:5">
      <c r="D38" s="47"/>
      <c r="E38" s="47"/>
    </row>
    <row r="39" spans="4:5">
      <c r="D39" s="47"/>
      <c r="E39" s="47"/>
    </row>
    <row r="40" spans="4:5">
      <c r="D40" s="47"/>
      <c r="E40" s="47"/>
    </row>
    <row r="41" spans="4:5">
      <c r="D41" s="47"/>
      <c r="E41" s="47"/>
    </row>
    <row r="42" spans="4:5">
      <c r="D42" s="47"/>
      <c r="E42" s="47"/>
    </row>
    <row r="43" spans="4:5">
      <c r="D43" s="47"/>
      <c r="E43" s="47"/>
    </row>
    <row r="44" spans="4:5">
      <c r="D44" s="47"/>
      <c r="E44" s="47"/>
    </row>
    <row r="45" spans="4:5">
      <c r="D45" s="47"/>
      <c r="E45" s="47"/>
    </row>
    <row r="46" spans="4:5">
      <c r="D46" s="47"/>
      <c r="E46" s="47"/>
    </row>
    <row r="47" spans="4:5">
      <c r="D47" s="47"/>
      <c r="E47" s="47"/>
    </row>
    <row r="48" spans="4:5">
      <c r="D48" s="47"/>
      <c r="E48" s="47"/>
    </row>
    <row r="49" spans="4:5">
      <c r="D49" s="47"/>
      <c r="E49" s="47"/>
    </row>
    <row r="50" spans="4:5">
      <c r="D50" s="47"/>
      <c r="E50" s="47"/>
    </row>
    <row r="51" spans="4:5">
      <c r="D51" s="47"/>
      <c r="E51" s="47"/>
    </row>
    <row r="52" spans="4:5">
      <c r="D52" s="47"/>
      <c r="E52" s="47"/>
    </row>
    <row r="53" spans="4:5">
      <c r="D53" s="47"/>
      <c r="E53" s="47"/>
    </row>
    <row r="54" spans="4:5">
      <c r="D54" s="47"/>
      <c r="E54" s="47"/>
    </row>
    <row r="55" spans="4:5">
      <c r="D55" s="47"/>
      <c r="E55" s="47"/>
    </row>
    <row r="56" spans="4:5">
      <c r="D56" s="47"/>
      <c r="E56" s="47"/>
    </row>
    <row r="57" spans="4:5">
      <c r="D57" s="47"/>
      <c r="E57" s="47"/>
    </row>
    <row r="58" spans="4:5">
      <c r="D58" s="47"/>
      <c r="E58" s="47"/>
    </row>
    <row r="59" spans="4:5">
      <c r="D59" s="47"/>
      <c r="E59" s="47"/>
    </row>
    <row r="60" spans="4:5">
      <c r="D60" s="47"/>
      <c r="E60" s="47"/>
    </row>
    <row r="61" spans="4:5">
      <c r="D61" s="47"/>
      <c r="E61" s="47"/>
    </row>
    <row r="62" spans="4:5">
      <c r="D62" s="47"/>
      <c r="E62" s="47"/>
    </row>
    <row r="63" spans="4:5">
      <c r="D63" s="47"/>
      <c r="E63" s="47"/>
    </row>
    <row r="64" spans="4:5">
      <c r="D64" s="47"/>
      <c r="E64" s="47"/>
    </row>
    <row r="65" spans="4:5">
      <c r="D65" s="47"/>
      <c r="E65" s="47"/>
    </row>
    <row r="66" spans="4:5">
      <c r="D66" s="47"/>
      <c r="E66" s="47"/>
    </row>
    <row r="67" spans="4:5">
      <c r="D67" s="47"/>
      <c r="E67" s="47"/>
    </row>
    <row r="68" spans="4:5">
      <c r="D68" s="47"/>
      <c r="E68" s="47"/>
    </row>
    <row r="69" spans="4:5">
      <c r="D69" s="47"/>
      <c r="E69" s="47"/>
    </row>
    <row r="70" spans="4:5">
      <c r="D70" s="47"/>
      <c r="E70" s="47"/>
    </row>
    <row r="71" spans="4:5">
      <c r="D71" s="47"/>
      <c r="E71" s="47"/>
    </row>
    <row r="72" spans="4:5">
      <c r="D72" s="47"/>
      <c r="E72" s="47"/>
    </row>
    <row r="73" spans="4:5">
      <c r="D73" s="47"/>
      <c r="E73" s="47"/>
    </row>
    <row r="74" spans="4:5">
      <c r="D74" s="47"/>
      <c r="E74" s="47"/>
    </row>
    <row r="75" spans="4:5">
      <c r="D75" s="47"/>
      <c r="E75" s="47"/>
    </row>
    <row r="76" spans="4:5">
      <c r="D76" s="47"/>
      <c r="E76" s="47"/>
    </row>
    <row r="77" spans="4:5">
      <c r="D77" s="47"/>
      <c r="E77" s="47"/>
    </row>
    <row r="78" spans="4:5">
      <c r="D78" s="47"/>
      <c r="E78" s="47"/>
    </row>
    <row r="79" spans="4:5">
      <c r="D79" s="47"/>
      <c r="E79" s="47"/>
    </row>
    <row r="80" spans="4:5">
      <c r="D80" s="47"/>
      <c r="E80" s="47"/>
    </row>
    <row r="81" spans="4:5">
      <c r="D81" s="47"/>
      <c r="E81" s="47"/>
    </row>
    <row r="82" spans="4:5">
      <c r="D82" s="47"/>
      <c r="E82" s="47"/>
    </row>
    <row r="83" spans="4:5">
      <c r="D83" s="47"/>
      <c r="E83" s="47"/>
    </row>
    <row r="84" spans="4:5">
      <c r="D84" s="47"/>
      <c r="E84" s="47"/>
    </row>
    <row r="85" spans="4:5">
      <c r="D85" s="47"/>
      <c r="E85" s="47"/>
    </row>
    <row r="86" spans="4:5">
      <c r="D86" s="47"/>
      <c r="E86" s="47"/>
    </row>
    <row r="87" spans="4:5">
      <c r="D87" s="47"/>
      <c r="E87" s="47"/>
    </row>
    <row r="88" spans="4:5">
      <c r="D88" s="47"/>
      <c r="E88" s="47"/>
    </row>
    <row r="89" spans="4:5">
      <c r="D89" s="47"/>
      <c r="E89" s="47"/>
    </row>
    <row r="90" spans="4:5">
      <c r="D90" s="47"/>
      <c r="E90" s="47"/>
    </row>
    <row r="91" spans="4:5">
      <c r="D91" s="47"/>
      <c r="E91" s="47"/>
    </row>
    <row r="92" spans="4:5">
      <c r="D92" s="47"/>
      <c r="E92" s="47"/>
    </row>
    <row r="93" spans="4:5">
      <c r="D93" s="47"/>
      <c r="E93" s="47"/>
    </row>
    <row r="94" spans="4:5">
      <c r="D94" s="47"/>
      <c r="E94" s="47"/>
    </row>
    <row r="95" spans="4:5">
      <c r="D95" s="47"/>
      <c r="E95" s="47"/>
    </row>
    <row r="96" spans="4:5">
      <c r="D96" s="47"/>
      <c r="E96" s="47"/>
    </row>
    <row r="97" spans="4:5">
      <c r="D97" s="47"/>
      <c r="E97" s="47"/>
    </row>
    <row r="98" spans="4:5">
      <c r="D98" s="47"/>
      <c r="E98" s="47"/>
    </row>
    <row r="99" spans="4:5">
      <c r="D99" s="47"/>
      <c r="E99" s="47"/>
    </row>
    <row r="100" spans="4:5">
      <c r="D100" s="47"/>
      <c r="E100" s="47"/>
    </row>
    <row r="101" spans="4:5">
      <c r="D101" s="47"/>
      <c r="E101" s="47"/>
    </row>
    <row r="102" spans="4:5">
      <c r="D102" s="47"/>
      <c r="E102" s="47"/>
    </row>
    <row r="103" spans="4:5">
      <c r="D103" s="47"/>
      <c r="E103" s="47"/>
    </row>
    <row r="104" spans="4:5">
      <c r="D104" s="47"/>
      <c r="E104" s="47"/>
    </row>
    <row r="105" spans="4:5">
      <c r="D105" s="47"/>
      <c r="E105" s="47"/>
    </row>
    <row r="106" spans="4:5">
      <c r="D106" s="47"/>
      <c r="E106" s="47"/>
    </row>
    <row r="107" spans="4:5">
      <c r="D107" s="47"/>
      <c r="E107" s="47"/>
    </row>
    <row r="108" spans="4:5">
      <c r="D108" s="47"/>
      <c r="E108" s="47"/>
    </row>
    <row r="109" spans="4:5">
      <c r="D109" s="47"/>
      <c r="E109" s="47"/>
    </row>
    <row r="110" spans="4:5">
      <c r="D110" s="47"/>
      <c r="E110" s="47"/>
    </row>
    <row r="111" spans="4:5">
      <c r="D111" s="47"/>
      <c r="E111" s="47"/>
    </row>
    <row r="112" spans="4:5">
      <c r="D112" s="47"/>
      <c r="E112" s="47"/>
    </row>
    <row r="113" spans="4:5">
      <c r="D113" s="47"/>
      <c r="E113" s="47"/>
    </row>
    <row r="114" spans="4:5">
      <c r="D114" s="47"/>
      <c r="E114" s="47"/>
    </row>
    <row r="115" spans="4:5">
      <c r="D115" s="47"/>
      <c r="E115" s="47"/>
    </row>
    <row r="116" spans="4:5">
      <c r="D116" s="47"/>
      <c r="E116" s="47"/>
    </row>
    <row r="117" spans="4:5">
      <c r="D117" s="47"/>
      <c r="E117" s="47"/>
    </row>
    <row r="118" spans="4:5">
      <c r="D118" s="47"/>
      <c r="E118" s="47"/>
    </row>
    <row r="119" spans="4:5">
      <c r="D119" s="47"/>
      <c r="E119" s="47"/>
    </row>
    <row r="120" spans="4:5">
      <c r="D120" s="47"/>
      <c r="E120" s="47"/>
    </row>
    <row r="121" spans="4:5">
      <c r="D121" s="47"/>
      <c r="E121" s="47"/>
    </row>
    <row r="122" spans="4:5">
      <c r="D122" s="47"/>
      <c r="E122" s="47"/>
    </row>
    <row r="123" spans="4:5">
      <c r="D123" s="47"/>
      <c r="E123" s="47"/>
    </row>
    <row r="124" spans="4:5">
      <c r="D124" s="47"/>
      <c r="E124" s="47"/>
    </row>
    <row r="125" spans="4:5">
      <c r="D125" s="47"/>
      <c r="E125" s="47"/>
    </row>
    <row r="126" spans="4:5">
      <c r="D126" s="47"/>
      <c r="E126" s="47"/>
    </row>
    <row r="127" spans="4:5">
      <c r="D127" s="47"/>
      <c r="E127" s="47"/>
    </row>
    <row r="128" spans="4:5">
      <c r="D128" s="47"/>
      <c r="E128" s="47"/>
    </row>
    <row r="129" spans="4:5">
      <c r="D129" s="47"/>
      <c r="E129" s="47"/>
    </row>
    <row r="130" spans="4:5">
      <c r="D130" s="47"/>
      <c r="E130" s="47"/>
    </row>
    <row r="131" spans="4:5">
      <c r="D131" s="47"/>
      <c r="E131" s="47"/>
    </row>
    <row r="132" spans="4:5">
      <c r="D132" s="47"/>
      <c r="E132" s="47"/>
    </row>
    <row r="133" spans="4:5">
      <c r="D133" s="47"/>
      <c r="E133" s="47"/>
    </row>
    <row r="134" spans="4:5">
      <c r="D134" s="47"/>
      <c r="E134" s="47"/>
    </row>
    <row r="135" spans="4:5">
      <c r="D135" s="47"/>
      <c r="E135" s="47"/>
    </row>
    <row r="136" spans="4:5">
      <c r="D136" s="47"/>
      <c r="E136" s="47"/>
    </row>
    <row r="137" spans="4:5">
      <c r="D137" s="47"/>
      <c r="E137" s="47"/>
    </row>
    <row r="138" spans="4:5">
      <c r="D138" s="47"/>
      <c r="E138" s="47"/>
    </row>
    <row r="139" spans="4:5">
      <c r="D139" s="47"/>
      <c r="E139" s="47"/>
    </row>
    <row r="140" spans="4:5">
      <c r="D140" s="47"/>
      <c r="E140" s="47"/>
    </row>
    <row r="141" spans="4:5">
      <c r="D141" s="47"/>
      <c r="E141" s="47"/>
    </row>
    <row r="142" spans="4:5">
      <c r="D142" s="47"/>
      <c r="E142" s="47"/>
    </row>
    <row r="143" spans="4:5">
      <c r="D143" s="47"/>
      <c r="E143" s="47"/>
    </row>
    <row r="144" spans="4:5">
      <c r="D144" s="47"/>
      <c r="E144" s="47"/>
    </row>
    <row r="145" spans="4:5">
      <c r="D145" s="47"/>
      <c r="E145" s="47"/>
    </row>
    <row r="146" spans="4:5">
      <c r="D146" s="47"/>
      <c r="E146" s="47"/>
    </row>
    <row r="147" spans="4:5">
      <c r="D147" s="47"/>
      <c r="E147" s="47"/>
    </row>
    <row r="148" spans="4:5">
      <c r="D148" s="47"/>
      <c r="E148" s="47"/>
    </row>
    <row r="149" spans="4:5">
      <c r="D149" s="47"/>
      <c r="E149" s="47"/>
    </row>
    <row r="150" spans="4:5">
      <c r="D150" s="47"/>
      <c r="E150" s="47"/>
    </row>
    <row r="151" spans="4:5">
      <c r="D151" s="47"/>
      <c r="E151" s="47"/>
    </row>
    <row r="152" spans="4:5">
      <c r="D152" s="47"/>
      <c r="E152" s="47"/>
    </row>
    <row r="153" spans="4:5">
      <c r="D153" s="47"/>
      <c r="E153" s="47"/>
    </row>
    <row r="154" spans="4:5">
      <c r="D154" s="47"/>
      <c r="E154" s="47"/>
    </row>
    <row r="155" spans="4:5">
      <c r="D155" s="47"/>
      <c r="E155" s="47"/>
    </row>
    <row r="156" spans="4:5">
      <c r="D156" s="47"/>
      <c r="E156" s="47"/>
    </row>
    <row r="157" spans="4:5">
      <c r="D157" s="47"/>
      <c r="E157" s="47"/>
    </row>
    <row r="158" spans="4:5">
      <c r="D158" s="47"/>
      <c r="E158" s="47"/>
    </row>
    <row r="159" spans="4:5">
      <c r="D159" s="47"/>
      <c r="E159" s="47"/>
    </row>
    <row r="160" spans="4:5">
      <c r="D160" s="47"/>
      <c r="E160" s="47"/>
    </row>
    <row r="161" spans="4:5">
      <c r="D161" s="47"/>
      <c r="E161" s="47"/>
    </row>
    <row r="162" spans="4:5">
      <c r="D162" s="47"/>
      <c r="E162" s="47"/>
    </row>
    <row r="163" spans="4:5">
      <c r="D163" s="47"/>
      <c r="E163" s="47"/>
    </row>
    <row r="164" spans="4:5">
      <c r="D164" s="47"/>
      <c r="E164" s="47"/>
    </row>
    <row r="165" spans="4:5">
      <c r="D165" s="47"/>
      <c r="E165" s="47"/>
    </row>
    <row r="166" spans="4:5">
      <c r="D166" s="47"/>
      <c r="E166" s="47"/>
    </row>
    <row r="167" spans="4:5">
      <c r="D167" s="47"/>
      <c r="E167" s="47"/>
    </row>
    <row r="168" spans="4:5">
      <c r="D168" s="47"/>
      <c r="E168" s="47"/>
    </row>
    <row r="169" spans="4:5">
      <c r="D169" s="47"/>
      <c r="E169" s="47"/>
    </row>
    <row r="170" spans="4:5">
      <c r="D170" s="47"/>
      <c r="E170" s="47"/>
    </row>
    <row r="171" spans="4:5">
      <c r="D171" s="47"/>
      <c r="E171" s="47"/>
    </row>
    <row r="172" spans="4:5">
      <c r="D172" s="47"/>
      <c r="E172" s="47"/>
    </row>
    <row r="173" spans="4:5">
      <c r="D173" s="47"/>
      <c r="E173" s="47"/>
    </row>
    <row r="174" spans="4:5">
      <c r="D174" s="47"/>
      <c r="E174" s="47"/>
    </row>
    <row r="175" spans="4:5">
      <c r="D175" s="47"/>
      <c r="E175" s="47"/>
    </row>
    <row r="176" spans="4:5">
      <c r="D176" s="47"/>
      <c r="E176" s="47"/>
    </row>
    <row r="177" spans="4:5">
      <c r="D177" s="47"/>
      <c r="E177" s="47"/>
    </row>
    <row r="178" spans="4:5">
      <c r="D178" s="47"/>
      <c r="E178" s="47"/>
    </row>
    <row r="179" spans="4:5">
      <c r="D179" s="47"/>
      <c r="E179" s="47"/>
    </row>
    <row r="180" spans="4:5">
      <c r="D180" s="47"/>
      <c r="E180" s="47"/>
    </row>
    <row r="181" spans="4:5">
      <c r="D181" s="47"/>
      <c r="E181" s="47"/>
    </row>
    <row r="182" spans="4:5">
      <c r="D182" s="47"/>
      <c r="E182" s="47"/>
    </row>
    <row r="183" spans="4:5">
      <c r="D183" s="47"/>
      <c r="E183" s="47"/>
    </row>
    <row r="184" spans="4:5">
      <c r="D184" s="47"/>
      <c r="E184" s="47"/>
    </row>
    <row r="185" spans="4:5">
      <c r="D185" s="47"/>
      <c r="E185" s="47"/>
    </row>
    <row r="186" spans="4:5">
      <c r="D186" s="47"/>
      <c r="E186" s="47"/>
    </row>
    <row r="187" spans="4:5">
      <c r="D187" s="47"/>
      <c r="E187" s="47"/>
    </row>
    <row r="188" spans="4:5">
      <c r="D188" s="47"/>
      <c r="E188" s="47"/>
    </row>
    <row r="189" spans="4:5">
      <c r="D189" s="47"/>
      <c r="E189" s="47"/>
    </row>
    <row r="190" spans="4:5">
      <c r="D190" s="47"/>
      <c r="E190" s="47"/>
    </row>
    <row r="191" spans="4:5">
      <c r="D191" s="47"/>
      <c r="E191" s="47"/>
    </row>
    <row r="192" spans="4:5">
      <c r="D192" s="47"/>
      <c r="E192" s="47"/>
    </row>
    <row r="193" spans="4:5">
      <c r="D193" s="47"/>
      <c r="E193" s="47"/>
    </row>
    <row r="194" spans="4:5">
      <c r="D194" s="47"/>
      <c r="E194" s="47"/>
    </row>
    <row r="195" spans="4:5">
      <c r="D195" s="47"/>
      <c r="E195" s="47"/>
    </row>
    <row r="196" spans="4:5">
      <c r="D196" s="47"/>
      <c r="E196" s="47"/>
    </row>
    <row r="197" spans="4:5">
      <c r="D197" s="47"/>
      <c r="E197" s="47"/>
    </row>
    <row r="198" spans="4:5">
      <c r="D198" s="47"/>
      <c r="E198" s="47"/>
    </row>
    <row r="199" spans="4:5">
      <c r="D199" s="47"/>
      <c r="E199" s="47"/>
    </row>
    <row r="200" spans="4:5">
      <c r="D200" s="47"/>
      <c r="E200" s="47"/>
    </row>
    <row r="201" spans="4:5">
      <c r="D201" s="47"/>
      <c r="E201" s="47"/>
    </row>
    <row r="202" spans="4:5">
      <c r="D202" s="47"/>
      <c r="E202" s="47"/>
    </row>
    <row r="203" spans="4:5">
      <c r="D203" s="47"/>
      <c r="E203" s="47"/>
    </row>
    <row r="204" spans="4:5">
      <c r="D204" s="47"/>
      <c r="E204" s="47"/>
    </row>
    <row r="205" spans="4:5">
      <c r="D205" s="47"/>
      <c r="E205" s="47"/>
    </row>
    <row r="206" spans="4:5">
      <c r="D206" s="47"/>
      <c r="E206" s="47"/>
    </row>
    <row r="207" spans="4:5">
      <c r="D207" s="47"/>
      <c r="E207" s="47"/>
    </row>
    <row r="208" spans="4:5">
      <c r="D208" s="47"/>
      <c r="E208" s="47"/>
    </row>
    <row r="209" spans="4:5">
      <c r="D209" s="47"/>
      <c r="E209" s="47"/>
    </row>
    <row r="210" spans="4:5">
      <c r="D210" s="47"/>
      <c r="E210" s="47"/>
    </row>
    <row r="211" spans="4:5">
      <c r="D211" s="47"/>
      <c r="E211" s="47"/>
    </row>
    <row r="212" spans="4:5">
      <c r="D212" s="47"/>
      <c r="E212" s="47"/>
    </row>
    <row r="213" spans="4:5">
      <c r="D213" s="47"/>
      <c r="E213" s="47"/>
    </row>
    <row r="214" spans="4:5">
      <c r="D214" s="47"/>
      <c r="E214" s="47"/>
    </row>
    <row r="215" spans="4:5">
      <c r="D215" s="47"/>
      <c r="E215" s="47"/>
    </row>
    <row r="216" spans="4:5">
      <c r="D216" s="47"/>
      <c r="E216" s="47"/>
    </row>
    <row r="217" spans="4:5">
      <c r="D217" s="47"/>
      <c r="E217" s="47"/>
    </row>
    <row r="218" spans="4:5">
      <c r="D218" s="47"/>
      <c r="E218" s="47"/>
    </row>
    <row r="219" spans="4:5">
      <c r="D219" s="47"/>
      <c r="E219" s="47"/>
    </row>
    <row r="220" spans="4:5">
      <c r="D220" s="47"/>
      <c r="E220" s="47"/>
    </row>
    <row r="221" spans="4:5">
      <c r="D221" s="47"/>
      <c r="E221" s="47"/>
    </row>
    <row r="222" spans="4:5">
      <c r="D222" s="47"/>
      <c r="E222" s="47"/>
    </row>
    <row r="223" spans="4:5">
      <c r="D223" s="47"/>
      <c r="E223" s="47"/>
    </row>
    <row r="224" spans="4:5">
      <c r="D224" s="47"/>
      <c r="E224" s="47"/>
    </row>
    <row r="225" spans="4:5">
      <c r="D225" s="47"/>
      <c r="E225" s="47"/>
    </row>
    <row r="226" spans="4:5">
      <c r="D226" s="47"/>
      <c r="E226" s="47"/>
    </row>
    <row r="227" spans="4:5">
      <c r="D227" s="47"/>
      <c r="E227" s="47"/>
    </row>
    <row r="228" spans="4:5">
      <c r="D228" s="47"/>
      <c r="E228" s="47"/>
    </row>
    <row r="229" spans="4:5">
      <c r="D229" s="47"/>
      <c r="E229" s="47"/>
    </row>
    <row r="230" spans="4:5">
      <c r="D230" s="47"/>
      <c r="E230" s="47"/>
    </row>
    <row r="231" spans="4:5">
      <c r="D231" s="47"/>
      <c r="E231" s="47"/>
    </row>
    <row r="232" spans="4:5">
      <c r="D232" s="47"/>
      <c r="E232" s="47"/>
    </row>
    <row r="233" spans="4:5">
      <c r="D233" s="47"/>
      <c r="E233" s="47"/>
    </row>
    <row r="234" spans="4:5">
      <c r="D234" s="47"/>
      <c r="E234" s="47"/>
    </row>
    <row r="235" spans="4:5">
      <c r="D235" s="47"/>
      <c r="E235" s="47"/>
    </row>
    <row r="236" spans="4:5">
      <c r="D236" s="47"/>
      <c r="E236" s="47"/>
    </row>
    <row r="237" spans="4:5">
      <c r="D237" s="47"/>
      <c r="E237" s="47"/>
    </row>
    <row r="238" spans="4:5">
      <c r="D238" s="47"/>
      <c r="E238" s="47"/>
    </row>
    <row r="239" spans="4:5">
      <c r="D239" s="47"/>
      <c r="E239" s="47"/>
    </row>
    <row r="240" spans="4:5">
      <c r="D240" s="47"/>
      <c r="E240" s="47"/>
    </row>
    <row r="241" spans="4:5">
      <c r="D241" s="47"/>
      <c r="E241" s="47"/>
    </row>
    <row r="242" spans="4:5">
      <c r="D242" s="47"/>
      <c r="E242" s="47"/>
    </row>
    <row r="243" spans="4:5">
      <c r="D243" s="47"/>
      <c r="E243" s="47"/>
    </row>
    <row r="244" spans="4:5">
      <c r="D244" s="47"/>
      <c r="E244" s="47"/>
    </row>
    <row r="245" spans="4:5">
      <c r="D245" s="47"/>
      <c r="E245" s="47"/>
    </row>
    <row r="246" spans="4:5">
      <c r="D246" s="47"/>
      <c r="E246" s="47"/>
    </row>
    <row r="247" spans="4:5">
      <c r="D247" s="47"/>
      <c r="E247" s="47"/>
    </row>
    <row r="248" spans="4:5">
      <c r="D248" s="47"/>
      <c r="E248" s="47"/>
    </row>
    <row r="249" spans="4:5">
      <c r="D249" s="47"/>
      <c r="E249" s="47"/>
    </row>
    <row r="250" spans="4:5">
      <c r="D250" s="47"/>
      <c r="E250" s="47"/>
    </row>
    <row r="251" spans="4:5">
      <c r="D251" s="47"/>
      <c r="E251" s="47"/>
    </row>
    <row r="252" spans="4:5">
      <c r="D252" s="47"/>
      <c r="E252" s="47"/>
    </row>
    <row r="253" spans="4:5">
      <c r="D253" s="47"/>
      <c r="E253" s="47"/>
    </row>
    <row r="254" spans="4:5">
      <c r="D254" s="47"/>
      <c r="E254" s="47"/>
    </row>
    <row r="255" spans="4:5">
      <c r="D255" s="47"/>
      <c r="E255" s="47"/>
    </row>
    <row r="256" spans="4:5">
      <c r="D256" s="47"/>
      <c r="E256" s="47"/>
    </row>
    <row r="257" spans="4:5">
      <c r="D257" s="47"/>
      <c r="E257" s="47"/>
    </row>
    <row r="258" spans="4:5">
      <c r="D258" s="47"/>
      <c r="E258" s="47"/>
    </row>
    <row r="259" spans="4:5">
      <c r="D259" s="47"/>
      <c r="E259" s="47"/>
    </row>
    <row r="260" spans="4:5">
      <c r="D260" s="47"/>
      <c r="E260" s="47"/>
    </row>
    <row r="261" spans="4:5">
      <c r="D261" s="47"/>
      <c r="E261" s="47"/>
    </row>
    <row r="262" spans="4:5">
      <c r="D262" s="47"/>
      <c r="E262" s="47"/>
    </row>
    <row r="263" spans="4:5">
      <c r="D263" s="47"/>
      <c r="E263" s="47"/>
    </row>
    <row r="264" spans="4:5">
      <c r="D264" s="47"/>
      <c r="E264" s="47"/>
    </row>
    <row r="265" spans="4:5">
      <c r="D265" s="47"/>
      <c r="E265" s="47"/>
    </row>
    <row r="266" spans="4:5">
      <c r="D266" s="47"/>
      <c r="E266" s="47"/>
    </row>
    <row r="267" spans="4:5">
      <c r="D267" s="47"/>
      <c r="E267" s="47"/>
    </row>
    <row r="268" spans="4:5">
      <c r="D268" s="47"/>
      <c r="E268" s="47"/>
    </row>
    <row r="269" spans="4:5">
      <c r="D269" s="47"/>
      <c r="E269" s="47"/>
    </row>
    <row r="270" spans="4:5">
      <c r="D270" s="47"/>
      <c r="E270" s="47"/>
    </row>
    <row r="271" spans="4:5">
      <c r="D271" s="47"/>
      <c r="E271" s="47"/>
    </row>
    <row r="272" spans="4:5">
      <c r="D272" s="47"/>
      <c r="E272" s="47"/>
    </row>
    <row r="273" spans="4:5">
      <c r="D273" s="47"/>
      <c r="E273" s="47"/>
    </row>
    <row r="274" spans="4:5">
      <c r="D274" s="47"/>
      <c r="E274" s="47"/>
    </row>
    <row r="275" spans="4:5">
      <c r="D275" s="47"/>
      <c r="E275" s="47"/>
    </row>
    <row r="276" spans="4:5">
      <c r="D276" s="47"/>
      <c r="E276" s="47"/>
    </row>
    <row r="277" spans="4:5">
      <c r="D277" s="47"/>
      <c r="E277" s="47"/>
    </row>
    <row r="278" spans="4:5">
      <c r="D278" s="47"/>
      <c r="E278" s="47"/>
    </row>
    <row r="279" spans="4:5">
      <c r="D279" s="47"/>
      <c r="E279" s="47"/>
    </row>
    <row r="280" spans="4:5">
      <c r="D280" s="47"/>
      <c r="E280" s="47"/>
    </row>
    <row r="281" spans="4:5">
      <c r="D281" s="47"/>
      <c r="E281" s="47"/>
    </row>
    <row r="282" spans="4:5">
      <c r="D282" s="47"/>
      <c r="E282" s="47"/>
    </row>
    <row r="283" spans="4:5">
      <c r="D283" s="47"/>
      <c r="E283" s="47"/>
    </row>
    <row r="284" spans="4:5">
      <c r="D284" s="47"/>
      <c r="E284" s="47"/>
    </row>
    <row r="285" spans="4:5">
      <c r="D285" s="47"/>
      <c r="E285" s="47"/>
    </row>
    <row r="286" spans="4:5">
      <c r="D286" s="47"/>
      <c r="E286" s="47"/>
    </row>
    <row r="287" spans="4:5">
      <c r="D287" s="47"/>
      <c r="E287" s="47"/>
    </row>
    <row r="288" spans="4:5">
      <c r="D288" s="47"/>
      <c r="E288" s="47"/>
    </row>
    <row r="289" spans="4:5">
      <c r="D289" s="47"/>
      <c r="E289" s="47"/>
    </row>
    <row r="290" spans="4:5">
      <c r="D290" s="47"/>
      <c r="E290" s="47"/>
    </row>
    <row r="291" spans="4:5">
      <c r="D291" s="47"/>
      <c r="E291" s="47"/>
    </row>
    <row r="292" spans="4:5">
      <c r="D292" s="47"/>
      <c r="E292" s="47"/>
    </row>
    <row r="293" spans="4:5">
      <c r="D293" s="47"/>
      <c r="E293" s="47"/>
    </row>
    <row r="294" spans="4:5">
      <c r="D294" s="47"/>
      <c r="E294" s="47"/>
    </row>
    <row r="295" spans="4:5">
      <c r="D295" s="47"/>
      <c r="E295" s="47"/>
    </row>
    <row r="296" spans="4:5">
      <c r="D296" s="47"/>
      <c r="E296" s="47"/>
    </row>
    <row r="297" spans="4:5">
      <c r="D297" s="47"/>
      <c r="E297" s="47"/>
    </row>
    <row r="298" spans="4:5">
      <c r="D298" s="47"/>
      <c r="E298" s="47"/>
    </row>
    <row r="299" spans="4:5">
      <c r="D299" s="47"/>
      <c r="E299" s="47"/>
    </row>
    <row r="300" spans="4:5">
      <c r="D300" s="47"/>
      <c r="E300" s="47"/>
    </row>
    <row r="301" spans="4:5">
      <c r="D301" s="47"/>
      <c r="E301" s="47"/>
    </row>
    <row r="302" spans="4:5">
      <c r="D302" s="47"/>
      <c r="E302" s="47"/>
    </row>
    <row r="303" spans="4:5">
      <c r="D303" s="47"/>
      <c r="E303" s="47"/>
    </row>
    <row r="304" spans="4:5">
      <c r="D304" s="47"/>
      <c r="E304" s="47"/>
    </row>
    <row r="305" spans="4:5">
      <c r="D305" s="47"/>
      <c r="E305" s="47"/>
    </row>
    <row r="306" spans="4:5">
      <c r="D306" s="47"/>
      <c r="E306" s="47"/>
    </row>
    <row r="307" spans="4:5">
      <c r="D307" s="47"/>
      <c r="E307" s="47"/>
    </row>
    <row r="308" spans="4:5">
      <c r="D308" s="47"/>
      <c r="E308" s="47"/>
    </row>
    <row r="309" spans="4:5">
      <c r="D309" s="47"/>
      <c r="E309" s="47"/>
    </row>
    <row r="310" spans="4:5">
      <c r="D310" s="47"/>
      <c r="E310" s="47"/>
    </row>
    <row r="311" spans="4:5">
      <c r="D311" s="47"/>
      <c r="E311" s="47"/>
    </row>
    <row r="312" spans="4:5">
      <c r="D312" s="47"/>
      <c r="E312" s="47"/>
    </row>
    <row r="313" spans="4:5">
      <c r="D313" s="47"/>
      <c r="E313" s="47"/>
    </row>
    <row r="314" spans="4:5">
      <c r="D314" s="47"/>
      <c r="E314" s="47"/>
    </row>
    <row r="315" spans="4:5">
      <c r="D315" s="47"/>
      <c r="E315" s="47"/>
    </row>
    <row r="316" spans="4:5">
      <c r="D316" s="47"/>
      <c r="E316" s="47"/>
    </row>
    <row r="317" spans="4:5">
      <c r="D317" s="47"/>
      <c r="E317" s="47"/>
    </row>
    <row r="318" spans="4:5">
      <c r="D318" s="47"/>
      <c r="E318" s="47"/>
    </row>
    <row r="319" spans="4:5">
      <c r="D319" s="47"/>
      <c r="E319" s="47"/>
    </row>
    <row r="320" spans="4:5">
      <c r="D320" s="47"/>
      <c r="E320" s="47"/>
    </row>
    <row r="321" spans="4:5">
      <c r="D321" s="47"/>
      <c r="E321" s="47"/>
    </row>
    <row r="322" spans="4:5">
      <c r="D322" s="47"/>
      <c r="E322" s="47"/>
    </row>
    <row r="323" spans="4:5">
      <c r="D323" s="47"/>
      <c r="E323" s="47"/>
    </row>
    <row r="324" spans="4:5">
      <c r="D324" s="47"/>
      <c r="E324" s="47"/>
    </row>
    <row r="325" spans="4:5">
      <c r="D325" s="47"/>
      <c r="E325" s="47"/>
    </row>
    <row r="326" spans="4:5">
      <c r="D326" s="47"/>
      <c r="E326" s="47"/>
    </row>
    <row r="327" spans="4:5">
      <c r="D327" s="47"/>
      <c r="E327" s="47"/>
    </row>
    <row r="328" spans="4:5">
      <c r="D328" s="47"/>
      <c r="E328" s="47"/>
    </row>
    <row r="329" spans="4:5">
      <c r="D329" s="47"/>
      <c r="E329" s="47"/>
    </row>
    <row r="330" spans="4:5">
      <c r="D330" s="47"/>
      <c r="E330" s="47"/>
    </row>
    <row r="331" spans="4:5">
      <c r="D331" s="47"/>
      <c r="E331" s="47"/>
    </row>
    <row r="332" spans="4:5">
      <c r="D332" s="47"/>
      <c r="E332" s="47"/>
    </row>
    <row r="333" spans="4:5">
      <c r="D333" s="47"/>
      <c r="E333" s="47"/>
    </row>
    <row r="334" spans="4:5">
      <c r="D334" s="47"/>
      <c r="E334" s="47"/>
    </row>
    <row r="335" spans="4:5">
      <c r="D335" s="47"/>
      <c r="E335" s="47"/>
    </row>
    <row r="336" spans="4:5">
      <c r="D336" s="47"/>
      <c r="E336" s="47"/>
    </row>
    <row r="337" spans="4:5">
      <c r="D337" s="47"/>
      <c r="E337" s="47"/>
    </row>
    <row r="338" spans="4:5">
      <c r="D338" s="47"/>
      <c r="E338" s="47"/>
    </row>
    <row r="339" spans="4:5">
      <c r="D339" s="47"/>
      <c r="E339" s="47"/>
    </row>
    <row r="340" spans="4:5">
      <c r="D340" s="47"/>
      <c r="E340" s="47"/>
    </row>
    <row r="341" spans="4:5">
      <c r="D341" s="47"/>
      <c r="E341" s="47"/>
    </row>
    <row r="342" spans="4:5">
      <c r="D342" s="47"/>
      <c r="E342" s="47"/>
    </row>
    <row r="343" spans="4:5">
      <c r="D343" s="47"/>
      <c r="E343" s="47"/>
    </row>
    <row r="344" spans="4:5">
      <c r="D344" s="47"/>
      <c r="E344" s="47"/>
    </row>
    <row r="345" spans="4:5">
      <c r="D345" s="47"/>
      <c r="E345" s="47"/>
    </row>
    <row r="346" spans="4:5">
      <c r="D346" s="47"/>
      <c r="E346" s="47"/>
    </row>
    <row r="347" spans="4:5">
      <c r="D347" s="47"/>
      <c r="E347" s="47"/>
    </row>
    <row r="348" spans="4:5">
      <c r="D348" s="47"/>
      <c r="E348" s="47"/>
    </row>
    <row r="349" spans="4:5">
      <c r="D349" s="47"/>
      <c r="E349" s="47"/>
    </row>
    <row r="350" spans="4:5">
      <c r="D350" s="47"/>
      <c r="E350" s="47"/>
    </row>
    <row r="351" spans="4:5">
      <c r="D351" s="47"/>
      <c r="E351" s="47"/>
    </row>
    <row r="352" spans="4:5">
      <c r="D352" s="47"/>
      <c r="E352" s="47"/>
    </row>
    <row r="353" spans="4:5">
      <c r="D353" s="47"/>
      <c r="E353" s="47"/>
    </row>
    <row r="354" spans="4:5">
      <c r="D354" s="47"/>
      <c r="E354" s="47"/>
    </row>
    <row r="355" spans="4:5">
      <c r="D355" s="47"/>
      <c r="E355" s="47"/>
    </row>
    <row r="356" spans="4:5">
      <c r="D356" s="47"/>
      <c r="E356" s="47"/>
    </row>
    <row r="357" spans="4:5">
      <c r="D357" s="47"/>
      <c r="E357" s="47"/>
    </row>
    <row r="358" spans="4:5">
      <c r="D358" s="47"/>
      <c r="E358" s="47"/>
    </row>
    <row r="359" spans="4:5">
      <c r="D359" s="47"/>
      <c r="E359" s="47"/>
    </row>
    <row r="360" spans="4:5">
      <c r="D360" s="47"/>
      <c r="E360" s="47"/>
    </row>
    <row r="361" spans="4:5">
      <c r="D361" s="47"/>
      <c r="E361" s="47"/>
    </row>
    <row r="362" spans="4:5">
      <c r="D362" s="47"/>
      <c r="E362" s="47"/>
    </row>
    <row r="363" spans="4:5">
      <c r="D363" s="47"/>
      <c r="E363" s="47"/>
    </row>
    <row r="364" spans="4:5">
      <c r="D364" s="47"/>
      <c r="E364" s="47"/>
    </row>
    <row r="365" spans="4:5">
      <c r="D365" s="47"/>
      <c r="E365" s="47"/>
    </row>
    <row r="366" spans="4:5">
      <c r="D366" s="47"/>
      <c r="E366" s="47"/>
    </row>
    <row r="367" spans="4:5">
      <c r="D367" s="47"/>
      <c r="E367" s="47"/>
    </row>
    <row r="368" spans="4:5">
      <c r="D368" s="47"/>
      <c r="E368" s="47"/>
    </row>
    <row r="369" spans="4:5">
      <c r="D369" s="47"/>
      <c r="E369" s="47"/>
    </row>
    <row r="370" spans="4:5">
      <c r="D370" s="47"/>
      <c r="E370" s="47"/>
    </row>
    <row r="371" spans="4:5">
      <c r="D371" s="47"/>
      <c r="E371" s="47"/>
    </row>
    <row r="372" spans="4:5">
      <c r="D372" s="47"/>
      <c r="E372" s="47"/>
    </row>
    <row r="373" spans="4:5">
      <c r="D373" s="47"/>
      <c r="E373" s="47"/>
    </row>
    <row r="374" spans="4:5">
      <c r="D374" s="47"/>
      <c r="E374" s="47"/>
    </row>
    <row r="375" spans="4:5">
      <c r="D375" s="47"/>
      <c r="E375" s="47"/>
    </row>
    <row r="376" spans="4:5">
      <c r="D376" s="47"/>
      <c r="E376" s="47"/>
    </row>
    <row r="377" spans="4:5">
      <c r="D377" s="47"/>
      <c r="E377" s="47"/>
    </row>
    <row r="378" spans="4:5">
      <c r="D378" s="47"/>
      <c r="E378" s="47"/>
    </row>
    <row r="379" spans="4:5">
      <c r="D379" s="47"/>
      <c r="E379" s="47"/>
    </row>
    <row r="380" spans="4:5">
      <c r="D380" s="47"/>
      <c r="E380" s="47"/>
    </row>
    <row r="381" spans="4:5">
      <c r="D381" s="47"/>
      <c r="E381" s="47"/>
    </row>
    <row r="382" spans="4:5">
      <c r="D382" s="47"/>
      <c r="E382" s="47"/>
    </row>
    <row r="383" spans="4:5">
      <c r="D383" s="47"/>
      <c r="E383" s="47"/>
    </row>
    <row r="384" spans="4:5">
      <c r="D384" s="47"/>
      <c r="E384" s="47"/>
    </row>
    <row r="385" spans="4:5">
      <c r="D385" s="47"/>
      <c r="E385" s="47"/>
    </row>
    <row r="386" spans="4:5">
      <c r="D386" s="47"/>
      <c r="E386" s="47"/>
    </row>
    <row r="387" spans="4:5">
      <c r="D387" s="47"/>
      <c r="E387" s="47"/>
    </row>
    <row r="388" spans="4:5">
      <c r="D388" s="47"/>
      <c r="E388" s="47"/>
    </row>
    <row r="389" spans="4:5">
      <c r="D389" s="47"/>
      <c r="E389" s="47"/>
    </row>
    <row r="390" spans="4:5">
      <c r="D390" s="47"/>
      <c r="E390" s="47"/>
    </row>
    <row r="391" spans="4:5">
      <c r="D391" s="47"/>
      <c r="E391" s="47"/>
    </row>
    <row r="392" spans="4:5">
      <c r="D392" s="47"/>
      <c r="E392" s="47"/>
    </row>
    <row r="393" spans="4:5">
      <c r="D393" s="47"/>
      <c r="E393" s="47"/>
    </row>
    <row r="394" spans="4:5">
      <c r="D394" s="47"/>
      <c r="E394" s="47"/>
    </row>
    <row r="395" spans="4:5">
      <c r="D395" s="47"/>
      <c r="E395" s="47"/>
    </row>
    <row r="396" spans="4:5">
      <c r="D396" s="47"/>
      <c r="E396" s="47"/>
    </row>
    <row r="397" spans="4:5">
      <c r="D397" s="47"/>
      <c r="E397" s="47"/>
    </row>
    <row r="398" spans="4:5">
      <c r="D398" s="47"/>
      <c r="E398" s="47"/>
    </row>
    <row r="399" spans="4:5">
      <c r="D399" s="47"/>
      <c r="E399" s="47"/>
    </row>
    <row r="400" spans="4:5">
      <c r="D400" s="47"/>
      <c r="E400" s="47"/>
    </row>
    <row r="401" spans="4:5">
      <c r="D401" s="47"/>
      <c r="E401" s="47"/>
    </row>
    <row r="402" spans="4:5">
      <c r="D402" s="47"/>
      <c r="E402" s="47"/>
    </row>
    <row r="403" spans="4:5">
      <c r="D403" s="47"/>
      <c r="E403" s="47"/>
    </row>
    <row r="404" spans="4:5">
      <c r="D404" s="47"/>
      <c r="E404" s="47"/>
    </row>
    <row r="405" spans="4:5">
      <c r="D405" s="47"/>
      <c r="E405" s="47"/>
    </row>
    <row r="406" spans="4:5">
      <c r="D406" s="47"/>
      <c r="E406" s="47"/>
    </row>
    <row r="407" spans="4:5">
      <c r="D407" s="47"/>
      <c r="E407" s="47"/>
    </row>
    <row r="408" spans="4:5">
      <c r="D408" s="47"/>
      <c r="E408" s="47"/>
    </row>
    <row r="409" spans="4:5">
      <c r="D409" s="47"/>
      <c r="E409" s="47"/>
    </row>
    <row r="410" spans="4:5">
      <c r="D410" s="47"/>
      <c r="E410" s="47"/>
    </row>
    <row r="411" spans="4:5">
      <c r="D411" s="47"/>
      <c r="E411" s="47"/>
    </row>
    <row r="412" spans="4:5">
      <c r="D412" s="47"/>
      <c r="E412" s="47"/>
    </row>
    <row r="413" spans="4:5">
      <c r="D413" s="47"/>
      <c r="E413" s="47"/>
    </row>
    <row r="414" spans="4:5">
      <c r="D414" s="47"/>
      <c r="E414" s="47"/>
    </row>
    <row r="415" spans="4:5">
      <c r="D415" s="47"/>
      <c r="E415" s="47"/>
    </row>
    <row r="416" spans="4:5">
      <c r="D416" s="47"/>
      <c r="E416" s="47"/>
    </row>
    <row r="417" spans="4:5">
      <c r="D417" s="47"/>
      <c r="E417" s="47"/>
    </row>
    <row r="418" spans="4:5">
      <c r="D418" s="47"/>
      <c r="E418" s="47"/>
    </row>
    <row r="419" spans="4:5">
      <c r="D419" s="47"/>
      <c r="E419" s="47"/>
    </row>
    <row r="420" spans="4:5">
      <c r="D420" s="47"/>
      <c r="E420" s="47"/>
    </row>
    <row r="421" spans="4:5">
      <c r="D421" s="47"/>
      <c r="E421" s="47"/>
    </row>
    <row r="422" spans="4:5">
      <c r="D422" s="47"/>
      <c r="E422" s="47"/>
    </row>
    <row r="423" spans="4:5">
      <c r="D423" s="47"/>
      <c r="E423" s="47"/>
    </row>
    <row r="424" spans="4:5">
      <c r="D424" s="47"/>
      <c r="E424" s="47"/>
    </row>
    <row r="425" spans="4:5">
      <c r="D425" s="47"/>
      <c r="E425" s="47"/>
    </row>
    <row r="426" spans="4:5">
      <c r="D426" s="47"/>
      <c r="E426" s="47"/>
    </row>
    <row r="427" spans="4:5">
      <c r="D427" s="47"/>
      <c r="E427" s="47"/>
    </row>
  </sheetData>
  <phoneticPr fontId="9" type="noConversion"/>
  <conditionalFormatting sqref="D3:E427">
    <cfRule type="cellIs" dxfId="2" priority="1" operator="equal">
      <formula>"Partial"</formula>
    </cfRule>
    <cfRule type="cellIs" dxfId="1" priority="2" operator="equal">
      <formula>"No"</formula>
    </cfRule>
    <cfRule type="cellIs" dxfId="0" priority="3" operator="equal">
      <formula>"Yes"</formula>
    </cfRule>
  </conditionalFormatting>
  <dataValidations count="3">
    <dataValidation allowBlank="1" showInputMessage="1" showErrorMessage="1" sqref="C2" xr:uid="{889FB3F0-E3B2-4863-B839-2DC005472DB5}"/>
    <dataValidation type="list" allowBlank="1" showInputMessage="1" showErrorMessage="1" sqref="D3:E427" xr:uid="{012B2D45-3C56-4DE8-9000-2BE4BA0E0275}">
      <formula1>#REF!</formula1>
    </dataValidation>
    <dataValidation type="list" allowBlank="1" showInputMessage="1" showErrorMessage="1" sqref="C3:C154" xr:uid="{615ADCD7-080B-4DFB-8974-BEFBB754C326}">
      <formula1>#REF!</formula1>
    </dataValidation>
  </dataValidations>
  <hyperlinks>
    <hyperlink ref="B1" r:id="rId1" display="https://help.mypurecloud.com/articles/about-wrap-up-codes/" xr:uid="{5697291B-F045-41C9-871C-150BB7DE8E66}"/>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ADA10-6545-4948-A40B-FC11ACE1B2D6}">
  <sheetPr codeName="Sheet24">
    <tabColor rgb="FF0070C0"/>
  </sheetPr>
  <dimension ref="A1:D9"/>
  <sheetViews>
    <sheetView workbookViewId="0"/>
  </sheetViews>
  <sheetFormatPr defaultColWidth="31.140625" defaultRowHeight="15"/>
  <cols>
    <col min="2" max="2" width="24.85546875" customWidth="1"/>
    <col min="3" max="3" width="19.5703125" customWidth="1"/>
    <col min="4" max="4" width="69.85546875" style="30" customWidth="1"/>
  </cols>
  <sheetData>
    <row r="1" spans="1:4" ht="18.75">
      <c r="A1" s="16" t="s">
        <v>1924</v>
      </c>
      <c r="B1" s="5" t="s">
        <v>1925</v>
      </c>
      <c r="C1" s="5"/>
    </row>
    <row r="2" spans="1:4">
      <c r="A2" s="20" t="s">
        <v>1926</v>
      </c>
    </row>
    <row r="3" spans="1:4">
      <c r="A3" s="7" t="s">
        <v>1927</v>
      </c>
    </row>
    <row r="8" spans="1:4">
      <c r="A8" s="20" t="s">
        <v>1928</v>
      </c>
      <c r="B8" s="20" t="s">
        <v>1929</v>
      </c>
      <c r="C8" s="20" t="s">
        <v>264</v>
      </c>
      <c r="D8" s="20" t="s">
        <v>1930</v>
      </c>
    </row>
    <row r="9" spans="1:4">
      <c r="A9" s="7" t="s">
        <v>1931</v>
      </c>
      <c r="B9" s="7" t="s">
        <v>1927</v>
      </c>
      <c r="C9" s="7" t="s">
        <v>1932</v>
      </c>
      <c r="D9" s="9" t="s">
        <v>1933</v>
      </c>
    </row>
  </sheetData>
  <hyperlinks>
    <hyperlink ref="B1" r:id="rId1" display="https://help.mypurecloud.com/articles/about-canned-responses/" xr:uid="{ADF34D36-8D0B-4E42-B272-15067A7CC25D}"/>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1021B-1F11-4CC9-8402-52A1E61C510F}">
  <sheetPr codeName="Sheet26">
    <tabColor theme="0"/>
  </sheetPr>
  <dimension ref="A1:G2"/>
  <sheetViews>
    <sheetView workbookViewId="0">
      <pane ySplit="1" topLeftCell="A2" activePane="bottomLeft" state="frozen"/>
      <selection pane="bottomLeft"/>
    </sheetView>
  </sheetViews>
  <sheetFormatPr defaultColWidth="9.140625" defaultRowHeight="15"/>
  <cols>
    <col min="1" max="1" width="19.7109375" customWidth="1"/>
    <col min="2" max="2" width="6" bestFit="1" customWidth="1"/>
    <col min="3" max="3" width="24.28515625" style="30" customWidth="1"/>
    <col min="4" max="4" width="42" style="30" customWidth="1"/>
    <col min="5" max="5" width="33" style="30" customWidth="1"/>
    <col min="6" max="6" width="44.85546875" style="30" customWidth="1"/>
    <col min="7" max="7" width="32.5703125" style="30" customWidth="1"/>
  </cols>
  <sheetData>
    <row r="1" spans="1:7">
      <c r="A1" s="20" t="s">
        <v>224</v>
      </c>
      <c r="B1" s="20" t="s">
        <v>264</v>
      </c>
      <c r="C1" s="20" t="s">
        <v>66</v>
      </c>
      <c r="D1" s="20" t="s">
        <v>1934</v>
      </c>
      <c r="E1" s="20" t="s">
        <v>1935</v>
      </c>
      <c r="F1" s="20" t="s">
        <v>1936</v>
      </c>
      <c r="G1" s="20" t="s">
        <v>1937</v>
      </c>
    </row>
    <row r="2" spans="1:7" ht="15" customHeight="1">
      <c r="A2" s="7" t="s">
        <v>1938</v>
      </c>
      <c r="B2" s="7" t="s">
        <v>380</v>
      </c>
      <c r="C2" s="9"/>
      <c r="D2" s="9" t="s">
        <v>1939</v>
      </c>
      <c r="E2" s="9" t="s">
        <v>1940</v>
      </c>
      <c r="F2" s="9" t="s">
        <v>1941</v>
      </c>
      <c r="G2" s="9" t="s">
        <v>1942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23262-F23F-4CEB-8F9B-9B6E181F1EA5}">
  <sheetPr codeName="Sheet28">
    <tabColor rgb="FFFF0000"/>
  </sheetPr>
  <dimension ref="A1:E20"/>
  <sheetViews>
    <sheetView workbookViewId="0">
      <selection activeCell="E23" sqref="E23"/>
    </sheetView>
  </sheetViews>
  <sheetFormatPr defaultColWidth="9.140625" defaultRowHeight="15"/>
  <cols>
    <col min="1" max="1" width="35" customWidth="1"/>
    <col min="2" max="2" width="23.28515625" bestFit="1" customWidth="1"/>
    <col min="3" max="3" width="90.85546875" customWidth="1"/>
    <col min="4" max="4" width="8.5703125" customWidth="1"/>
    <col min="5" max="5" width="50.85546875" customWidth="1"/>
  </cols>
  <sheetData>
    <row r="1" spans="1:5" ht="18" customHeight="1">
      <c r="A1" s="32" t="s">
        <v>1943</v>
      </c>
      <c r="B1" s="52"/>
      <c r="C1" s="52"/>
      <c r="D1" s="52"/>
      <c r="E1" s="52"/>
    </row>
    <row r="2" spans="1:5">
      <c r="A2" s="20" t="s">
        <v>1944</v>
      </c>
      <c r="B2" s="5" t="s">
        <v>1945</v>
      </c>
      <c r="C2" s="53"/>
      <c r="D2" s="53"/>
      <c r="E2" s="53"/>
    </row>
    <row r="3" spans="1:5">
      <c r="A3" s="10" t="s">
        <v>1946</v>
      </c>
      <c r="B3" s="5" t="s">
        <v>1947</v>
      </c>
      <c r="C3" s="53"/>
      <c r="D3" s="53"/>
      <c r="E3" s="53"/>
    </row>
    <row r="4" spans="1:5">
      <c r="A4" s="10" t="s">
        <v>1948</v>
      </c>
      <c r="B4" s="54"/>
      <c r="C4" s="53"/>
      <c r="D4" s="53"/>
      <c r="E4" s="53"/>
    </row>
    <row r="5" spans="1:5">
      <c r="A5" s="53"/>
      <c r="B5" s="54"/>
      <c r="C5" s="53"/>
      <c r="D5" s="53"/>
      <c r="E5" s="53"/>
    </row>
    <row r="6" spans="1:5">
      <c r="A6" s="20" t="s">
        <v>1949</v>
      </c>
      <c r="B6" s="5" t="s">
        <v>1950</v>
      </c>
    </row>
    <row r="7" spans="1:5">
      <c r="A7" t="s">
        <v>1951</v>
      </c>
    </row>
    <row r="8" spans="1:5">
      <c r="A8" s="55" t="s">
        <v>264</v>
      </c>
      <c r="B8" s="55"/>
      <c r="C8" s="55"/>
      <c r="D8" s="55"/>
      <c r="E8" s="55" t="s">
        <v>1952</v>
      </c>
    </row>
    <row r="9" spans="1:5">
      <c r="A9" s="244" t="s">
        <v>1953</v>
      </c>
      <c r="B9" s="240" t="s">
        <v>1954</v>
      </c>
      <c r="C9" s="248" t="s">
        <v>1955</v>
      </c>
      <c r="D9" s="56" t="s">
        <v>224</v>
      </c>
      <c r="E9" s="57"/>
    </row>
    <row r="10" spans="1:5">
      <c r="A10" s="245"/>
      <c r="B10" s="247"/>
      <c r="C10" s="249"/>
      <c r="D10" s="58" t="s">
        <v>264</v>
      </c>
      <c r="E10" s="59" t="s">
        <v>1956</v>
      </c>
    </row>
    <row r="11" spans="1:5" ht="49.5" customHeight="1">
      <c r="A11" s="245"/>
      <c r="B11" s="247"/>
      <c r="C11" s="250"/>
      <c r="D11" s="58" t="s">
        <v>1957</v>
      </c>
      <c r="E11" s="59" t="s">
        <v>1958</v>
      </c>
    </row>
    <row r="12" spans="1:5">
      <c r="A12" s="245"/>
      <c r="B12" s="247"/>
      <c r="C12" s="248" t="s">
        <v>1959</v>
      </c>
      <c r="D12" s="58" t="s">
        <v>224</v>
      </c>
      <c r="E12" s="59"/>
    </row>
    <row r="13" spans="1:5">
      <c r="A13" s="245"/>
      <c r="B13" s="247"/>
      <c r="C13" s="249"/>
      <c r="D13" s="58" t="s">
        <v>264</v>
      </c>
      <c r="E13" s="59" t="s">
        <v>1960</v>
      </c>
    </row>
    <row r="14" spans="1:5" ht="61.5" customHeight="1">
      <c r="A14" s="245"/>
      <c r="B14" s="241"/>
      <c r="C14" s="250"/>
      <c r="D14" s="58" t="s">
        <v>1957</v>
      </c>
      <c r="E14" s="59" t="s">
        <v>1958</v>
      </c>
    </row>
    <row r="15" spans="1:5" ht="45.75" customHeight="1">
      <c r="A15" s="245"/>
      <c r="B15" s="251" t="s">
        <v>1961</v>
      </c>
      <c r="C15" s="253" t="s">
        <v>1962</v>
      </c>
      <c r="D15" s="60" t="s">
        <v>224</v>
      </c>
      <c r="E15" s="61" t="s">
        <v>1963</v>
      </c>
    </row>
    <row r="16" spans="1:5">
      <c r="A16" s="245"/>
      <c r="B16" s="251"/>
      <c r="C16" s="254"/>
      <c r="D16" s="60" t="s">
        <v>264</v>
      </c>
      <c r="E16" s="61" t="s">
        <v>1964</v>
      </c>
    </row>
    <row r="17" spans="1:5" ht="60">
      <c r="A17" s="245"/>
      <c r="B17" s="251"/>
      <c r="C17" s="255"/>
      <c r="D17" s="60" t="s">
        <v>1957</v>
      </c>
      <c r="E17" s="61" t="s">
        <v>1965</v>
      </c>
    </row>
    <row r="18" spans="1:5" ht="112.5" customHeight="1">
      <c r="A18" s="245"/>
      <c r="B18" s="252"/>
      <c r="C18" s="238" t="s">
        <v>1966</v>
      </c>
      <c r="D18" s="239"/>
      <c r="E18" s="61" t="s">
        <v>1967</v>
      </c>
    </row>
    <row r="19" spans="1:5">
      <c r="A19" s="245"/>
      <c r="B19" s="240" t="s">
        <v>1968</v>
      </c>
      <c r="C19" s="242" t="s">
        <v>1969</v>
      </c>
      <c r="D19" s="243"/>
      <c r="E19" s="56" t="s">
        <v>1970</v>
      </c>
    </row>
    <row r="20" spans="1:5">
      <c r="A20" s="246"/>
      <c r="B20" s="241"/>
      <c r="C20" s="242" t="s">
        <v>1971</v>
      </c>
      <c r="D20" s="243"/>
      <c r="E20" s="56"/>
    </row>
  </sheetData>
  <mergeCells count="10">
    <mergeCell ref="C18:D18"/>
    <mergeCell ref="B19:B20"/>
    <mergeCell ref="C19:D19"/>
    <mergeCell ref="C20:D20"/>
    <mergeCell ref="A9:A20"/>
    <mergeCell ref="B9:B14"/>
    <mergeCell ref="C9:C11"/>
    <mergeCell ref="C12:C14"/>
    <mergeCell ref="B15:B18"/>
    <mergeCell ref="C15:C17"/>
  </mergeCells>
  <hyperlinks>
    <hyperlink ref="A4" r:id="rId1" xr:uid="{5333A14E-FEFB-43F6-A69E-85BDE9936684}"/>
    <hyperlink ref="B2" r:id="rId2" display="https://help.mypurecloud.com/articles/about-acd-emails/" xr:uid="{048233F4-9C2D-4E5D-8995-C8BF1B92B7CC}"/>
    <hyperlink ref="B6" r:id="rId3" display="https://help.mypurecloud.com/articles/about-the-custom-smtp-server-integration-for-outbound-emails/" xr:uid="{C699F22C-7D97-44F8-9A8B-64C9D566B871}"/>
    <hyperlink ref="B3" r:id="rId4" display="https://help.mypurecloud.com/articles/email-routing-scenarios/" xr:uid="{1DF6EC79-A57D-4EAB-B741-0C61C21B36F5}"/>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8B9C4-C97F-4FA7-B1AD-95D02139AB11}">
  <sheetPr codeName="Sheet29">
    <tabColor rgb="FFFF0000"/>
  </sheetPr>
  <dimension ref="A1:E14"/>
  <sheetViews>
    <sheetView workbookViewId="0">
      <selection activeCell="F24" sqref="F24"/>
    </sheetView>
  </sheetViews>
  <sheetFormatPr defaultColWidth="9.140625" defaultRowHeight="15"/>
  <cols>
    <col min="1" max="1" width="49.5703125" bestFit="1" customWidth="1"/>
    <col min="2" max="2" width="22.42578125" bestFit="1" customWidth="1"/>
    <col min="3" max="3" width="15.7109375" customWidth="1"/>
    <col min="4" max="4" width="35.140625" bestFit="1" customWidth="1"/>
  </cols>
  <sheetData>
    <row r="1" spans="1:5" ht="18" customHeight="1">
      <c r="A1" s="32" t="s">
        <v>1972</v>
      </c>
      <c r="B1" s="52"/>
      <c r="C1" s="52"/>
      <c r="D1" s="52"/>
      <c r="E1" s="5" t="s">
        <v>1947</v>
      </c>
    </row>
    <row r="2" spans="1:5">
      <c r="A2" s="21" t="s">
        <v>1973</v>
      </c>
      <c r="B2" s="21"/>
      <c r="C2" s="21"/>
      <c r="D2" s="21" t="s">
        <v>1974</v>
      </c>
    </row>
    <row r="3" spans="1:5" ht="27" customHeight="1">
      <c r="A3" s="260" t="s">
        <v>1975</v>
      </c>
      <c r="B3" s="261"/>
      <c r="C3" s="262"/>
      <c r="D3" s="13" t="s">
        <v>1976</v>
      </c>
    </row>
    <row r="4" spans="1:5" ht="51.75" customHeight="1">
      <c r="A4" s="263" t="s">
        <v>1977</v>
      </c>
      <c r="B4" s="264"/>
      <c r="C4" s="265"/>
      <c r="D4" s="12" t="s">
        <v>1978</v>
      </c>
    </row>
    <row r="5" spans="1:5" ht="80.25" customHeight="1">
      <c r="A5" s="260" t="s">
        <v>1979</v>
      </c>
      <c r="B5" s="261"/>
      <c r="C5" s="262"/>
      <c r="D5" s="13" t="s">
        <v>1980</v>
      </c>
    </row>
    <row r="6" spans="1:5" ht="37.5" customHeight="1">
      <c r="A6" s="263" t="s">
        <v>1981</v>
      </c>
      <c r="B6" s="264"/>
      <c r="C6" s="265"/>
      <c r="D6" s="12" t="s">
        <v>1982</v>
      </c>
    </row>
    <row r="7" spans="1:5" ht="15" customHeight="1">
      <c r="A7" s="266" t="s">
        <v>1983</v>
      </c>
      <c r="B7" s="269" t="s">
        <v>1984</v>
      </c>
      <c r="C7" s="270"/>
      <c r="D7" s="14" t="s">
        <v>21</v>
      </c>
    </row>
    <row r="8" spans="1:5">
      <c r="A8" s="267"/>
      <c r="B8" s="271" t="s">
        <v>1985</v>
      </c>
      <c r="C8" s="11" t="s">
        <v>949</v>
      </c>
      <c r="D8" s="14" t="s">
        <v>1986</v>
      </c>
    </row>
    <row r="9" spans="1:5">
      <c r="A9" s="267"/>
      <c r="B9" s="271"/>
      <c r="C9" s="11" t="s">
        <v>1987</v>
      </c>
      <c r="D9" s="14" t="s">
        <v>1982</v>
      </c>
    </row>
    <row r="10" spans="1:5">
      <c r="A10" s="267"/>
      <c r="B10" s="271"/>
      <c r="C10" s="11" t="s">
        <v>1919</v>
      </c>
      <c r="D10" s="14" t="s">
        <v>1982</v>
      </c>
    </row>
    <row r="11" spans="1:5">
      <c r="A11" s="267"/>
      <c r="B11" s="271"/>
      <c r="C11" s="11" t="s">
        <v>1988</v>
      </c>
      <c r="D11" s="14">
        <v>0</v>
      </c>
    </row>
    <row r="12" spans="1:5">
      <c r="A12" s="268"/>
      <c r="B12" s="269" t="s">
        <v>1989</v>
      </c>
      <c r="C12" s="270"/>
      <c r="D12" s="14" t="s">
        <v>21</v>
      </c>
    </row>
    <row r="13" spans="1:5" ht="15" customHeight="1">
      <c r="A13" s="256" t="s">
        <v>1990</v>
      </c>
      <c r="B13" s="258" t="s">
        <v>1991</v>
      </c>
      <c r="C13" s="259"/>
      <c r="D13" s="12" t="s">
        <v>21</v>
      </c>
    </row>
    <row r="14" spans="1:5" ht="21.75" customHeight="1">
      <c r="A14" s="257"/>
      <c r="B14" s="258" t="s">
        <v>1992</v>
      </c>
      <c r="C14" s="259"/>
      <c r="D14" s="12" t="s">
        <v>1993</v>
      </c>
    </row>
  </sheetData>
  <mergeCells count="11">
    <mergeCell ref="A13:A14"/>
    <mergeCell ref="B13:C13"/>
    <mergeCell ref="B14:C14"/>
    <mergeCell ref="A3:C3"/>
    <mergeCell ref="A4:C4"/>
    <mergeCell ref="A5:C5"/>
    <mergeCell ref="A6:C6"/>
    <mergeCell ref="A7:A12"/>
    <mergeCell ref="B7:C7"/>
    <mergeCell ref="B8:B11"/>
    <mergeCell ref="B12:C12"/>
  </mergeCells>
  <hyperlinks>
    <hyperlink ref="E1" r:id="rId1" display="https://help.mypurecloud.com/articles/email-routing-scenarios/" xr:uid="{8537D0E5-9C49-4CD1-A2E7-FF9FF3C0D948}"/>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C9982-EF87-4E1B-A8B3-5CA98139BAD6}">
  <sheetPr codeName="Sheet11">
    <tabColor theme="9"/>
  </sheetPr>
  <dimension ref="A1:I14"/>
  <sheetViews>
    <sheetView zoomScale="98" zoomScaleNormal="98" workbookViewId="0">
      <selection activeCell="G10" sqref="G10"/>
    </sheetView>
  </sheetViews>
  <sheetFormatPr defaultColWidth="9.140625" defaultRowHeight="15"/>
  <cols>
    <col min="1" max="1" width="46.85546875" customWidth="1"/>
    <col min="2" max="2" width="22.85546875" customWidth="1"/>
    <col min="3" max="3" width="36.42578125" customWidth="1"/>
    <col min="5" max="5" width="13.5703125" customWidth="1"/>
    <col min="6" max="6" width="14.85546875" customWidth="1"/>
    <col min="7" max="7" width="12.42578125" customWidth="1"/>
  </cols>
  <sheetData>
    <row r="1" spans="1:9" ht="18.75">
      <c r="A1" s="16" t="s">
        <v>1995</v>
      </c>
      <c r="C1" s="5" t="s">
        <v>1994</v>
      </c>
    </row>
    <row r="2" spans="1:9">
      <c r="C2" s="5" t="s">
        <v>1996</v>
      </c>
    </row>
    <row r="3" spans="1:9">
      <c r="A3" s="64" t="s">
        <v>1997</v>
      </c>
      <c r="B3" s="7" t="s">
        <v>1998</v>
      </c>
    </row>
    <row r="4" spans="1:9">
      <c r="A4" s="64" t="s">
        <v>1999</v>
      </c>
      <c r="B4" s="65" t="s">
        <v>2000</v>
      </c>
      <c r="C4" s="66" t="s">
        <v>2001</v>
      </c>
      <c r="D4" s="66" t="s">
        <v>2002</v>
      </c>
      <c r="E4" s="66"/>
      <c r="F4" s="66"/>
    </row>
    <row r="5" spans="1:9">
      <c r="A5" s="7" t="s">
        <v>2003</v>
      </c>
      <c r="B5" s="7">
        <v>1</v>
      </c>
      <c r="C5" s="7" t="s">
        <v>204</v>
      </c>
      <c r="D5" s="7" t="s">
        <v>204</v>
      </c>
    </row>
    <row r="6" spans="1:9" ht="25.5">
      <c r="A6" s="66" t="s">
        <v>2004</v>
      </c>
      <c r="B6" s="66" t="s">
        <v>2005</v>
      </c>
      <c r="C6" s="65" t="s">
        <v>2006</v>
      </c>
      <c r="D6" s="65" t="s">
        <v>2007</v>
      </c>
      <c r="E6" s="67" t="s">
        <v>2008</v>
      </c>
      <c r="F6" s="67" t="s">
        <v>2009</v>
      </c>
      <c r="G6" s="67" t="s">
        <v>2010</v>
      </c>
      <c r="H6" s="67" t="s">
        <v>2011</v>
      </c>
      <c r="I6" s="67" t="s">
        <v>2012</v>
      </c>
    </row>
    <row r="7" spans="1:9">
      <c r="A7" s="7" t="s">
        <v>2013</v>
      </c>
      <c r="B7" s="7" t="s">
        <v>2014</v>
      </c>
      <c r="C7" s="7" t="s">
        <v>2015</v>
      </c>
    </row>
    <row r="12" spans="1:9">
      <c r="A12" s="64" t="s">
        <v>2016</v>
      </c>
      <c r="B12" s="65" t="s">
        <v>2000</v>
      </c>
      <c r="C12" s="66" t="s">
        <v>2001</v>
      </c>
      <c r="D12" s="66" t="s">
        <v>2002</v>
      </c>
      <c r="E12" s="66"/>
      <c r="F12" s="66"/>
    </row>
    <row r="13" spans="1:9">
      <c r="A13" s="7" t="s">
        <v>2017</v>
      </c>
      <c r="B13" s="7">
        <v>2</v>
      </c>
      <c r="C13" s="7" t="s">
        <v>192</v>
      </c>
      <c r="D13" s="7" t="s">
        <v>204</v>
      </c>
    </row>
    <row r="14" spans="1:9" ht="25.5">
      <c r="A14" s="66" t="s">
        <v>2004</v>
      </c>
      <c r="B14" s="66" t="s">
        <v>2005</v>
      </c>
      <c r="C14" s="65" t="s">
        <v>2006</v>
      </c>
      <c r="D14" s="65" t="s">
        <v>2007</v>
      </c>
      <c r="E14" s="67" t="s">
        <v>2008</v>
      </c>
      <c r="F14" s="67" t="s">
        <v>2009</v>
      </c>
      <c r="G14" s="67" t="s">
        <v>2010</v>
      </c>
      <c r="H14" s="67" t="s">
        <v>2011</v>
      </c>
      <c r="I14" s="67" t="s">
        <v>2012</v>
      </c>
    </row>
  </sheetData>
  <dataValidations count="1">
    <dataValidation type="list" allowBlank="1" showInputMessage="1" showErrorMessage="1" sqref="B80:B495 B7" xr:uid="{1C22E224-B4C7-476B-A20A-0DD4787C5DF1}">
      <formula1>"Multiple choice, Range, Yes/No"</formula1>
    </dataValidation>
  </dataValidations>
  <hyperlinks>
    <hyperlink ref="C1" r:id="rId1" display="https://help.mypurecloud.com/articles/about-quality-management/" xr:uid="{2E0BDD83-5455-4694-A55B-C682F60D62AC}"/>
    <hyperlink ref="C2" r:id="rId2" display="https://help.mypurecloud.com/articles/create-publish-evaluation-form/" xr:uid="{CF272DC7-78B6-4F0D-A25C-4CEB0D5B3485}"/>
  </hyperlinks>
  <pageMargins left="0.7" right="0.7" top="0.75" bottom="0.75" header="0.3" footer="0.3"/>
  <pageSetup orientation="portrait" r:id="rId3"/>
  <drawing r:id="rId4"/>
  <legacyDrawing r:id="rId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DF3A4-543F-4357-A450-7EE3C36EFE90}">
  <sheetPr codeName="Sheet10"/>
  <dimension ref="A1:D35"/>
  <sheetViews>
    <sheetView workbookViewId="0">
      <selection activeCell="C9" sqref="C9"/>
    </sheetView>
  </sheetViews>
  <sheetFormatPr defaultColWidth="9.140625" defaultRowHeight="15"/>
  <cols>
    <col min="1" max="1" width="8.85546875" customWidth="1"/>
    <col min="2" max="2" width="12.7109375" bestFit="1" customWidth="1"/>
    <col min="3" max="3" width="38.28515625" customWidth="1"/>
    <col min="4" max="4" width="52.28515625" customWidth="1"/>
  </cols>
  <sheetData>
    <row r="1" spans="1:4">
      <c r="A1" s="68" t="s">
        <v>2018</v>
      </c>
      <c r="B1" s="68" t="s">
        <v>2019</v>
      </c>
      <c r="C1" s="68" t="s">
        <v>2020</v>
      </c>
      <c r="D1" s="68" t="s">
        <v>2021</v>
      </c>
    </row>
    <row r="2" spans="1:4">
      <c r="A2" s="62">
        <v>0.01</v>
      </c>
      <c r="B2" s="69"/>
      <c r="C2" s="62"/>
      <c r="D2" s="62"/>
    </row>
    <row r="3" spans="1:4">
      <c r="A3" s="62"/>
      <c r="B3" s="69"/>
      <c r="C3" s="62"/>
      <c r="D3" s="70"/>
    </row>
    <row r="4" spans="1:4">
      <c r="A4" s="62"/>
      <c r="B4" s="69"/>
      <c r="C4" s="62"/>
      <c r="D4" s="70"/>
    </row>
    <row r="5" spans="1:4">
      <c r="A5" s="62"/>
      <c r="B5" s="69"/>
      <c r="C5" s="62"/>
      <c r="D5" s="70"/>
    </row>
    <row r="6" spans="1:4">
      <c r="A6" s="62"/>
      <c r="B6" s="69"/>
      <c r="C6" s="62"/>
      <c r="D6" s="70"/>
    </row>
    <row r="7" spans="1:4">
      <c r="A7" s="62"/>
      <c r="B7" s="62"/>
      <c r="C7" s="62"/>
      <c r="D7" s="62"/>
    </row>
    <row r="8" spans="1:4">
      <c r="A8" s="62"/>
      <c r="B8" s="62"/>
      <c r="C8" s="62"/>
      <c r="D8" s="62"/>
    </row>
    <row r="9" spans="1:4">
      <c r="A9" s="62"/>
      <c r="B9" s="62"/>
      <c r="C9" s="62"/>
      <c r="D9" s="62"/>
    </row>
    <row r="10" spans="1:4">
      <c r="A10" s="62"/>
      <c r="B10" s="62"/>
      <c r="C10" s="62"/>
      <c r="D10" s="62"/>
    </row>
    <row r="11" spans="1:4">
      <c r="A11" s="62"/>
      <c r="B11" s="62"/>
      <c r="C11" s="62"/>
      <c r="D11" s="62"/>
    </row>
    <row r="12" spans="1:4">
      <c r="A12" s="62"/>
      <c r="B12" s="62"/>
      <c r="C12" s="62"/>
      <c r="D12" s="62"/>
    </row>
    <row r="13" spans="1:4">
      <c r="A13" s="62"/>
      <c r="B13" s="62"/>
      <c r="C13" s="62"/>
      <c r="D13" s="62"/>
    </row>
    <row r="14" spans="1:4">
      <c r="A14" s="62"/>
      <c r="B14" s="62"/>
      <c r="C14" s="62"/>
      <c r="D14" s="62"/>
    </row>
    <row r="15" spans="1:4">
      <c r="A15" s="62"/>
      <c r="B15" s="62"/>
      <c r="C15" s="62"/>
      <c r="D15" s="62"/>
    </row>
    <row r="16" spans="1:4">
      <c r="A16" s="62"/>
      <c r="B16" s="62"/>
      <c r="C16" s="62"/>
      <c r="D16" s="62"/>
    </row>
    <row r="17" spans="1:4">
      <c r="A17" s="62"/>
      <c r="B17" s="62"/>
      <c r="C17" s="62"/>
      <c r="D17" s="62"/>
    </row>
    <row r="18" spans="1:4">
      <c r="A18" s="62"/>
      <c r="B18" s="62"/>
      <c r="C18" s="62"/>
      <c r="D18" s="62"/>
    </row>
    <row r="19" spans="1:4">
      <c r="A19" s="62"/>
      <c r="B19" s="62"/>
      <c r="C19" s="62"/>
      <c r="D19" s="62"/>
    </row>
    <row r="20" spans="1:4">
      <c r="A20" s="62"/>
      <c r="B20" s="62"/>
      <c r="C20" s="62"/>
      <c r="D20" s="62"/>
    </row>
    <row r="21" spans="1:4">
      <c r="A21" s="62"/>
      <c r="B21" s="62"/>
      <c r="C21" s="62"/>
      <c r="D21" s="62"/>
    </row>
    <row r="22" spans="1:4">
      <c r="A22" s="62"/>
      <c r="B22" s="62"/>
      <c r="C22" s="62"/>
      <c r="D22" s="62"/>
    </row>
    <row r="23" spans="1:4">
      <c r="A23" s="62"/>
      <c r="B23" s="62"/>
      <c r="C23" s="62"/>
      <c r="D23" s="62"/>
    </row>
    <row r="24" spans="1:4">
      <c r="A24" s="62"/>
      <c r="B24" s="62"/>
      <c r="C24" s="62"/>
      <c r="D24" s="62"/>
    </row>
    <row r="25" spans="1:4">
      <c r="A25" s="62"/>
      <c r="B25" s="62"/>
      <c r="C25" s="62"/>
      <c r="D25" s="62"/>
    </row>
    <row r="26" spans="1:4">
      <c r="A26" s="62"/>
      <c r="B26" s="62"/>
      <c r="C26" s="62"/>
      <c r="D26" s="62"/>
    </row>
    <row r="27" spans="1:4">
      <c r="A27" s="62"/>
      <c r="B27" s="62"/>
      <c r="C27" s="62"/>
      <c r="D27" s="62"/>
    </row>
    <row r="28" spans="1:4">
      <c r="A28" s="62"/>
      <c r="B28" s="62"/>
      <c r="C28" s="62"/>
      <c r="D28" s="62"/>
    </row>
    <row r="29" spans="1:4">
      <c r="A29" s="62"/>
      <c r="B29" s="62"/>
      <c r="C29" s="62"/>
      <c r="D29" s="62"/>
    </row>
    <row r="30" spans="1:4">
      <c r="A30" s="62"/>
      <c r="B30" s="62"/>
      <c r="C30" s="62"/>
      <c r="D30" s="62"/>
    </row>
    <row r="31" spans="1:4">
      <c r="A31" s="62"/>
      <c r="B31" s="62"/>
      <c r="C31" s="62"/>
      <c r="D31" s="62"/>
    </row>
    <row r="32" spans="1:4">
      <c r="A32" s="62"/>
      <c r="B32" s="62"/>
      <c r="C32" s="62"/>
      <c r="D32" s="62"/>
    </row>
    <row r="33" spans="1:4">
      <c r="A33" s="62"/>
      <c r="B33" s="62"/>
      <c r="C33" s="62"/>
      <c r="D33" s="62"/>
    </row>
    <row r="34" spans="1:4">
      <c r="A34" s="62"/>
      <c r="B34" s="62"/>
      <c r="C34" s="62"/>
      <c r="D34" s="62"/>
    </row>
    <row r="35" spans="1:4">
      <c r="A35" s="62"/>
      <c r="B35" s="62"/>
      <c r="C35" s="62"/>
      <c r="D35" s="6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AA1EAC6472C34D835A75898EA30C76" ma:contentTypeVersion="30" ma:contentTypeDescription="Create a new document." ma:contentTypeScope="" ma:versionID="a6d340886bf60fab227d0c03cd091033">
  <xsd:schema xmlns:xsd="http://www.w3.org/2001/XMLSchema" xmlns:xs="http://www.w3.org/2001/XMLSchema" xmlns:p="http://schemas.microsoft.com/office/2006/metadata/properties" xmlns:ns2="e1baaf3e-0143-4483-a77e-f48378e6119b" xmlns:ns3="cebf5dff-9051-49c6-9fe7-1b4c8f340bc7" targetNamespace="http://schemas.microsoft.com/office/2006/metadata/properties" ma:root="true" ma:fieldsID="b84cc566abda8d268484bbdc8202111e" ns2:_="" ns3:_="">
    <xsd:import namespace="e1baaf3e-0143-4483-a77e-f48378e6119b"/>
    <xsd:import namespace="cebf5dff-9051-49c6-9fe7-1b4c8f340bc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AlfAuthor" minOccurs="0"/>
                <xsd:element ref="ns3:AlfCreated" minOccurs="0"/>
                <xsd:element ref="ns3:AlfCreator" minOccurs="0"/>
                <xsd:element ref="ns3:AlfDescription" minOccurs="0"/>
                <xsd:element ref="ns3:AlfModified" minOccurs="0"/>
                <xsd:element ref="ns3:AlfModifier" minOccurs="0"/>
                <xsd:element ref="ns3:AlfNode" minOccurs="0"/>
                <xsd:element ref="ns3:SharedWithUsers" minOccurs="0"/>
                <xsd:element ref="ns3:SharedWithDetails" minOccurs="0"/>
                <xsd:element ref="ns2:MediaServiceEventHashCode" minOccurs="0"/>
                <xsd:element ref="ns2:MediaServiceGenerationTime" minOccurs="0"/>
                <xsd:element ref="ns2:MediaServiceAutoKeyPoints" minOccurs="0"/>
                <xsd:element ref="ns2:MediaServiceKeyPoints" minOccurs="0"/>
                <xsd:element ref="ns2:MediaLengthInSeconds" minOccurs="0"/>
                <xsd:element ref="ns2:DateandTime" minOccurs="0"/>
                <xsd:element ref="ns2:Passcode" minOccurs="0"/>
                <xsd:element ref="ns2:URL" minOccurs="0"/>
                <xsd:element ref="ns2:Dependencies" minOccurs="0"/>
                <xsd:element ref="ns2:Not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baaf3e-0143-4483-a77e-f48378e611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GenerationTime" ma:index="24" nillable="true" ma:displayName="MediaServiceGenerationTime" ma:hidden="true" ma:internalName="MediaServiceGenerationTime" ma:readOnly="true">
      <xsd:simpleType>
        <xsd:restriction base="dms:Text"/>
      </xsd:simpleType>
    </xsd:element>
    <xsd:element name="MediaServiceAutoKeyPoints" ma:index="25" nillable="true" ma:displayName="MediaServiceAutoKeyPoints" ma:hidden="true" ma:internalName="MediaServiceAutoKeyPoints" ma:readOnly="true">
      <xsd:simpleType>
        <xsd:restriction base="dms:Note"/>
      </xsd:simpleType>
    </xsd:element>
    <xsd:element name="MediaServiceKeyPoints" ma:index="26" nillable="true" ma:displayName="KeyPoints" ma:internalName="MediaServiceKeyPoints" ma:readOnly="true">
      <xsd:simpleType>
        <xsd:restriction base="dms:Note">
          <xsd:maxLength value="255"/>
        </xsd:restriction>
      </xsd:simpleType>
    </xsd:element>
    <xsd:element name="MediaLengthInSeconds" ma:index="27" nillable="true" ma:displayName="Length (seconds)" ma:internalName="MediaLengthInSeconds" ma:readOnly="true">
      <xsd:simpleType>
        <xsd:restriction base="dms:Unknown"/>
      </xsd:simpleType>
    </xsd:element>
    <xsd:element name="DateandTime" ma:index="28" nillable="true" ma:displayName="Date and Time" ma:format="DateTime" ma:internalName="DateandTime">
      <xsd:simpleType>
        <xsd:restriction base="dms:DateTime"/>
      </xsd:simpleType>
    </xsd:element>
    <xsd:element name="Passcode" ma:index="29" nillable="true" ma:displayName="Passcode" ma:internalName="Passcode">
      <xsd:simpleType>
        <xsd:restriction base="dms:Text">
          <xsd:maxLength value="255"/>
        </xsd:restriction>
      </xsd:simpleType>
    </xsd:element>
    <xsd:element name="URL" ma:index="30" nillable="true" ma:displayName="URL" ma:format="Hyperlink" ma:internalName="URL">
      <xsd:complexType>
        <xsd:complexContent>
          <xsd:extension base="dms:URL">
            <xsd:sequence>
              <xsd:element name="Url" type="dms:ValidUrl" minOccurs="0" nillable="true"/>
              <xsd:element name="Description" type="xsd:string" nillable="true"/>
            </xsd:sequence>
          </xsd:extension>
        </xsd:complexContent>
      </xsd:complexType>
    </xsd:element>
    <xsd:element name="Dependencies" ma:index="31" nillable="true" ma:displayName="Dependencies" ma:internalName="Dependencies">
      <xsd:simpleType>
        <xsd:restriction base="dms:Text">
          <xsd:maxLength value="255"/>
        </xsd:restriction>
      </xsd:simpleType>
    </xsd:element>
    <xsd:element name="Note" ma:index="32" nillable="true" ma:displayName="Note" ma:description="&#10;" ma:format="Dropdown" ma:internalName="Note">
      <xsd:simpleType>
        <xsd:restriction base="dms:Text">
          <xsd:maxLength value="255"/>
        </xsd:restriction>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11fcc8ec-0784-4598-b17d-69b3ece4703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bf5dff-9051-49c6-9fe7-1b4c8f340bc7" elementFormDefault="qualified">
    <xsd:import namespace="http://schemas.microsoft.com/office/2006/documentManagement/types"/>
    <xsd:import namespace="http://schemas.microsoft.com/office/infopath/2007/PartnerControls"/>
    <xsd:element name="AlfAuthor" ma:index="14" nillable="true" ma:displayName="Alf-Author" ma:internalName="AlfAuthor">
      <xsd:simpleType>
        <xsd:restriction base="dms:Text"/>
      </xsd:simpleType>
    </xsd:element>
    <xsd:element name="AlfCreated" ma:index="15" nillable="true" ma:displayName="Alf-Created" ma:internalName="AlfCreated">
      <xsd:simpleType>
        <xsd:restriction base="dms:DateTime"/>
      </xsd:simpleType>
    </xsd:element>
    <xsd:element name="AlfCreator" ma:index="16" nillable="true" ma:displayName="Alf-Creator" ma:internalName="AlfCreator">
      <xsd:simpleType>
        <xsd:restriction base="dms:Text"/>
      </xsd:simpleType>
    </xsd:element>
    <xsd:element name="AlfDescription" ma:index="17" nillable="true" ma:displayName="Alf-Description" ma:internalName="AlfDescription">
      <xsd:simpleType>
        <xsd:restriction base="dms:Text"/>
      </xsd:simpleType>
    </xsd:element>
    <xsd:element name="AlfModified" ma:index="18" nillable="true" ma:displayName="Alf-Modified" ma:internalName="AlfModified">
      <xsd:simpleType>
        <xsd:restriction base="dms:DateTime"/>
      </xsd:simpleType>
    </xsd:element>
    <xsd:element name="AlfModifier" ma:index="19" nillable="true" ma:displayName="Alf-Modifier" ma:internalName="AlfModifier">
      <xsd:simpleType>
        <xsd:restriction base="dms:Text"/>
      </xsd:simpleType>
    </xsd:element>
    <xsd:element name="AlfNode" ma:index="20" nillable="true" ma:displayName="Alf-Node" ma:internalName="AlfNode">
      <xsd:simpleType>
        <xsd:restriction base="dms:Text"/>
      </xsd:simple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element name="TaxCatchAll" ma:index="35" nillable="true" ma:displayName="Taxonomy Catch All Column" ma:hidden="true" ma:list="{70b90e3c-f736-4dbe-92d7-2afdc038aac5}" ma:internalName="TaxCatchAll" ma:showField="CatchAllData" ma:web="cebf5dff-9051-49c6-9fe7-1b4c8f340b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AlfAuthor xmlns="cebf5dff-9051-49c6-9fe7-1b4c8f340bc7" xsi:nil="true"/>
    <DateandTime xmlns="e1baaf3e-0143-4483-a77e-f48378e6119b" xsi:nil="true"/>
    <URL xmlns="e1baaf3e-0143-4483-a77e-f48378e6119b">
      <Url xsi:nil="true"/>
      <Description xsi:nil="true"/>
    </URL>
    <Dependencies xmlns="e1baaf3e-0143-4483-a77e-f48378e6119b" xsi:nil="true"/>
    <lcf76f155ced4ddcb4097134ff3c332f xmlns="e1baaf3e-0143-4483-a77e-f48378e6119b">
      <Terms xmlns="http://schemas.microsoft.com/office/infopath/2007/PartnerControls"/>
    </lcf76f155ced4ddcb4097134ff3c332f>
    <TaxCatchAll xmlns="cebf5dff-9051-49c6-9fe7-1b4c8f340bc7" xsi:nil="true"/>
    <AlfModified xmlns="cebf5dff-9051-49c6-9fe7-1b4c8f340bc7" xsi:nil="true"/>
    <Passcode xmlns="e1baaf3e-0143-4483-a77e-f48378e6119b" xsi:nil="true"/>
    <AlfCreated xmlns="cebf5dff-9051-49c6-9fe7-1b4c8f340bc7" xsi:nil="true"/>
    <AlfNode xmlns="cebf5dff-9051-49c6-9fe7-1b4c8f340bc7" xsi:nil="true"/>
    <AlfModifier xmlns="cebf5dff-9051-49c6-9fe7-1b4c8f340bc7" xsi:nil="true"/>
    <Note xmlns="e1baaf3e-0143-4483-a77e-f48378e6119b" xsi:nil="true"/>
    <AlfCreator xmlns="cebf5dff-9051-49c6-9fe7-1b4c8f340bc7" xsi:nil="true"/>
    <AlfDescription xmlns="cebf5dff-9051-49c6-9fe7-1b4c8f340bc7" xsi:nil="true"/>
  </documentManagement>
</p:properties>
</file>

<file path=customXml/itemProps1.xml><?xml version="1.0" encoding="utf-8"?>
<ds:datastoreItem xmlns:ds="http://schemas.openxmlformats.org/officeDocument/2006/customXml" ds:itemID="{5C1D54DC-56DF-47DF-B63F-65B98CDF1B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baaf3e-0143-4483-a77e-f48378e6119b"/>
    <ds:schemaRef ds:uri="cebf5dff-9051-49c6-9fe7-1b4c8f340b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AD112F1-2BF2-45E3-8008-FCDD235CD861}">
  <ds:schemaRefs>
    <ds:schemaRef ds:uri="http://schemas.microsoft.com/sharepoint/v3/contenttype/forms"/>
  </ds:schemaRefs>
</ds:datastoreItem>
</file>

<file path=customXml/itemProps3.xml><?xml version="1.0" encoding="utf-8"?>
<ds:datastoreItem xmlns:ds="http://schemas.openxmlformats.org/officeDocument/2006/customXml" ds:itemID="{D7DA3EBB-C8AE-441A-A0C3-4416F836E275}">
  <ds:schemaRefs>
    <ds:schemaRef ds:uri="http://schemas.microsoft.com/office/2006/metadata/properties"/>
    <ds:schemaRef ds:uri="http://schemas.microsoft.com/office/infopath/2007/PartnerControls"/>
    <ds:schemaRef ds:uri="cebf5dff-9051-49c6-9fe7-1b4c8f340bc7"/>
    <ds:schemaRef ds:uri="e1baaf3e-0143-4483-a77e-f48378e6119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Tracker</vt:lpstr>
      <vt:lpstr>Organization Settings</vt:lpstr>
      <vt:lpstr>Locations</vt:lpstr>
      <vt:lpstr>Telephony Config</vt:lpstr>
      <vt:lpstr>Users</vt:lpstr>
      <vt:lpstr>Phones Prod</vt:lpstr>
      <vt:lpstr>Phones Dev</vt:lpstr>
      <vt:lpstr>Role Modifications</vt:lpstr>
      <vt:lpstr>Custom Roles</vt:lpstr>
      <vt:lpstr>DID-TFN Log</vt:lpstr>
      <vt:lpstr>Groups</vt:lpstr>
      <vt:lpstr>Groups for VM - Nebula</vt:lpstr>
      <vt:lpstr>Groups for VM - Supernova</vt:lpstr>
      <vt:lpstr>Groups - Skill Expressions</vt:lpstr>
      <vt:lpstr>External Contacts</vt:lpstr>
      <vt:lpstr>Queues</vt:lpstr>
      <vt:lpstr>BullseyeQueues</vt:lpstr>
      <vt:lpstr>BullseyeQueuesCSV</vt:lpstr>
      <vt:lpstr>CGRQueues</vt:lpstr>
      <vt:lpstr>Wrap-Up Codes</vt:lpstr>
      <vt:lpstr>Canned Responses</vt:lpstr>
      <vt:lpstr>Prompts</vt:lpstr>
      <vt:lpstr>Email Domains</vt:lpstr>
      <vt:lpstr>Email Addresses</vt:lpstr>
      <vt:lpstr>QM Evaluation Form</vt:lpstr>
      <vt:lpstr>Workbook Versioning</vt:lpstr>
    </vt:vector>
  </TitlesOfParts>
  <Manager/>
  <Company>Genesys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Ryan.Evans@genesys.com</dc:creator>
  <cp:keywords/>
  <dc:description/>
  <cp:lastModifiedBy>Mike Witting</cp:lastModifiedBy>
  <cp:revision/>
  <dcterms:created xsi:type="dcterms:W3CDTF">2020-08-04T15:32:07Z</dcterms:created>
  <dcterms:modified xsi:type="dcterms:W3CDTF">2024-11-08T16:03:53Z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0x01010028AA1EAC6472C34D835A75898EA30C76</vt:lpwstr>
  </property>
  <property fmtid="{D5CDD505-2E9C-101B-9397-08002B2CF9AE}" pid="3" name="MediaServiceImageTags">
    <vt:lpwstr/>
  </property>
</Properties>
</file>